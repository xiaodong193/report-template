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2360" tabRatio="601" firstSheet="3" activeTab="6"/>
  </bookViews>
  <sheets>
    <sheet name="012283707.IB-资产负债表" sheetId="1" state="hidden" r:id="rId1"/>
    <sheet name="012283707.IB-利润表" sheetId="2" state="hidden" r:id="rId2"/>
    <sheet name="012283707.IB-现金流量表" sheetId="3" state="hidden" r:id="rId3"/>
    <sheet name="bs" sheetId="4" r:id="rId4"/>
    <sheet name="pl" sheetId="5" r:id="rId5"/>
    <sheet name="cf" sheetId="6" r:id="rId6"/>
    <sheet name="财务分析（2022）版" sheetId="7" r:id="rId7"/>
    <sheet name="财务分析-万位" sheetId="8" state="hidden" r:id="rId8"/>
    <sheet name="资产负债权益结构分析" sheetId="9" r:id="rId9"/>
    <sheet name="现金流分析表" sheetId="10" r:id="rId10"/>
    <sheet name="财务对比分析表" sheetId="11" r:id="rId11"/>
    <sheet name="财务变化表" sheetId="12" r:id="rId12"/>
    <sheet name="刚性负债情况" sheetId="13" r:id="rId13"/>
    <sheet name="版本更新说明" sheetId="14" r:id="rId14"/>
    <sheet name="初始设置" sheetId="15" r:id="rId15"/>
    <sheet name="Sheet1" sheetId="16" r:id="rId16"/>
    <sheet name="Sheet2" sheetId="17" r:id="rId17"/>
  </sheets>
  <definedNames>
    <definedName name="_xlnm._FilterDatabase" localSheetId="3" hidden="1">bs!$A$1:$J$111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eta.T" hidden="1" xlm="1" functionGroupId="14">#NAME?</definedName>
    <definedName name="_xlnm.Print_Area" localSheetId="6">'财务分析（2022）版'!$A$1:$E$173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<sst xmlns="http://schemas.openxmlformats.org/spreadsheetml/2006/main" count="1133" uniqueCount="746">
  <si>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</si>
  <si>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</si>
  <si>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</si>
  <si>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</si>
  <si>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</si>
  <si>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</si>
  <si>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</si>
  <si>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</si>
  <si>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</si>
  <si>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</si>
  <si>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</si>
  <si>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</si>
  <si>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</si>
  <si>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</si>
  <si>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</si>
  <si>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</si>
  <si>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</si>
  <si>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</si>
  <si>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</si>
  <si>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</si>
  <si>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</si>
  <si>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</si>
  <si>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</si>
  <si>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</si>
  <si>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</si>
  <si>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</si>
  <si>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</si>
  <si>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</si>
  <si>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</si>
  <si>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</si>
  <si>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</si>
  <si>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</si>
  <si>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</si>
  <si>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</si>
  <si>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</si>
  <si>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</si>
  <si>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</si>
  <si>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</si>
  <si>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</si>
  <si>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</si>
  <si>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</si>
  <si>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</si>
  <si>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</si>
  <si>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</si>
  <si>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</si>
  <si>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</si>
  <si>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</si>
  <si>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</si>
  <si>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</si>
  <si>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</si>
  <si>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</si>
  <si>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</si>
  <si>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</si>
  <si>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</si>
  <si>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</si>
  <si>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</si>
  <si>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</si>
  <si>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</si>
  <si>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</si>
  <si>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</si>
  <si>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</si>
  <si>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</si>
  <si>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</si>
  <si>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</si>
  <si>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</si>
  <si>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</si>
  <si>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</si>
  <si>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</si>
  <si>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</si>
  <si>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</si>
  <si>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</si>
  <si>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</si>
  <si>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</si>
  <si>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</si>
  <si>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</si>
  <si>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</si>
  <si>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</si>
  <si>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</si>
  <si>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</si>
  <si>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</si>
  <si>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</si>
  <si>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</si>
  <si>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</si>
  <si>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</si>
  <si>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</si>
  <si>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</si>
  <si>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</si>
  <si>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</si>
  <si>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</si>
  <si>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</si>
  <si>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</si>
  <si>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</si>
  <si>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</si>
  <si>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</si>
  <si>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</si>
  <si>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</si>
  <si>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</si>
  <si>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</si>
  <si>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</si>
  <si>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</si>
  <si>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</si>
  <si>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</si>
  <si>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</si>
  <si>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</si>
  <si>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</si>
  <si>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</si>
  <si>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</si>
  <si>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</si>
  <si>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</si>
  <si>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</si>
  <si>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</si>
  <si>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</si>
  <si>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</si>
  <si>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</si>
  <si>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</si>
  <si>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</si>
  <si>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</si>
  <si>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</si>
  <si>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</si>
  <si>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</si>
  <si>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</si>
  <si>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</si>
  <si>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</si>
  <si>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</si>
  <si>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</si>
  <si>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</si>
  <si>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</si>
  <si>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</si>
  <si>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</si>
  <si>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</si>
  <si>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</si>
  <si>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</si>
  <si>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</si>
  <si>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</si>
  <si>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</si>
  <si>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</si>
  <si>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</si>
  <si>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</si>
  <si>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</si>
  <si>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</si>
  <si>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</si>
  <si>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</si>
  <si>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</si>
  <si>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</si>
  <si>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</si>
  <si>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</si>
  <si>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</si>
  <si>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</si>
  <si>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</si>
  <si>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</si>
  <si>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</si>
  <si>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</si>
  <si>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</si>
  <si>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</si>
  <si>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</si>
  <si>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</si>
  <si>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</si>
  <si>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</si>
  <si>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</si>
  <si>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</si>
  <si>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</si>
  <si>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</si>
  <si>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</si>
  <si>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</si>
  <si>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</si>
  <si>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</si>
  <si>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</si>
  <si>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</si>
  <si>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</si>
  <si>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</si>
  <si>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</si>
  <si>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</si>
  <si>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</si>
  <si>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</si>
  <si>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</si>
  <si>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</si>
  <si>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</si>
  <si>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</si>
  <si>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</si>
  <si>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</si>
  <si>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</si>
  <si>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</si>
  <si>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</si>
  <si>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</si>
  <si>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</si>
  <si>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</si>
  <si>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</si>
  <si>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</si>
  <si>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</si>
  <si>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</si>
  <si>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</si>
  <si>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</si>
  <si>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</si>
  <si>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</si>
  <si>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</si>
  <si>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</si>
  <si>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</si>
  <si>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</si>
  <si>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</si>
  <si>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</si>
  <si>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</si>
  <si>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</si>
  <si>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</si>
  <si>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</si>
  <si>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</si>
  <si>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</si>
  <si>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</si>
  <si>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</si>
  <si>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</si>
  <si>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</si>
  <si>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</si>
  <si>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</si>
  <si>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</si>
  <si>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</si>
  <si>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</si>
  <si>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</si>
  <si>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</si>
  <si>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</si>
  <si>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</si>
  <si>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</si>
  <si>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</si>
  <si>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</si>
  <si>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</si>
  <si>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</si>
  <si>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</si>
  <si>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</si>
  <si>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</si>
  <si>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</si>
  <si>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</si>
  <si>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</si>
  <si>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</si>
  <si>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</si>
  <si>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</si>
  <si>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</si>
  <si>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</si>
  <si>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</si>
  <si>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</si>
  <si>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</si>
  <si>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</si>
  <si>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</si>
  <si>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</si>
  <si>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</si>
  <si>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</si>
  <si>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</si>
  <si>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</si>
  <si>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</si>
  <si>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</si>
  <si>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</si>
  <si>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</si>
  <si>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</si>
  <si>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</si>
  <si>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</si>
  <si>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</si>
  <si>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</si>
  <si>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</si>
  <si>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</si>
  <si>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</si>
  <si>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</si>
  <si>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</si>
  <si>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</si>
  <si>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</si>
  <si>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</si>
  <si>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</si>
  <si>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</si>
  <si>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</si>
  <si>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</si>
  <si>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</si>
  <si>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</si>
  <si>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</si>
  <si>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</si>
  <si>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</si>
  <si>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</si>
  <si>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</si>
  <si>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</si>
  <si>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</si>
  <si>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</si>
  <si>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</si>
  <si>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</si>
  <si>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</si>
  <si>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</si>
  <si>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</si>
  <si>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</si>
  <si>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</si>
  <si>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</si>
  <si>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</si>
  <si>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</si>
  <si>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</si>
  <si>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</si>
  <si>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</si>
  <si>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</si>
  <si>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</si>
  <si>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</si>
  <si>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</si>
  <si>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t xml:space="preserve">流动资产： </t>
  </si>
  <si>
    <t xml:space="preserve">  货币资金 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</si>
  <si>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</si>
  <si>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</si>
  <si>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</si>
  <si>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</si>
  <si>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</si>
  <si>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</si>
  <si>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</si>
  <si>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</si>
  <si>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</si>
  <si>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</si>
  <si>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</si>
  <si>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</si>
  <si>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</si>
  <si>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      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</si>
  <si>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</si>
  <si>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</si>
  <si>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</si>
  <si>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</si>
  <si>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</si>
  <si>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</si>
  <si>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 xml:space="preserve">流动资产合计 </t>
  </si>
  <si>
    <t xml:space="preserve">非流动资产： 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</si>
  <si>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</si>
  <si>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</si>
  <si>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</si>
  <si>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</si>
  <si>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</si>
  <si>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</si>
  <si>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</si>
  <si>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</si>
  <si>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</si>
  <si>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</si>
  <si>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</si>
  <si>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</si>
  <si>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</si>
  <si>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</si>
  <si>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</si>
  <si>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</si>
  <si>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</si>
  <si>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</si>
  <si>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</si>
  <si>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</si>
  <si>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</si>
  <si>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</si>
  <si>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</si>
  <si>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</si>
  <si>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</si>
  <si>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</si>
  <si>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 xml:space="preserve">非流动资产合计 </t>
  </si>
  <si>
    <t xml:space="preserve">      资产总计 </t>
  </si>
  <si>
    <t>应付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</si>
  <si>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</si>
  <si>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</si>
  <si>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</si>
  <si>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</si>
  <si>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</si>
  <si>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</si>
  <si>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</si>
  <si>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</si>
  <si>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</si>
  <si>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</si>
  <si>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</si>
  <si>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</si>
  <si>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</si>
  <si>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</si>
  <si>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</si>
  <si>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</si>
  <si>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</si>
  <si>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</si>
  <si>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</si>
  <si>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</si>
  <si>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</si>
  <si>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</si>
  <si>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</si>
  <si>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 xml:space="preserve">    流动负债合计 </t>
  </si>
  <si>
    <t xml:space="preserve">非流动负债： </t>
  </si>
  <si>
    <t xml:space="preserve">  保险合同准备金* </t>
  </si>
  <si>
    <t xml:space="preserve">  长期借款 </t>
  </si>
  <si>
    <t xml:space="preserve">  应付债券 </t>
  </si>
  <si>
    <t xml:space="preserve">    其中：优先股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</si>
  <si>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</si>
  <si>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</si>
  <si>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</si>
  <si>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</si>
  <si>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</si>
  <si>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</si>
  <si>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</si>
  <si>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</si>
  <si>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</si>
  <si>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 xml:space="preserve">    非流动负债合计 </t>
  </si>
  <si>
    <t xml:space="preserve">      负债合计</t>
  </si>
  <si>
    <t xml:space="preserve">所有者权益（或股东权益）： 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</si>
  <si>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</si>
  <si>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</si>
  <si>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</si>
  <si>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</si>
  <si>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</si>
  <si>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</si>
  <si>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</si>
  <si>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</si>
  <si>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</si>
  <si>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>归属于母公司所有者权益（或股东权益）合计</t>
  </si>
  <si>
    <t xml:space="preserve">  少数股东权益 </t>
  </si>
  <si>
    <t xml:space="preserve">  所有者权益（或股东权益）合计 </t>
  </si>
  <si>
    <t xml:space="preserve"> 负债和所有者权益（或股东权益）总计 </t>
  </si>
  <si>
    <t xml:space="preserve">一、营业总收入 </t>
  </si>
  <si>
    <t xml:space="preserve">  其中：营业收入 </t>
  </si>
  <si>
    <t xml:space="preserve">     利息收入* </t>
  </si>
  <si>
    <t xml:space="preserve">        已赚保费* </t>
  </si>
  <si>
    <t xml:space="preserve">        手续费及佣金收入* </t>
  </si>
  <si>
    <t xml:space="preserve">        其他业务收入* </t>
  </si>
  <si>
    <t xml:space="preserve">二、营业总成本 </t>
  </si>
  <si>
    <t xml:space="preserve">其中：营业成本 </t>
  </si>
  <si>
    <t xml:space="preserve">  其中：主营业务成本 </t>
  </si>
  <si>
    <t xml:space="preserve">        其他业务成本 </t>
  </si>
  <si>
    <t xml:space="preserve">        利息支出* </t>
  </si>
  <si>
    <t xml:space="preserve">        手续费及佣金支出* </t>
  </si>
  <si>
    <t xml:space="preserve">        退保金* </t>
  </si>
  <si>
    <t xml:space="preserve">        赔付支出净额* </t>
  </si>
  <si>
    <t xml:space="preserve">        提取保险责任准备金净额* </t>
  </si>
  <si>
    <t xml:space="preserve">        保单红利支出* </t>
  </si>
  <si>
    <t xml:space="preserve">        分保费用* </t>
  </si>
  <si>
    <t xml:space="preserve">        税金及附加 </t>
  </si>
  <si>
    <t xml:space="preserve">        销售费用 </t>
  </si>
  <si>
    <t xml:space="preserve">        管理费用 </t>
  </si>
  <si>
    <t xml:space="preserve">        研发费用 </t>
  </si>
  <si>
    <t xml:space="preserve">        财务费用 </t>
  </si>
  <si>
    <t xml:space="preserve">      其中：利息费用 </t>
  </si>
  <si>
    <t xml:space="preserve">        利息收入 </t>
  </si>
  <si>
    <t xml:space="preserve">  加：其他收益 </t>
  </si>
  <si>
    <t xml:space="preserve">      投资收益（损失以“-”号填列） </t>
  </si>
  <si>
    <t xml:space="preserve">其中：对联营企业和合营企业投资收益 </t>
  </si>
  <si>
    <t xml:space="preserve">      以摊余成本计量的金融资产终止确认收益 </t>
  </si>
  <si>
    <t xml:space="preserve">      汇兑收益（损失以“-”号填列）* </t>
  </si>
  <si>
    <t xml:space="preserve">      净敞口套期收益（损失以“-”号填列） </t>
  </si>
  <si>
    <t xml:space="preserve">      公允价值变动收益（损失以“-”号填列）</t>
  </si>
  <si>
    <t xml:space="preserve">      信用减值损失（损失以“-”号填列） </t>
  </si>
  <si>
    <t xml:space="preserve">      资产减值损失（损失以“-”号填列） </t>
  </si>
  <si>
    <t xml:space="preserve">      资产处置收益（损失以“-”号填列） </t>
  </si>
  <si>
    <t xml:space="preserve">三、营业利润（亏损以“-”号填列） </t>
  </si>
  <si>
    <t xml:space="preserve">  加：营业外收入 </t>
  </si>
  <si>
    <t xml:space="preserve">  减：营业外支出 </t>
  </si>
  <si>
    <t xml:space="preserve">四、利润总额（亏损总额以“-”号填列） </t>
  </si>
  <si>
    <t xml:space="preserve">  减：所得税费用 </t>
  </si>
  <si>
    <t xml:space="preserve">五、净利润（净亏损以“-”号填列） </t>
  </si>
  <si>
    <t xml:space="preserve">  （一）按经营持续性分类 </t>
  </si>
  <si>
    <t xml:space="preserve">    1. 持续经营净利润（净亏损以“-”号填列） </t>
  </si>
  <si>
    <t xml:space="preserve">    2. 终止经营净利润（净亏损以“-”号填列） </t>
  </si>
  <si>
    <t xml:space="preserve">  （二）按所有权归属分类 </t>
  </si>
  <si>
    <t xml:space="preserve">    1. 归属于母公司股东的净利润（净亏损以“-”号填列） </t>
  </si>
  <si>
    <t xml:space="preserve">    2. 少数股东损益（净亏损以“-”号填列）</t>
  </si>
  <si>
    <t xml:space="preserve">六、其他综合收益的税后净额 </t>
  </si>
  <si>
    <t xml:space="preserve">  （一）归属于母公司所有者的其他综合收益的税后净额 </t>
  </si>
  <si>
    <t xml:space="preserve">    1．不能重分类进损益的其他综合收益 </t>
  </si>
  <si>
    <t xml:space="preserve">     （1）重新计量设定受益计划变动额 </t>
  </si>
  <si>
    <t xml:space="preserve">     （2）权益法下不能转损益的其他综合收益</t>
  </si>
  <si>
    <t xml:space="preserve">     （3）其他权益工具投资公允价值变动 </t>
  </si>
  <si>
    <t xml:space="preserve">     （4）企业自身信用风险公允价值变动 </t>
  </si>
  <si>
    <t xml:space="preserve">     （5）其他 </t>
  </si>
  <si>
    <t xml:space="preserve">    2．将重分类进损益的其他综合收益 </t>
  </si>
  <si>
    <t xml:space="preserve">     （1）权益法下可转损益的其他综合收益 </t>
  </si>
  <si>
    <t xml:space="preserve">     （2）其他债权投资公允价值变动 </t>
  </si>
  <si>
    <t xml:space="preserve">（3）金融资产重分类计入其他综合收益的金额 </t>
  </si>
  <si>
    <t xml:space="preserve">     （4）其他债权投资信用减值准备 </t>
  </si>
  <si>
    <t xml:space="preserve">     （5）现金流量套期储备 </t>
  </si>
  <si>
    <t xml:space="preserve">     （6）外币财务报表折算差额 </t>
  </si>
  <si>
    <t xml:space="preserve">     （7）其他</t>
  </si>
  <si>
    <t xml:space="preserve">  （二）归属于少数股东的其他综合收益的税后净额 </t>
  </si>
  <si>
    <t xml:space="preserve">七、综合收益总额 </t>
  </si>
  <si>
    <t xml:space="preserve">  （一）归属于母公司所有者的综合收益总额</t>
  </si>
  <si>
    <t xml:space="preserve">  （二）归属于少数股东的综合收益总额 </t>
  </si>
  <si>
    <t xml:space="preserve">八、每股收益 </t>
  </si>
  <si>
    <t xml:space="preserve">  （一）基本每股收益 </t>
  </si>
  <si>
    <t xml:space="preserve">  （二）稀释每股收益 </t>
  </si>
  <si>
    <t xml:space="preserve">一、经营活动产生的现金流量 </t>
  </si>
  <si>
    <t xml:space="preserve">销售商品、提供劳务收到的现金 </t>
  </si>
  <si>
    <t xml:space="preserve">客户存款和同业存放款项净增加额* </t>
  </si>
  <si>
    <t xml:space="preserve">向中央银行借款净增加额* </t>
  </si>
  <si>
    <t xml:space="preserve">向其他金融机构拆入资金净增加额* </t>
  </si>
  <si>
    <t xml:space="preserve">收到原保险合同保费取得的现金* </t>
  </si>
  <si>
    <t xml:space="preserve">收到再保业务现金净额* </t>
  </si>
  <si>
    <t xml:space="preserve">保户储金及投资款净增加额* </t>
  </si>
  <si>
    <t xml:space="preserve">收取利息、手续费及佣金的现金* </t>
  </si>
  <si>
    <t xml:space="preserve">拆入资金净增加额* </t>
  </si>
  <si>
    <t xml:space="preserve">回购业务资金净增加额* </t>
  </si>
  <si>
    <t xml:space="preserve">代理买卖证券收到的现金净额* </t>
  </si>
  <si>
    <t xml:space="preserve">收到的税费返还 </t>
  </si>
  <si>
    <t xml:space="preserve">收到其他与经营活动有关的现金 </t>
  </si>
  <si>
    <t xml:space="preserve">经营活动现金流入小计 </t>
  </si>
  <si>
    <t xml:space="preserve">    购买商品、接受劳务支付的现金 </t>
  </si>
  <si>
    <t xml:space="preserve">客户贷款及垫款净增加额* </t>
  </si>
  <si>
    <t xml:space="preserve">存放中央银行和同业款项净增加额* </t>
  </si>
  <si>
    <t xml:space="preserve">支付原保险合同赔付款项的现金* </t>
  </si>
  <si>
    <t xml:space="preserve">拆出资金净增加额* </t>
  </si>
  <si>
    <t xml:space="preserve">支付利息、手续费及佣金的现金* </t>
  </si>
  <si>
    <t xml:space="preserve">支付保单红利的现金* </t>
  </si>
  <si>
    <t xml:space="preserve">支付给职工及为职工支付的现金 </t>
  </si>
  <si>
    <t xml:space="preserve">支付的各项税费 </t>
  </si>
  <si>
    <t xml:space="preserve">支付其他与经营活动有关的现金 </t>
  </si>
  <si>
    <t xml:space="preserve">经营活动现金流出小计 </t>
  </si>
  <si>
    <t>经营活动产生的现金流量净额</t>
  </si>
  <si>
    <t xml:space="preserve">二、投资活动产生的现金流量 </t>
  </si>
  <si>
    <t xml:space="preserve">收回投资收到的现金 </t>
  </si>
  <si>
    <t xml:space="preserve">取得投资收益收到的现金 </t>
  </si>
  <si>
    <t xml:space="preserve">处置固定资产、无形资产和其他长期资产收回的现金净额 </t>
  </si>
  <si>
    <t xml:space="preserve">处置子公司及其他营业单位收到的现金净额 </t>
  </si>
  <si>
    <t xml:space="preserve">收到其他与投资活动有关的现金 </t>
  </si>
  <si>
    <t xml:space="preserve">投资活动现金流入小计 </t>
  </si>
  <si>
    <t xml:space="preserve">购建固定资产、无形资产和其他长期资产支付的现金 </t>
  </si>
  <si>
    <t xml:space="preserve">投资支付的现金 </t>
  </si>
  <si>
    <t xml:space="preserve">质押贷款净增加额* </t>
  </si>
  <si>
    <t xml:space="preserve">取得子公司及其他营业单位支付的现金净额 </t>
  </si>
  <si>
    <t xml:space="preserve">支付其他与投资活动有关的现金 </t>
  </si>
  <si>
    <t xml:space="preserve">投资活动现金流出小计 </t>
  </si>
  <si>
    <t>投资活动产生的现金流量净额</t>
  </si>
  <si>
    <t xml:space="preserve">三、筹资活动产生的现金流量 </t>
  </si>
  <si>
    <t xml:space="preserve">吸收投资收到的现金 </t>
  </si>
  <si>
    <t xml:space="preserve">取得借款收到的现金 </t>
  </si>
  <si>
    <t>发行债券收到的现金</t>
  </si>
  <si>
    <t xml:space="preserve">收到其他与筹资活动有关的现金 </t>
  </si>
  <si>
    <t xml:space="preserve">筹资活动现金流入小计 </t>
  </si>
  <si>
    <t xml:space="preserve">偿还债务支付的现金 </t>
  </si>
  <si>
    <t>分配股利、利润或偿付利息支付的现金</t>
  </si>
  <si>
    <t xml:space="preserve">支付其他与筹资活动有关的现金 </t>
  </si>
  <si>
    <t xml:space="preserve">筹资活动现金流出小计 </t>
  </si>
  <si>
    <t xml:space="preserve">筹资活动产生的现金流量净额 </t>
  </si>
  <si>
    <t xml:space="preserve">四、汇率变动对现金及现金等价物的影响 </t>
  </si>
  <si>
    <t xml:space="preserve">五、现金及现金等价物净增加额 </t>
  </si>
  <si>
    <t xml:space="preserve">加：期初现金及现金等价物余额 </t>
  </si>
  <si>
    <t xml:space="preserve">六、期末现金及现金等价物余额 </t>
  </si>
  <si>
    <t>财务分析</t>
  </si>
  <si>
    <t>单位：万元</t>
  </si>
  <si>
    <t>项目</t>
  </si>
  <si>
    <t>（合并）</t>
  </si>
  <si>
    <t>资产负债表</t>
  </si>
  <si>
    <t>筛选列，4个报表全都不为0</t>
  </si>
  <si>
    <t>同比</t>
  </si>
  <si>
    <t xml:space="preserve">  应收股利</t>
  </si>
  <si>
    <t>流动资产合计</t>
  </si>
  <si>
    <t>非流动资产合计</t>
  </si>
  <si>
    <t>流动负债合计</t>
  </si>
  <si>
    <t>非流动负债合计</t>
  </si>
  <si>
    <t>负债合计</t>
  </si>
  <si>
    <t>公式和其他不一致，主要是筛选问题</t>
  </si>
  <si>
    <t xml:space="preserve"> 所有者权益（或股东权益）合计 </t>
  </si>
  <si>
    <t>利润表</t>
  </si>
  <si>
    <t>营业总收入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</si>
  <si>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</si>
  <si>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</si>
  <si>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</si>
  <si>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</si>
  <si>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</si>
  <si>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</si>
  <si>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</si>
  <si>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</si>
  <si>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</si>
  <si>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</si>
  <si>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</si>
  <si>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</si>
  <si>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</si>
  <si>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</si>
  <si>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</si>
  <si>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</si>
  <si>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</si>
  <si>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</si>
  <si>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</si>
  <si>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</si>
  <si>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</si>
  <si>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</si>
  <si>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</si>
  <si>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</si>
  <si>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</si>
  <si>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</si>
  <si>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</si>
  <si>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</si>
  <si>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</si>
  <si>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</si>
  <si>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</si>
  <si>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</si>
  <si>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</si>
  <si>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</si>
  <si>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</si>
  <si>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</si>
  <si>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</si>
  <si>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</si>
  <si>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</si>
  <si>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</si>
  <si>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</si>
  <si>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</si>
  <si>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</si>
  <si>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</si>
  <si>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</si>
  <si>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</si>
  <si>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</si>
  <si>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</si>
  <si>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</si>
  <si>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</si>
  <si>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</si>
  <si>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</si>
  <si>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</si>
  <si>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</si>
  <si>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</si>
  <si>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</si>
  <si>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</si>
  <si>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</si>
  <si>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</si>
  <si>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</si>
  <si>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</si>
  <si>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</si>
  <si>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</si>
  <si>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</si>
  <si>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</si>
  <si>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</si>
  <si>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</si>
  <si>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</si>
  <si>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</si>
  <si>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</si>
  <si>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</si>
  <si>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</si>
  <si>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</si>
  <si>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</si>
  <si>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</si>
  <si>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</si>
  <si>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</si>
  <si>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</si>
  <si>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拟承租人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</si>
  <si>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</si>
  <si>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</si>
  <si>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</si>
  <si>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</si>
  <si>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</si>
  <si>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</si>
  <si>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</si>
  <si>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</si>
  <si>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</si>
  <si>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</si>
  <si>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</si>
  <si>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t xml:space="preserve">        应收股利</t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</si>
  <si>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</si>
  <si>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</si>
  <si>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</si>
  <si>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</si>
  <si>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</si>
  <si>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</si>
  <si>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</si>
  <si>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</si>
  <si>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</si>
  <si>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</si>
  <si>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</si>
  <si>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</si>
  <si>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</si>
  <si>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</si>
  <si>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固定资产净额</t>
  </si>
  <si>
    <t>无形资产</t>
  </si>
  <si>
    <t>长期待摊费用</t>
  </si>
  <si>
    <t>递延所得税资产</t>
  </si>
  <si>
    <t>其他非流动资产</t>
  </si>
  <si>
    <t>交易性金融负债</t>
  </si>
  <si>
    <t>应付票据</t>
  </si>
  <si>
    <t>应付账款</t>
  </si>
  <si>
    <t>合同负债</t>
  </si>
  <si>
    <t>应付职工薪酬</t>
  </si>
  <si>
    <t>一年内到期的非流动负债</t>
  </si>
  <si>
    <t>预计负债</t>
  </si>
  <si>
    <t>递延收益</t>
  </si>
  <si>
    <t>公式不太一样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</si>
  <si>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</si>
  <si>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</si>
  <si>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</si>
  <si>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</si>
  <si>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</si>
  <si>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</si>
  <si>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所有者权益（或股东权益）合计</t>
  </si>
  <si>
    <t>净资产</t>
  </si>
  <si>
    <t>总资产情况</t>
  </si>
  <si>
    <t>流动资产总体情况</t>
  </si>
  <si>
    <t>占比大于2%的科目分析</t>
  </si>
  <si>
    <t>非流动资产总体情况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</si>
  <si>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</si>
  <si>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</si>
  <si>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</si>
  <si>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</si>
  <si>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</si>
  <si>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</si>
  <si>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</si>
  <si>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</si>
  <si>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</si>
  <si>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营业收入</t>
  </si>
  <si>
    <t>购买商品、接受劳务支付的现金</t>
  </si>
  <si>
    <t>盈利现金比</t>
  </si>
  <si>
    <t>销售商品收到的现金</t>
  </si>
  <si>
    <t>合计</t>
  </si>
  <si>
    <t>合计备注</t>
  </si>
  <si>
    <t>应收账款+销售商品、提供劳务收到的现金</t>
  </si>
  <si>
    <t>应收票据+应收账款+销售商品、提供劳务收到的现金</t>
  </si>
  <si>
    <t>取得借款所收到的现金</t>
  </si>
  <si>
    <t>偿还债务所支付的现金</t>
  </si>
  <si>
    <t>支付的其他与筹资活动有关的现金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</si>
  <si>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</si>
  <si>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</si>
  <si>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</si>
  <si>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</si>
  <si>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</si>
  <si>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</si>
  <si>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</si>
  <si>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t xml:space="preserve">  其中：信托</t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</si>
  <si>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</si>
  <si>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</si>
  <si>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</si>
  <si>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</si>
  <si>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</si>
  <si>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</si>
  <si>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</si>
  <si>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t>刚性债务=短期借款+应付票据+一年内到期的长期借款+应付短期融资券+长期借款+应付债券+其他具期债务</t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</si>
  <si>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</si>
  <si>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</si>
  <si>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</si>
  <si>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</si>
  <si>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</si>
  <si>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</si>
  <si>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应交税费</t>
  </si>
  <si>
    <t>应付债券</t>
  </si>
  <si>
    <t>刚性债务</t>
  </si>
  <si>
    <t>更新报表可以制作动态报表</t>
  </si>
  <si>
    <t>2022.1.19</t>
  </si>
  <si>
    <t>1、与可行格式一致</t>
  </si>
  <si>
    <t>2023.09.18</t>
  </si>
  <si>
    <t>1、按照新的报表格式进行了更改</t>
  </si>
  <si>
    <t>2025.11.26增加wps jsa代码可以从OCR系统直接复制过来数据。</t>
  </si>
  <si>
    <t>最新一期报表的时间</t>
  </si>
  <si>
    <t>年</t>
  </si>
  <si>
    <t>月</t>
  </si>
  <si>
    <t>日期</t>
  </si>
  <si>
    <t>2024.12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</si>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</sst>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.00_ "/>
    <numFmt numFmtId="177" formatCode="0_);[Red]\(0\)"/>
    <numFmt numFmtId="178" formatCode="yyyy&quot;年&quot;mm&quot;月&quot;;@"/>
    <numFmt numFmtId="179" formatCode="yyyy&quot;年&quot;;@"/>
    <numFmt numFmtId="180" formatCode="0&quot;.&quot;00,,&quot;亿&quot;"/>
    <numFmt numFmtId="181" formatCode="0.00_);[Red]\(0.00\)"/>
    <numFmt numFmtId="182" formatCode="yyyy/m/d;@"/>
    <numFmt numFmtId="183" formatCode="yyyy&quot;年&quot;m&quot;月&quot;;@"/>
    <numFmt numFmtId="184" formatCode="#,##0_ "/>
    <numFmt numFmtId="185" formatCode="0.00_ "/>
    <numFmt numFmtId="186" formatCode="#,##0.00_);[Red]\(#,##0.00\)"/>
    <numFmt numFmtId="187" formatCode="##,###,###,###,##0.00"/>
    <numFmt numFmtId="188" formatCode="###,##0.00"/>
    <numFmt numFmtId="189" formatCode="###,##0"/>
  </numFmts>
  <fonts count="68">
    <font>
      <sz val="10"/>
      <name val="Arial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b/>
      <sz val="10.5"/>
      <color rgb="FFFFFFFF"/>
      <name val="微软雅黑"/>
      <charset val="134"/>
    </font>
    <font>
      <sz val="10.5"/>
      <name val="微软雅黑"/>
      <charset val="134"/>
    </font>
    <font>
      <sz val="10"/>
      <name val="宋体"/>
      <charset val="134"/>
    </font>
    <font>
      <sz val="10"/>
      <name val="微软雅黑"/>
      <charset val="134"/>
    </font>
    <font>
      <b/>
      <sz val="12"/>
      <name val="仿宋"/>
      <charset val="134"/>
    </font>
    <font>
      <sz val="12"/>
      <name val="仿宋"/>
      <charset val="134"/>
    </font>
    <font>
      <sz val="9"/>
      <color indexed="8"/>
      <name val="Dialog.plain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9"/>
      <color indexed="8"/>
      <name val="宋体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9"/>
      <name val="仿宋"/>
      <charset val="134"/>
    </font>
    <font>
      <b/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0"/>
      <name val="等线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12"/>
      <color rgb="FF000000"/>
      <name val="仿宋"/>
      <charset val="134"/>
    </font>
    <font>
      <sz val="9"/>
      <color indexed="8"/>
      <name val="Times New Roman"/>
      <charset val="134"/>
    </font>
    <font>
      <sz val="9"/>
      <name val="Times New Roman"/>
      <charset val="134"/>
    </font>
    <font>
      <sz val="9"/>
      <color rgb="FF000000"/>
      <name val="宋体"/>
      <charset val="134"/>
    </font>
    <font>
      <b/>
      <sz val="10"/>
      <name val="Arial"/>
      <charset val="134"/>
    </font>
    <font>
      <sz val="9"/>
      <color rgb="FF000000"/>
      <name val="Dialog.plain"/>
      <charset val="134"/>
    </font>
    <font>
      <b/>
      <sz val="9"/>
      <color indexed="8"/>
      <name val="Dialog.plain"/>
      <charset val="134"/>
    </font>
    <font>
      <sz val="9"/>
      <color rgb="FF000000"/>
      <name val="Dialog.plain"/>
      <charset val="0"/>
    </font>
    <font>
      <b/>
      <sz val="9"/>
      <color indexed="8"/>
      <name val="宋体"/>
      <charset val="134"/>
    </font>
    <font>
      <b/>
      <sz val="9"/>
      <color rgb="FF000000"/>
      <name val="Dialog.plain"/>
      <charset val="134"/>
    </font>
    <font>
      <sz val="11"/>
      <name val="宋体"/>
      <charset val="134"/>
    </font>
    <font>
      <b/>
      <sz val="11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72380748924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rgb="FF000000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/>
    <xf numFmtId="44" fontId="48" fillId="0" borderId="0">
      <alignment vertical="center"/>
    </xf>
    <xf numFmtId="9" fontId="0" fillId="0" borderId="0"/>
    <xf numFmtId="41" fontId="48" fillId="0" borderId="0">
      <alignment vertical="center"/>
    </xf>
    <xf numFmtId="42" fontId="48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8" fillId="14" borderId="27">
      <alignment vertical="center"/>
    </xf>
    <xf numFmtId="0" fontId="51" fillId="0" borderId="0">
      <alignment vertical="center"/>
    </xf>
    <xf numFmtId="0" fontId="52" fillId="0" borderId="0">
      <alignment vertical="center"/>
    </xf>
    <xf numFmtId="0" fontId="53" fillId="0" borderId="0">
      <alignment vertical="center"/>
    </xf>
    <xf numFmtId="0" fontId="54" fillId="0" borderId="28">
      <alignment vertical="center"/>
    </xf>
    <xf numFmtId="0" fontId="55" fillId="0" borderId="28">
      <alignment vertical="center"/>
    </xf>
    <xf numFmtId="0" fontId="56" fillId="0" borderId="29">
      <alignment vertical="center"/>
    </xf>
    <xf numFmtId="0" fontId="56" fillId="0" borderId="0">
      <alignment vertical="center"/>
    </xf>
    <xf numFmtId="0" fontId="57" fillId="18" borderId="30">
      <alignment vertical="center"/>
    </xf>
    <xf numFmtId="0" fontId="58" fillId="19" borderId="31">
      <alignment vertical="center"/>
    </xf>
    <xf numFmtId="0" fontId="59" fillId="19" borderId="30">
      <alignment vertical="center"/>
    </xf>
    <xf numFmtId="0" fontId="60" fillId="20" borderId="32">
      <alignment vertical="center"/>
    </xf>
    <xf numFmtId="0" fontId="61" fillId="0" borderId="33">
      <alignment vertical="center"/>
    </xf>
    <xf numFmtId="0" fontId="62" fillId="0" borderId="34">
      <alignment vertical="center"/>
    </xf>
    <xf numFmtId="0" fontId="63" fillId="21" borderId="0">
      <alignment vertical="center"/>
    </xf>
    <xf numFmtId="0" fontId="64" fillId="22" borderId="0">
      <alignment vertical="center"/>
    </xf>
    <xf numFmtId="0" fontId="65" fillId="23" borderId="0">
      <alignment vertical="center"/>
    </xf>
    <xf numFmtId="0" fontId="66" fillId="24" borderId="0">
      <alignment vertical="center"/>
    </xf>
    <xf numFmtId="0" fontId="67" fillId="25" borderId="0">
      <alignment vertical="center"/>
    </xf>
    <xf numFmtId="0" fontId="67" fillId="26" borderId="0">
      <alignment vertical="center"/>
    </xf>
    <xf numFmtId="0" fontId="66" fillId="27" borderId="0">
      <alignment vertical="center"/>
    </xf>
    <xf numFmtId="0" fontId="66" fillId="28" borderId="0">
      <alignment vertical="center"/>
    </xf>
    <xf numFmtId="0" fontId="67" fillId="29" borderId="0">
      <alignment vertical="center"/>
    </xf>
    <xf numFmtId="0" fontId="67" fillId="30" borderId="0">
      <alignment vertical="center"/>
    </xf>
    <xf numFmtId="0" fontId="66" fillId="31" borderId="0">
      <alignment vertical="center"/>
    </xf>
    <xf numFmtId="0" fontId="66" fillId="32" borderId="0">
      <alignment vertical="center"/>
    </xf>
    <xf numFmtId="0" fontId="67" fillId="33" borderId="0">
      <alignment vertical="center"/>
    </xf>
    <xf numFmtId="0" fontId="67" fillId="34" borderId="0">
      <alignment vertical="center"/>
    </xf>
    <xf numFmtId="0" fontId="66" fillId="35" borderId="0">
      <alignment vertical="center"/>
    </xf>
    <xf numFmtId="0" fontId="66" fillId="36" borderId="0">
      <alignment vertical="center"/>
    </xf>
    <xf numFmtId="0" fontId="67" fillId="37" borderId="0">
      <alignment vertical="center"/>
    </xf>
    <xf numFmtId="0" fontId="67" fillId="38" borderId="0">
      <alignment vertical="center"/>
    </xf>
    <xf numFmtId="0" fontId="66" fillId="39" borderId="0">
      <alignment vertical="center"/>
    </xf>
    <xf numFmtId="0" fontId="66" fillId="40" borderId="0">
      <alignment vertical="center"/>
    </xf>
    <xf numFmtId="0" fontId="67" fillId="41" borderId="0">
      <alignment vertical="center"/>
    </xf>
    <xf numFmtId="0" fontId="67" fillId="42" borderId="0">
      <alignment vertical="center"/>
    </xf>
    <xf numFmtId="0" fontId="66" fillId="43" borderId="0">
      <alignment vertical="center"/>
    </xf>
    <xf numFmtId="0" fontId="66" fillId="44" borderId="0">
      <alignment vertical="center"/>
    </xf>
    <xf numFmtId="0" fontId="67" fillId="45" borderId="0">
      <alignment vertical="center"/>
    </xf>
    <xf numFmtId="0" fontId="67" fillId="46" borderId="0">
      <alignment vertical="center"/>
    </xf>
    <xf numFmtId="0" fontId="66" fillId="47" borderId="0">
      <alignment vertical="center"/>
    </xf>
    <xf numFmtId="0" fontId="28" fillId="0" borderId="0">
      <alignment vertical="center"/>
    </xf>
  </cellStyleXfs>
  <cellXfs count="20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vertical="center"/>
    </xf>
    <xf numFmtId="10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justify" wrapText="1"/>
    </xf>
    <xf numFmtId="0" fontId="4" fillId="3" borderId="1" xfId="0" applyFont="1" applyFill="1" applyBorder="1" applyAlignment="1">
      <alignment horizontal="right" wrapText="1"/>
    </xf>
    <xf numFmtId="0" fontId="5" fillId="0" borderId="1" xfId="0" applyFont="1" applyBorder="1" applyAlignment="1">
      <alignment horizontal="justify" wrapText="1"/>
    </xf>
    <xf numFmtId="14" fontId="5" fillId="0" borderId="1" xfId="0" applyNumberFormat="1" applyFont="1" applyBorder="1" applyAlignment="1">
      <alignment horizontal="justify" wrapText="1"/>
    </xf>
    <xf numFmtId="177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right" wrapText="1"/>
    </xf>
    <xf numFmtId="177" fontId="5" fillId="0" borderId="1" xfId="0" applyNumberFormat="1" applyFont="1" applyBorder="1" applyAlignment="1">
      <alignment horizontal="center" vertical="center" wrapText="1"/>
    </xf>
    <xf numFmtId="0" fontId="6" fillId="0" borderId="1" xfId="0" applyBorder="1"/>
    <xf numFmtId="0" fontId="0" fillId="0" borderId="1" xfId="0" applyBorder="1"/>
    <xf numFmtId="176" fontId="0" fillId="0" borderId="1" xfId="0" applyNumberFormat="1" applyBorder="1"/>
    <xf numFmtId="0" fontId="6" fillId="0" borderId="0" xfId="0"/>
    <xf numFmtId="0" fontId="7" fillId="4" borderId="0" xfId="0" applyFill="1"/>
    <xf numFmtId="49" fontId="7" fillId="0" borderId="0" xfId="0" applyNumberForma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4" xfId="0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178" fontId="8" fillId="0" borderId="6" xfId="0" applyNumberFormat="1" applyFont="1" applyBorder="1" applyAlignment="1">
      <alignment horizontal="center" vertical="center" wrapText="1"/>
    </xf>
    <xf numFmtId="179" fontId="8" fillId="0" borderId="6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180" fontId="9" fillId="0" borderId="9" xfId="0" applyNumberFormat="1" applyFont="1" applyBorder="1" applyAlignment="1">
      <alignment horizontal="center" vertical="center" wrapText="1"/>
    </xf>
    <xf numFmtId="0" fontId="0" fillId="0" borderId="10" xfId="0" applyBorder="1"/>
    <xf numFmtId="180" fontId="9" fillId="0" borderId="11" xfId="0" applyNumberFormat="1" applyFont="1" applyBorder="1" applyAlignment="1">
      <alignment horizontal="center" vertical="center" wrapText="1"/>
    </xf>
    <xf numFmtId="0" fontId="0" fillId="0" borderId="12" xfId="0" applyBorder="1"/>
    <xf numFmtId="0" fontId="8" fillId="0" borderId="13" xfId="0" applyFont="1" applyBorder="1" applyAlignment="1">
      <alignment horizontal="center" vertical="center" wrapText="1"/>
    </xf>
    <xf numFmtId="180" fontId="9" fillId="0" borderId="14" xfId="0" applyNumberFormat="1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178" fontId="0" fillId="0" borderId="0" xfId="0" applyNumberFormat="1"/>
    <xf numFmtId="43" fontId="0" fillId="0" borderId="0" xfId="1"/>
    <xf numFmtId="0" fontId="10" fillId="0" borderId="0" xfId="0" applyFont="1" applyAlignment="1">
      <alignment horizontal="left" vertical="center"/>
    </xf>
    <xf numFmtId="181" fontId="0" fillId="0" borderId="0" xfId="0" applyNumberFormat="1"/>
    <xf numFmtId="0" fontId="11" fillId="0" borderId="9" xfId="0" applyFont="1" applyBorder="1" applyAlignment="1">
      <alignment horizontal="center" vertical="center" wrapText="1"/>
    </xf>
    <xf numFmtId="14" fontId="12" fillId="0" borderId="8" xfId="0" applyNumberFormat="1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3" fontId="14" fillId="0" borderId="17" xfId="0" applyNumberFormat="1" applyFont="1" applyBorder="1" applyAlignment="1">
      <alignment horizontal="center" vertical="center" wrapText="1"/>
    </xf>
    <xf numFmtId="10" fontId="15" fillId="0" borderId="17" xfId="0" applyNumberFormat="1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6" fillId="6" borderId="1" xfId="0" applyFont="1" applyFill="1" applyBorder="1" applyAlignment="1">
      <alignment horizontal="center" vertical="center" wrapText="1"/>
    </xf>
    <xf numFmtId="57" fontId="16" fillId="6" borderId="1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18" xfId="0" applyBorder="1"/>
    <xf numFmtId="0" fontId="16" fillId="6" borderId="1" xfId="0" applyFont="1" applyFill="1" applyBorder="1" applyAlignment="1">
      <alignment horizontal="center"/>
    </xf>
    <xf numFmtId="0" fontId="17" fillId="0" borderId="0" xfId="0" applyFont="1" applyAlignment="1">
      <alignment horizontal="left" vertical="center"/>
    </xf>
    <xf numFmtId="43" fontId="0" fillId="0" borderId="0" xfId="1" applyAlignment="1">
      <alignment horizontal="center"/>
    </xf>
    <xf numFmtId="0" fontId="18" fillId="0" borderId="1" xfId="0" applyFont="1" applyBorder="1" applyAlignment="1">
      <alignment horizontal="center" wrapText="1"/>
    </xf>
    <xf numFmtId="176" fontId="19" fillId="0" borderId="1" xfId="1" applyNumberFormat="1" applyFont="1" applyBorder="1" applyAlignment="1">
      <alignment horizontal="right"/>
    </xf>
    <xf numFmtId="0" fontId="7" fillId="0" borderId="0" xfId="0" applyAlignment="1">
      <alignment horizontal="center" wrapText="1"/>
    </xf>
    <xf numFmtId="43" fontId="0" fillId="0" borderId="0" xfId="1" applyAlignment="1">
      <alignment horizontal="center" vertical="center"/>
    </xf>
    <xf numFmtId="0" fontId="0" fillId="0" borderId="0" xfId="0" applyAlignment="1">
      <alignment horizontal="center" wrapText="1"/>
    </xf>
    <xf numFmtId="14" fontId="10" fillId="7" borderId="1" xfId="0" applyNumberFormat="1" applyFont="1" applyFill="1" applyBorder="1" applyAlignment="1">
      <alignment horizontal="center" vertical="center"/>
    </xf>
    <xf numFmtId="182" fontId="10" fillId="7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4" fontId="10" fillId="0" borderId="1" xfId="0" applyNumberFormat="1" applyFon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0" borderId="1" xfId="0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left" vertical="center"/>
    </xf>
    <xf numFmtId="176" fontId="10" fillId="0" borderId="1" xfId="0" applyNumberFormat="1" applyFont="1" applyBorder="1" applyAlignment="1" applyProtection="1">
      <alignment horizontal="center" vertical="center"/>
      <protection locked="0"/>
    </xf>
    <xf numFmtId="176" fontId="10" fillId="0" borderId="1" xfId="0" applyNumberFormat="1" applyFont="1" applyBorder="1" applyAlignment="1" applyProtection="1">
      <alignment horizontal="right" vertical="center"/>
      <protection locked="0"/>
    </xf>
    <xf numFmtId="0" fontId="20" fillId="0" borderId="1" xfId="0" applyFont="1" applyBorder="1" applyAlignment="1">
      <alignment horizontal="center"/>
    </xf>
    <xf numFmtId="57" fontId="0" fillId="0" borderId="1" xfId="0" applyNumberFormat="1" applyBorder="1"/>
    <xf numFmtId="183" fontId="0" fillId="0" borderId="1" xfId="0" applyNumberFormat="1" applyBorder="1"/>
    <xf numFmtId="0" fontId="21" fillId="0" borderId="1" xfId="0" applyFont="1" applyBorder="1" applyAlignment="1">
      <alignment horizontal="center" vertical="center"/>
    </xf>
    <xf numFmtId="57" fontId="13" fillId="0" borderId="1" xfId="0" applyNumberFormat="1" applyFont="1" applyBorder="1" applyAlignment="1">
      <alignment horizontal="center" vertical="center"/>
    </xf>
    <xf numFmtId="183" fontId="13" fillId="0" borderId="1" xfId="0" applyNumberFormat="1" applyFont="1" applyBorder="1" applyAlignment="1">
      <alignment horizontal="center" vertical="center"/>
    </xf>
    <xf numFmtId="43" fontId="0" fillId="8" borderId="1" xfId="1" applyFill="1" applyBorder="1"/>
    <xf numFmtId="184" fontId="12" fillId="0" borderId="1" xfId="1" applyNumberFormat="1" applyFont="1" applyBorder="1" applyAlignment="1">
      <alignment horizontal="center" vertical="center"/>
    </xf>
    <xf numFmtId="0" fontId="7" fillId="0" borderId="1" xfId="0" applyBorder="1" applyAlignment="1">
      <alignment horizontal="center"/>
    </xf>
    <xf numFmtId="43" fontId="0" fillId="0" borderId="1" xfId="1" applyBorder="1"/>
    <xf numFmtId="0" fontId="13" fillId="0" borderId="1" xfId="0" applyFont="1" applyBorder="1" applyAlignment="1">
      <alignment horizontal="center" vertical="center"/>
    </xf>
    <xf numFmtId="184" fontId="15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3" fillId="0" borderId="1" xfId="0" applyFont="1" applyBorder="1" applyAlignment="1">
      <alignment horizontal="center" vertical="center" wrapText="1"/>
    </xf>
    <xf numFmtId="0" fontId="22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19" xfId="0" applyFont="1" applyBorder="1" applyAlignment="1">
      <alignment horizontal="right" vertical="center"/>
    </xf>
    <xf numFmtId="0" fontId="0" fillId="0" borderId="19" xfId="0" applyBorder="1"/>
    <xf numFmtId="0" fontId="6" fillId="8" borderId="0" xfId="0" applyFill="1"/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0" fillId="8" borderId="0" xfId="0" applyFill="1"/>
    <xf numFmtId="3" fontId="23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184" fontId="23" fillId="0" borderId="1" xfId="0" applyNumberFormat="1" applyFont="1" applyBorder="1" applyAlignment="1">
      <alignment horizontal="center" vertical="center"/>
    </xf>
    <xf numFmtId="10" fontId="23" fillId="0" borderId="1" xfId="3" applyNumberFormat="1" applyFont="1" applyBorder="1" applyAlignment="1">
      <alignment horizontal="center" vertical="center"/>
    </xf>
    <xf numFmtId="184" fontId="23" fillId="0" borderId="1" xfId="1" applyNumberFormat="1" applyFont="1" applyBorder="1" applyAlignment="1">
      <alignment horizontal="center" vertical="center"/>
    </xf>
    <xf numFmtId="9" fontId="0" fillId="0" borderId="0" xfId="3"/>
    <xf numFmtId="0" fontId="26" fillId="0" borderId="1" xfId="0" applyFont="1" applyBorder="1" applyAlignment="1">
      <alignment horizontal="center" vertical="center" wrapText="1"/>
    </xf>
    <xf numFmtId="10" fontId="24" fillId="0" borderId="1" xfId="3" applyNumberFormat="1" applyFont="1" applyBorder="1" applyAlignment="1">
      <alignment horizontal="center" vertical="center"/>
    </xf>
    <xf numFmtId="184" fontId="0" fillId="0" borderId="0" xfId="0" applyNumberFormat="1"/>
    <xf numFmtId="0" fontId="26" fillId="0" borderId="0" xfId="0" applyFont="1" applyAlignment="1">
      <alignment horizontal="center" vertical="center" wrapText="1"/>
    </xf>
    <xf numFmtId="3" fontId="23" fillId="0" borderId="0" xfId="0" applyNumberFormat="1" applyFont="1" applyAlignment="1">
      <alignment horizontal="center" vertical="center"/>
    </xf>
    <xf numFmtId="10" fontId="23" fillId="0" borderId="0" xfId="3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9" fontId="27" fillId="0" borderId="0" xfId="3"/>
    <xf numFmtId="184" fontId="23" fillId="0" borderId="1" xfId="0" applyNumberFormat="1" applyFont="1" applyBorder="1" applyAlignment="1">
      <alignment horizontal="center" vertical="center" wrapText="1"/>
    </xf>
    <xf numFmtId="9" fontId="6" fillId="0" borderId="0" xfId="3"/>
    <xf numFmtId="0" fontId="28" fillId="0" borderId="0" xfId="49" applyAlignment="1">
      <alignment vertical="center"/>
    </xf>
    <xf numFmtId="0" fontId="28" fillId="0" borderId="0" xfId="49" applyAlignment="1">
      <alignment horizontal="center" vertical="center"/>
    </xf>
    <xf numFmtId="0" fontId="29" fillId="9" borderId="1" xfId="49" applyFont="1" applyFill="1" applyBorder="1" applyAlignment="1">
      <alignment horizontal="center" wrapText="1"/>
    </xf>
    <xf numFmtId="14" fontId="30" fillId="10" borderId="1" xfId="49" applyNumberFormat="1" applyFont="1" applyFill="1" applyBorder="1" applyAlignment="1">
      <alignment horizontal="center" wrapText="1"/>
    </xf>
    <xf numFmtId="14" fontId="30" fillId="10" borderId="1" xfId="49" applyNumberFormat="1" applyFont="1" applyFill="1" applyBorder="1" applyAlignment="1">
      <alignment horizontal="center"/>
    </xf>
    <xf numFmtId="0" fontId="29" fillId="0" borderId="1" xfId="49" applyFont="1" applyBorder="1" applyAlignment="1">
      <alignment horizontal="center" wrapText="1"/>
    </xf>
    <xf numFmtId="3" fontId="31" fillId="0" borderId="1" xfId="49" applyNumberFormat="1" applyFont="1" applyBorder="1" applyAlignment="1">
      <alignment horizontal="center" wrapText="1"/>
    </xf>
    <xf numFmtId="0" fontId="32" fillId="11" borderId="0" xfId="49" applyFont="1" applyFill="1" applyAlignment="1">
      <alignment vertical="center"/>
    </xf>
    <xf numFmtId="0" fontId="33" fillId="0" borderId="0" xfId="49" applyFont="1" applyAlignment="1">
      <alignment horizontal="center" wrapText="1"/>
    </xf>
    <xf numFmtId="0" fontId="29" fillId="0" borderId="20" xfId="49" applyFont="1" applyBorder="1" applyAlignment="1">
      <alignment horizontal="center"/>
    </xf>
    <xf numFmtId="185" fontId="34" fillId="0" borderId="1" xfId="49" applyNumberFormat="1" applyFont="1" applyBorder="1" applyAlignment="1">
      <alignment horizontal="center" wrapText="1"/>
    </xf>
    <xf numFmtId="10" fontId="34" fillId="0" borderId="1" xfId="3" applyNumberFormat="1" applyFont="1" applyBorder="1" applyAlignment="1">
      <alignment horizontal="center" wrapText="1"/>
    </xf>
    <xf numFmtId="10" fontId="34" fillId="0" borderId="1" xfId="49" applyNumberFormat="1" applyFont="1" applyBorder="1" applyAlignment="1">
      <alignment horizontal="center" wrapText="1"/>
    </xf>
    <xf numFmtId="0" fontId="29" fillId="0" borderId="21" xfId="49" applyFont="1" applyBorder="1" applyAlignment="1">
      <alignment horizontal="center" wrapText="1"/>
    </xf>
    <xf numFmtId="0" fontId="29" fillId="0" borderId="19" xfId="49" applyFont="1" applyBorder="1" applyAlignment="1">
      <alignment horizontal="center" wrapText="1"/>
    </xf>
    <xf numFmtId="0" fontId="29" fillId="9" borderId="18" xfId="49" applyFont="1" applyFill="1" applyBorder="1" applyAlignment="1">
      <alignment horizontal="center" wrapText="1"/>
    </xf>
    <xf numFmtId="14" fontId="30" fillId="10" borderId="18" xfId="49" applyNumberFormat="1" applyFont="1" applyFill="1" applyBorder="1" applyAlignment="1">
      <alignment horizontal="center" wrapText="1"/>
    </xf>
    <xf numFmtId="0" fontId="35" fillId="12" borderId="0" xfId="0" applyFont="1" applyFill="1" applyAlignment="1">
      <alignment horizontal="center" vertical="center"/>
    </xf>
    <xf numFmtId="0" fontId="35" fillId="0" borderId="19" xfId="0" applyFont="1" applyBorder="1" applyAlignment="1">
      <alignment horizontal="right" vertical="center"/>
    </xf>
    <xf numFmtId="0" fontId="35" fillId="0" borderId="22" xfId="0" applyFont="1" applyBorder="1" applyAlignment="1">
      <alignment horizontal="center" vertical="center"/>
    </xf>
    <xf numFmtId="182" fontId="35" fillId="0" borderId="23" xfId="0" applyNumberFormat="1" applyFont="1" applyBorder="1" applyAlignment="1">
      <alignment horizontal="center" vertical="center"/>
    </xf>
    <xf numFmtId="182" fontId="0" fillId="0" borderId="0" xfId="0" applyNumberFormat="1"/>
    <xf numFmtId="0" fontId="0" fillId="0" borderId="22" xfId="0" applyBorder="1"/>
    <xf numFmtId="0" fontId="35" fillId="0" borderId="17" xfId="0" applyFont="1" applyBorder="1" applyAlignment="1">
      <alignment horizontal="center" vertical="center"/>
    </xf>
    <xf numFmtId="0" fontId="35" fillId="12" borderId="16" xfId="0" applyFont="1" applyFill="1" applyBorder="1" applyAlignment="1">
      <alignment horizontal="center" vertical="center"/>
    </xf>
    <xf numFmtId="0" fontId="0" fillId="0" borderId="24" xfId="0" applyBorder="1"/>
    <xf numFmtId="0" fontId="0" fillId="0" borderId="17" xfId="0" applyBorder="1"/>
    <xf numFmtId="0" fontId="9" fillId="0" borderId="16" xfId="0" applyFont="1" applyBorder="1" applyAlignment="1">
      <alignment horizontal="left" vertical="center" wrapText="1"/>
    </xf>
    <xf numFmtId="176" fontId="9" fillId="0" borderId="17" xfId="0" applyNumberFormat="1" applyFont="1" applyBorder="1" applyAlignment="1">
      <alignment horizontal="right" vertical="center"/>
    </xf>
    <xf numFmtId="176" fontId="0" fillId="0" borderId="0" xfId="0" applyNumberFormat="1"/>
    <xf numFmtId="0" fontId="8" fillId="0" borderId="16" xfId="0" applyFont="1" applyBorder="1" applyAlignment="1">
      <alignment horizontal="left" vertical="center" wrapText="1"/>
    </xf>
    <xf numFmtId="182" fontId="35" fillId="12" borderId="17" xfId="0" applyNumberFormat="1" applyFont="1" applyFill="1" applyBorder="1" applyAlignment="1">
      <alignment horizontal="center" vertical="center"/>
    </xf>
    <xf numFmtId="0" fontId="9" fillId="0" borderId="17" xfId="0" applyFont="1" applyBorder="1" applyAlignment="1">
      <alignment horizontal="justify" vertical="center"/>
    </xf>
    <xf numFmtId="0" fontId="35" fillId="12" borderId="25" xfId="0" applyFont="1" applyFill="1" applyBorder="1" applyAlignment="1">
      <alignment horizontal="center" vertical="center" wrapText="1"/>
    </xf>
    <xf numFmtId="0" fontId="0" fillId="0" borderId="26" xfId="0" applyBorder="1"/>
    <xf numFmtId="0" fontId="9" fillId="0" borderId="17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176" fontId="9" fillId="0" borderId="17" xfId="3" applyNumberFormat="1" applyFont="1" applyBorder="1" applyAlignment="1">
      <alignment horizontal="right" vertical="center"/>
    </xf>
    <xf numFmtId="10" fontId="9" fillId="0" borderId="17" xfId="3" applyNumberFormat="1" applyFont="1" applyBorder="1" applyAlignment="1">
      <alignment horizontal="right" vertical="center"/>
    </xf>
    <xf numFmtId="0" fontId="9" fillId="0" borderId="17" xfId="0" applyFont="1" applyBorder="1" applyAlignment="1">
      <alignment horizontal="right" vertical="center"/>
    </xf>
    <xf numFmtId="0" fontId="35" fillId="0" borderId="16" xfId="0" applyFont="1" applyBorder="1" applyAlignment="1">
      <alignment horizontal="center" vertical="center"/>
    </xf>
    <xf numFmtId="176" fontId="9" fillId="0" borderId="8" xfId="0" applyNumberFormat="1" applyFont="1" applyBorder="1" applyAlignment="1">
      <alignment horizontal="right" vertical="center"/>
    </xf>
    <xf numFmtId="0" fontId="36" fillId="13" borderId="16" xfId="0" applyFont="1" applyFill="1" applyBorder="1" applyAlignment="1">
      <alignment horizontal="left" vertical="center"/>
    </xf>
    <xf numFmtId="43" fontId="36" fillId="13" borderId="16" xfId="1" applyFont="1" applyFill="1" applyBorder="1" applyAlignment="1">
      <alignment horizontal="center" vertical="center"/>
    </xf>
    <xf numFmtId="0" fontId="35" fillId="0" borderId="16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0" fillId="7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center" vertical="center"/>
    </xf>
    <xf numFmtId="14" fontId="10" fillId="7" borderId="0" xfId="0" applyNumberFormat="1" applyFont="1" applyFill="1" applyAlignment="1">
      <alignment horizontal="center" vertical="center"/>
    </xf>
    <xf numFmtId="182" fontId="10" fillId="7" borderId="0" xfId="0" applyNumberFormat="1" applyFont="1" applyFill="1" applyAlignment="1">
      <alignment horizontal="center" vertical="center"/>
    </xf>
    <xf numFmtId="0" fontId="0" fillId="14" borderId="0" xfId="0" applyFill="1"/>
    <xf numFmtId="43" fontId="10" fillId="14" borderId="0" xfId="0" applyNumberFormat="1" applyFont="1" applyFill="1" applyAlignment="1">
      <alignment horizontal="right" vertical="center"/>
    </xf>
    <xf numFmtId="4" fontId="10" fillId="14" borderId="0" xfId="0" applyNumberFormat="1" applyFont="1" applyFill="1" applyAlignment="1" applyProtection="1">
      <alignment horizontal="right" vertical="center"/>
      <protection locked="0"/>
    </xf>
    <xf numFmtId="43" fontId="37" fillId="14" borderId="0" xfId="0" applyNumberFormat="1" applyFont="1" applyFill="1" applyAlignment="1" applyProtection="1">
      <alignment horizontal="right" vertical="center"/>
      <protection locked="0"/>
    </xf>
    <xf numFmtId="43" fontId="38" fillId="14" borderId="0" xfId="0" applyNumberFormat="1" applyFont="1" applyFill="1"/>
    <xf numFmtId="4" fontId="10" fillId="8" borderId="0" xfId="0" applyNumberFormat="1" applyFont="1" applyFill="1" applyAlignment="1" applyProtection="1">
      <alignment horizontal="right" vertical="center"/>
      <protection locked="0"/>
    </xf>
    <xf numFmtId="4" fontId="0" fillId="14" borderId="0" xfId="0" applyNumberFormat="1" applyFill="1"/>
    <xf numFmtId="43" fontId="10" fillId="8" borderId="0" xfId="0" applyNumberFormat="1" applyFont="1" applyFill="1" applyAlignment="1" applyProtection="1">
      <alignment horizontal="right" vertical="center"/>
      <protection locked="0"/>
    </xf>
    <xf numFmtId="0" fontId="39" fillId="0" borderId="0" xfId="0" applyFont="1" applyAlignment="1">
      <alignment horizontal="left" vertical="center"/>
    </xf>
    <xf numFmtId="43" fontId="0" fillId="14" borderId="0" xfId="0" applyNumberFormat="1" applyFill="1"/>
    <xf numFmtId="43" fontId="38" fillId="0" borderId="0" xfId="0" applyNumberFormat="1" applyFont="1"/>
    <xf numFmtId="186" fontId="10" fillId="8" borderId="0" xfId="0" applyNumberFormat="1" applyFont="1" applyFill="1" applyAlignment="1" applyProtection="1">
      <alignment horizontal="right" vertical="center"/>
      <protection locked="0"/>
    </xf>
    <xf numFmtId="43" fontId="37" fillId="8" borderId="0" xfId="0" applyNumberFormat="1" applyFont="1" applyFill="1" applyAlignment="1" applyProtection="1">
      <alignment horizontal="right" vertical="center"/>
      <protection locked="0"/>
    </xf>
    <xf numFmtId="186" fontId="10" fillId="14" borderId="0" xfId="0" applyNumberFormat="1" applyFont="1" applyFill="1" applyAlignment="1" applyProtection="1">
      <alignment horizontal="right" vertical="center"/>
      <protection locked="0"/>
    </xf>
    <xf numFmtId="187" fontId="10" fillId="14" borderId="0" xfId="0" applyNumberFormat="1" applyFont="1" applyFill="1" applyAlignment="1" applyProtection="1">
      <alignment horizontal="right" vertical="center"/>
      <protection locked="0"/>
    </xf>
    <xf numFmtId="186" fontId="37" fillId="14" borderId="0" xfId="0" applyNumberFormat="1" applyFont="1" applyFill="1" applyAlignment="1" applyProtection="1">
      <alignment horizontal="right" vertical="center"/>
      <protection locked="0"/>
    </xf>
    <xf numFmtId="186" fontId="0" fillId="14" borderId="0" xfId="0" applyNumberFormat="1" applyFill="1"/>
    <xf numFmtId="186" fontId="10" fillId="0" borderId="0" xfId="0" applyNumberFormat="1" applyFont="1" applyAlignment="1" applyProtection="1">
      <alignment horizontal="right" vertical="center"/>
      <protection locked="0"/>
    </xf>
    <xf numFmtId="0" fontId="40" fillId="0" borderId="0" xfId="0" applyFont="1"/>
    <xf numFmtId="0" fontId="0" fillId="0" borderId="0" xfId="0" applyAlignment="1">
      <alignment vertical="center"/>
    </xf>
    <xf numFmtId="0" fontId="41" fillId="0" borderId="0" xfId="0" applyFont="1" applyAlignment="1">
      <alignment horizontal="left" vertical="center"/>
    </xf>
    <xf numFmtId="4" fontId="10" fillId="15" borderId="0" xfId="0" applyNumberFormat="1" applyFont="1" applyFill="1" applyAlignment="1" applyProtection="1">
      <alignment horizontal="right" vertical="center"/>
      <protection locked="0"/>
    </xf>
    <xf numFmtId="43" fontId="10" fillId="15" borderId="0" xfId="0" applyNumberFormat="1" applyFont="1" applyFill="1" applyAlignment="1" applyProtection="1">
      <alignment horizontal="right" vertical="center"/>
      <protection locked="0"/>
    </xf>
    <xf numFmtId="0" fontId="42" fillId="0" borderId="0" xfId="0" applyFont="1" applyAlignment="1">
      <alignment horizontal="left" vertical="center"/>
    </xf>
    <xf numFmtId="43" fontId="42" fillId="16" borderId="0" xfId="0" applyNumberFormat="1" applyFont="1" applyFill="1" applyAlignment="1">
      <alignment horizontal="right" vertical="center"/>
    </xf>
    <xf numFmtId="4" fontId="42" fillId="16" borderId="0" xfId="0" applyNumberFormat="1" applyFont="1" applyFill="1" applyAlignment="1">
      <alignment horizontal="right" vertical="center"/>
    </xf>
    <xf numFmtId="43" fontId="43" fillId="17" borderId="0" xfId="0" applyNumberFormat="1" applyFont="1" applyFill="1" applyAlignment="1" applyProtection="1">
      <alignment horizontal="right" vertical="center"/>
      <protection locked="0"/>
    </xf>
    <xf numFmtId="43" fontId="10" fillId="16" borderId="0" xfId="0" applyNumberFormat="1" applyFont="1" applyFill="1" applyAlignment="1">
      <alignment horizontal="right" vertical="center"/>
    </xf>
    <xf numFmtId="4" fontId="10" fillId="16" borderId="0" xfId="0" applyNumberFormat="1" applyFont="1" applyFill="1" applyAlignment="1">
      <alignment horizontal="right" vertical="center"/>
    </xf>
    <xf numFmtId="0" fontId="44" fillId="0" borderId="0" xfId="0" applyFont="1" applyAlignment="1">
      <alignment horizontal="left" vertical="center"/>
    </xf>
    <xf numFmtId="187" fontId="10" fillId="15" borderId="0" xfId="0" applyNumberFormat="1" applyFont="1" applyFill="1" applyAlignment="1" applyProtection="1">
      <alignment horizontal="right" vertical="center"/>
      <protection locked="0"/>
    </xf>
    <xf numFmtId="0" fontId="45" fillId="0" borderId="0" xfId="0" applyFont="1" applyAlignment="1">
      <alignment horizontal="left" vertical="center"/>
    </xf>
    <xf numFmtId="0" fontId="46" fillId="0" borderId="0" xfId="0" applyFont="1"/>
    <xf numFmtId="0" fontId="47" fillId="0" borderId="0" xfId="0" applyFont="1"/>
    <xf numFmtId="188" fontId="46" fillId="0" borderId="0" xfId="0" applyNumberFormat="1" applyFont="1"/>
    <xf numFmtId="189" fontId="46" fillId="0" borderId="0" xfId="0" applyNumberFormat="1" applyFo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可行报告财务计算表-yingkougang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theme" Target="theme/theme1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E13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7" customWidth="1"/>
    <col min="2" max="5" width="20.5714285714286" style="197" customWidth="1"/>
    <col min="6" max="16384" width="9.14285714285714" style="197" customWidth="1"/>
  </cols>
  <sheetData>
    <row r="1" spans="1:5">
      <c r="A1" s="197" t="s">
        <v>0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10</v>
      </c>
    </row>
    <row r="5" spans="1:5">
      <c r="A5" s="197" t="s">
        <v>11</v>
      </c>
      <c r="B5" s="199">
        <v>1971684695.2</v>
      </c>
      <c r="C5" s="199">
        <v>1644387091.55</v>
      </c>
      <c r="D5" s="199">
        <v>3525239782.41</v>
      </c>
      <c r="E5" s="199">
        <v>3274422624.23</v>
      </c>
    </row>
    <row r="6" spans="1:5">
      <c r="A6" s="197" t="s">
        <v>12</v>
      </c>
      <c r="B6" s="199">
        <v>1867700</v>
      </c>
      <c r="C6" s="199">
        <v>1561800</v>
      </c>
      <c r="D6" s="199">
        <v>1637800</v>
      </c>
      <c r="E6" s="199">
        <v>1749900</v>
      </c>
    </row>
    <row r="7" spans="1:5">
      <c r="A7" s="197" t="s">
        <v>13</v>
      </c>
    </row>
    <row r="8" spans="1:5">
      <c r="A8" s="197" t="s">
        <v>14</v>
      </c>
      <c r="B8" s="199">
        <v>5248071278.21</v>
      </c>
      <c r="C8" s="199">
        <v>4066756248.59</v>
      </c>
      <c r="D8" s="199">
        <v>4368732482.19</v>
      </c>
      <c r="E8" s="199">
        <v>4747565171.7</v>
      </c>
    </row>
    <row r="9" spans="1:5">
      <c r="A9" s="197" t="s">
        <v>15</v>
      </c>
      <c r="B9" s="199">
        <v>212944184.36</v>
      </c>
      <c r="C9" s="199">
        <v>24833328</v>
      </c>
      <c r="D9" s="199">
        <v>94344643.69</v>
      </c>
      <c r="E9" s="199">
        <v>145595025.19</v>
      </c>
    </row>
    <row r="10" spans="1:5">
      <c r="A10" s="197" t="s">
        <v>16</v>
      </c>
      <c r="B10" s="199">
        <v>5035127093.85</v>
      </c>
      <c r="C10" s="199">
        <v>4041922920.59</v>
      </c>
      <c r="D10" s="199">
        <v>4274387838.5</v>
      </c>
      <c r="E10" s="199">
        <v>4601970146.51</v>
      </c>
    </row>
    <row r="11" spans="1:5">
      <c r="A11" s="197" t="s">
        <v>17</v>
      </c>
    </row>
    <row r="12" spans="1:5">
      <c r="A12" s="197" t="s">
        <v>18</v>
      </c>
      <c r="B12" s="199">
        <v>5399158.44</v>
      </c>
      <c r="C12" s="199">
        <v>11704460.94</v>
      </c>
      <c r="D12" s="199">
        <v>30927129.65</v>
      </c>
      <c r="E12" s="199">
        <v>34867756.87</v>
      </c>
    </row>
    <row r="13" spans="1:5">
      <c r="A13" s="197" t="s">
        <v>19</v>
      </c>
      <c r="B13" s="199">
        <v>6775908117.74</v>
      </c>
      <c r="C13" s="199">
        <v>8322665310.69</v>
      </c>
      <c r="D13" s="199">
        <v>8314524146.49</v>
      </c>
      <c r="E13" s="199">
        <v>8501476634.09</v>
      </c>
    </row>
    <row r="14" spans="1:5">
      <c r="A14" s="197" t="s">
        <v>20</v>
      </c>
    </row>
    <row r="15" spans="1:5">
      <c r="A15" s="197" t="s">
        <v>21</v>
      </c>
      <c r="B15" s="199">
        <v>13303064369.44</v>
      </c>
      <c r="C15" s="199">
        <v>11540673632.16</v>
      </c>
      <c r="D15" s="199">
        <v>9612453155.39</v>
      </c>
      <c r="E15" s="199">
        <v>8839419968.19</v>
      </c>
    </row>
    <row r="16" spans="1:5">
      <c r="A16" s="197" t="s">
        <v>22</v>
      </c>
    </row>
    <row r="17" spans="1:5">
      <c r="A17" s="197" t="s">
        <v>23</v>
      </c>
    </row>
    <row r="18" spans="1:5">
      <c r="A18" s="197" t="s">
        <v>24</v>
      </c>
      <c r="B18" s="199">
        <v>2590545.15</v>
      </c>
      <c r="C18" s="199">
        <v>2590545.15</v>
      </c>
      <c r="D18" s="199">
        <v>3242409.77</v>
      </c>
      <c r="E18" s="199">
        <v>762788.56</v>
      </c>
    </row>
    <row r="19" spans="1:5">
      <c r="A19" s="197" t="s">
        <v>25</v>
      </c>
    </row>
    <row r="20" spans="1:5">
      <c r="A20" s="197" t="s">
        <v>26</v>
      </c>
    </row>
    <row r="21" spans="1:5">
      <c r="A21" s="197" t="s">
        <v>27</v>
      </c>
    </row>
    <row r="22" spans="1:5">
      <c r="A22" s="197" t="s">
        <v>28</v>
      </c>
    </row>
    <row r="23" spans="1:5">
      <c r="A23" s="197" t="s">
        <v>29</v>
      </c>
    </row>
    <row r="24" spans="1:5">
      <c r="A24" s="197" t="s">
        <v>30</v>
      </c>
    </row>
    <row r="25" spans="1:5">
      <c r="A25" s="198" t="s">
        <v>31</v>
      </c>
      <c r="B25" s="199">
        <v>27308585864.18</v>
      </c>
      <c r="C25" s="199">
        <v>25590339089.08</v>
      </c>
      <c r="D25" s="199">
        <v>25856756905.9</v>
      </c>
      <c r="E25" s="199">
        <v>25400264843.64</v>
      </c>
    </row>
    <row r="26" spans="1:5">
      <c r="A26" s="198" t="s">
        <v>32</v>
      </c>
    </row>
    <row r="27" spans="1:5">
      <c r="A27" s="197" t="s">
        <v>33</v>
      </c>
    </row>
    <row r="28" spans="1:5">
      <c r="A28" s="197" t="s">
        <v>34</v>
      </c>
    </row>
    <row r="29" spans="1:5">
      <c r="A29" s="197" t="s">
        <v>35</v>
      </c>
    </row>
    <row r="30" spans="1:5">
      <c r="A30" s="197" t="s">
        <v>36</v>
      </c>
    </row>
    <row r="31" spans="1:5">
      <c r="A31" s="197" t="s">
        <v>37</v>
      </c>
    </row>
    <row r="32" spans="1:5">
      <c r="A32" s="197" t="s">
        <v>38</v>
      </c>
      <c r="E32" s="199">
        <v>161072380</v>
      </c>
    </row>
    <row r="33" spans="1:5">
      <c r="A33" s="197" t="s">
        <v>39</v>
      </c>
      <c r="B33" s="199">
        <v>455301273.84</v>
      </c>
      <c r="C33" s="199">
        <v>455301273.84</v>
      </c>
      <c r="D33" s="199">
        <v>204177380</v>
      </c>
    </row>
    <row r="34" spans="1:5">
      <c r="A34" s="197" t="s">
        <v>40</v>
      </c>
    </row>
    <row r="35" spans="1:5">
      <c r="A35" s="197" t="s">
        <v>41</v>
      </c>
      <c r="B35" s="199">
        <v>30295000</v>
      </c>
      <c r="C35" s="199">
        <v>30295000</v>
      </c>
      <c r="D35" s="199">
        <v>23550001</v>
      </c>
    </row>
    <row r="36" spans="1:5">
      <c r="A36" s="197" t="s">
        <v>42</v>
      </c>
    </row>
    <row r="37" spans="1:5">
      <c r="A37" s="197" t="s">
        <v>43</v>
      </c>
      <c r="B37" s="199">
        <v>549367902.63</v>
      </c>
      <c r="C37" s="199">
        <v>549657918.88</v>
      </c>
      <c r="D37" s="199">
        <v>80923934</v>
      </c>
      <c r="E37" s="199">
        <v>80678934</v>
      </c>
    </row>
    <row r="38" spans="1:5">
      <c r="A38" s="197" t="s">
        <v>44</v>
      </c>
      <c r="B38" s="199">
        <v>4358247750</v>
      </c>
      <c r="C38" s="199">
        <v>4358247750</v>
      </c>
      <c r="D38" s="199">
        <v>4255722350</v>
      </c>
      <c r="E38" s="199">
        <v>3962784824</v>
      </c>
    </row>
    <row r="39" spans="1:5">
      <c r="A39" s="197" t="s">
        <v>45</v>
      </c>
      <c r="B39" s="199">
        <v>343623844.01</v>
      </c>
      <c r="C39" s="199">
        <v>335414818.15</v>
      </c>
      <c r="D39" s="199">
        <v>442342099.71</v>
      </c>
      <c r="E39" s="199">
        <v>461241350.1</v>
      </c>
    </row>
    <row r="40" spans="1:5">
      <c r="A40" s="197" t="s">
        <v>46</v>
      </c>
      <c r="B40" s="199">
        <v>343623844.01</v>
      </c>
      <c r="C40" s="199">
        <v>335414818.15</v>
      </c>
      <c r="D40" s="199">
        <v>442342099.71</v>
      </c>
      <c r="E40" s="199">
        <v>461241350.1</v>
      </c>
    </row>
    <row r="41" spans="1:5">
      <c r="A41" s="197" t="s">
        <v>47</v>
      </c>
    </row>
    <row r="42" spans="1:5">
      <c r="A42" s="197" t="s">
        <v>48</v>
      </c>
      <c r="B42" s="199">
        <v>1058689932.91</v>
      </c>
      <c r="C42" s="199">
        <v>995990059.14</v>
      </c>
      <c r="D42" s="199">
        <v>898885960.54</v>
      </c>
      <c r="E42" s="199">
        <v>831507926.99</v>
      </c>
    </row>
    <row r="43" spans="1:5">
      <c r="A43" s="197" t="s">
        <v>49</v>
      </c>
    </row>
    <row r="44" spans="1:5">
      <c r="A44" s="197" t="s">
        <v>50</v>
      </c>
    </row>
    <row r="45" spans="1:5">
      <c r="A45" s="197" t="s">
        <v>51</v>
      </c>
    </row>
    <row r="46" spans="1:5">
      <c r="A46" s="197" t="s">
        <v>52</v>
      </c>
      <c r="B46" s="199">
        <v>284163494.9</v>
      </c>
      <c r="C46" s="199">
        <v>21897889.93</v>
      </c>
      <c r="D46" s="199">
        <v>22492761.42</v>
      </c>
      <c r="E46" s="199">
        <v>23071277.28</v>
      </c>
    </row>
    <row r="47" spans="1:5">
      <c r="A47" s="197" t="s">
        <v>53</v>
      </c>
    </row>
    <row r="48" spans="1:5">
      <c r="A48" s="197" t="s">
        <v>54</v>
      </c>
    </row>
    <row r="49" spans="1:5">
      <c r="A49" s="197" t="s">
        <v>55</v>
      </c>
      <c r="B49" s="199">
        <v>2839903.92</v>
      </c>
      <c r="C49" s="199">
        <v>3062157.03</v>
      </c>
      <c r="D49" s="199">
        <v>1970481.55</v>
      </c>
      <c r="E49" s="199">
        <v>2132211.46</v>
      </c>
    </row>
    <row r="50" spans="1:5">
      <c r="A50" s="197" t="s">
        <v>56</v>
      </c>
      <c r="B50" s="199">
        <v>917652.1</v>
      </c>
      <c r="C50" s="199">
        <v>735501.53</v>
      </c>
      <c r="D50" s="199">
        <v>706564.53</v>
      </c>
      <c r="E50" s="199">
        <v>1211348.67</v>
      </c>
    </row>
    <row r="51" spans="1:5">
      <c r="A51" s="197" t="s">
        <v>57</v>
      </c>
    </row>
    <row r="52" spans="1:5">
      <c r="A52" s="197" t="s">
        <v>58</v>
      </c>
    </row>
    <row r="53" spans="1:5">
      <c r="A53" s="197" t="s">
        <v>59</v>
      </c>
    </row>
    <row r="54" spans="1:5">
      <c r="A54" s="198" t="s">
        <v>60</v>
      </c>
      <c r="B54" s="199">
        <v>7083446754.31</v>
      </c>
      <c r="C54" s="199">
        <v>6750602368.5</v>
      </c>
      <c r="D54" s="199">
        <v>5930771532.75</v>
      </c>
      <c r="E54" s="199">
        <v>5523700252.5</v>
      </c>
    </row>
    <row r="55" spans="1:5">
      <c r="A55" s="197" t="s">
        <v>61</v>
      </c>
    </row>
    <row r="56" spans="1:5">
      <c r="A56" s="197" t="s">
        <v>62</v>
      </c>
    </row>
    <row r="57" spans="1:5">
      <c r="A57" s="198" t="s">
        <v>63</v>
      </c>
      <c r="B57" s="199">
        <v>34392032618.49</v>
      </c>
      <c r="C57" s="199">
        <v>32340941457.58</v>
      </c>
      <c r="D57" s="199">
        <v>31787528438.65</v>
      </c>
      <c r="E57" s="199">
        <v>30923965096.14</v>
      </c>
    </row>
    <row r="58" spans="1:5">
      <c r="A58" s="198" t="s">
        <v>64</v>
      </c>
    </row>
    <row r="59" spans="1:5">
      <c r="A59" s="197" t="s">
        <v>65</v>
      </c>
      <c r="B59" s="199">
        <v>1855000000</v>
      </c>
      <c r="C59" s="199">
        <v>1136900000</v>
      </c>
      <c r="D59" s="199">
        <v>1061500000</v>
      </c>
      <c r="E59" s="199">
        <v>863000000</v>
      </c>
    </row>
    <row r="60" spans="1:5">
      <c r="A60" s="197" t="s">
        <v>66</v>
      </c>
    </row>
    <row r="61" spans="1:5">
      <c r="A61" s="197" t="s">
        <v>67</v>
      </c>
    </row>
    <row r="62" spans="1:5">
      <c r="A62" s="197" t="s">
        <v>68</v>
      </c>
      <c r="B62" s="199">
        <v>674143373.16</v>
      </c>
      <c r="C62" s="199">
        <v>745011335.41</v>
      </c>
      <c r="D62" s="199">
        <v>982811067.05</v>
      </c>
      <c r="E62" s="199">
        <v>1072093443.8</v>
      </c>
    </row>
    <row r="63" spans="1:5">
      <c r="A63" s="197" t="s">
        <v>69</v>
      </c>
      <c r="B63" s="199">
        <v>23880393.78</v>
      </c>
      <c r="C63" s="199">
        <v>17451125.29</v>
      </c>
      <c r="D63" s="199">
        <v>5181717.65</v>
      </c>
      <c r="E63" s="199">
        <v>49509857.18</v>
      </c>
    </row>
    <row r="64" spans="1:5">
      <c r="A64" s="197" t="s">
        <v>70</v>
      </c>
      <c r="B64" s="199">
        <v>1111107.59</v>
      </c>
      <c r="C64" s="199">
        <v>3274922.39</v>
      </c>
      <c r="D64" s="199">
        <v>29674290.29</v>
      </c>
    </row>
    <row r="65" spans="1:5">
      <c r="A65" s="197" t="s">
        <v>71</v>
      </c>
    </row>
    <row r="66" spans="1:5">
      <c r="A66" s="197" t="s">
        <v>72</v>
      </c>
      <c r="B66" s="199">
        <v>170284.11</v>
      </c>
      <c r="C66" s="199">
        <v>2443278.53</v>
      </c>
      <c r="D66" s="199">
        <v>1978314.29</v>
      </c>
      <c r="E66" s="199">
        <v>14430</v>
      </c>
    </row>
    <row r="67" spans="1:5">
      <c r="A67" s="197" t="s">
        <v>73</v>
      </c>
      <c r="B67" s="199">
        <v>467158140.52</v>
      </c>
      <c r="C67" s="199">
        <v>451671818.11</v>
      </c>
      <c r="D67" s="199">
        <v>426918988.92</v>
      </c>
      <c r="E67" s="199">
        <v>411794944.43</v>
      </c>
    </row>
    <row r="68" spans="1:5">
      <c r="A68" s="197" t="s">
        <v>74</v>
      </c>
      <c r="B68" s="199">
        <v>73305187.81</v>
      </c>
      <c r="C68" s="199">
        <v>100254744.68</v>
      </c>
      <c r="D68" s="199">
        <v>61084509.44</v>
      </c>
      <c r="E68" s="199">
        <v>179912689.63</v>
      </c>
    </row>
    <row r="69" spans="1:5">
      <c r="A69" s="197" t="s">
        <v>75</v>
      </c>
    </row>
    <row r="70" spans="1:5">
      <c r="A70" s="197" t="s">
        <v>76</v>
      </c>
      <c r="B70" s="199">
        <v>3405846696.81</v>
      </c>
      <c r="C70" s="199">
        <v>2365430991.55</v>
      </c>
      <c r="D70" s="199">
        <v>1735451140.42</v>
      </c>
      <c r="E70" s="199">
        <v>3570289200</v>
      </c>
    </row>
    <row r="71" spans="1:5">
      <c r="A71" s="197" t="s">
        <v>77</v>
      </c>
    </row>
    <row r="72" spans="1:5">
      <c r="A72" s="197" t="s">
        <v>78</v>
      </c>
    </row>
    <row r="73" spans="1:5">
      <c r="A73" s="197" t="s">
        <v>79</v>
      </c>
    </row>
    <row r="74" spans="1:5">
      <c r="A74" s="197" t="s">
        <v>80</v>
      </c>
      <c r="B74" s="199">
        <v>500052818.48</v>
      </c>
      <c r="C74" s="199">
        <v>500163624.8</v>
      </c>
      <c r="D74" s="199">
        <v>502194006.7</v>
      </c>
    </row>
    <row r="75" spans="1:5">
      <c r="A75" s="197" t="s">
        <v>81</v>
      </c>
    </row>
    <row r="76" spans="1:5">
      <c r="A76" s="197" t="s">
        <v>82</v>
      </c>
    </row>
    <row r="77" spans="1:5">
      <c r="A77" s="197" t="s">
        <v>83</v>
      </c>
    </row>
    <row r="78" spans="1:5">
      <c r="A78" s="198" t="s">
        <v>84</v>
      </c>
      <c r="B78" s="199">
        <v>7000668002.26</v>
      </c>
      <c r="C78" s="199">
        <v>5322601840.76</v>
      </c>
      <c r="D78" s="199">
        <v>4806794034.76</v>
      </c>
      <c r="E78" s="199">
        <v>6146614565.04</v>
      </c>
    </row>
    <row r="79" spans="1:5">
      <c r="A79" s="198" t="s">
        <v>85</v>
      </c>
    </row>
    <row r="80" spans="1:5">
      <c r="A80" s="197" t="s">
        <v>86</v>
      </c>
      <c r="B80" s="199">
        <v>11711339500</v>
      </c>
      <c r="C80" s="199">
        <v>10619019100</v>
      </c>
      <c r="D80" s="199">
        <v>10820969300</v>
      </c>
      <c r="E80" s="199">
        <v>11324293265</v>
      </c>
    </row>
    <row r="81" spans="1:5">
      <c r="A81" s="197" t="s">
        <v>87</v>
      </c>
      <c r="B81" s="199">
        <v>1629235030.28</v>
      </c>
      <c r="C81" s="199">
        <v>2529125115.13</v>
      </c>
      <c r="D81" s="199">
        <v>2690000000</v>
      </c>
      <c r="E81" s="199">
        <v>1290000000</v>
      </c>
    </row>
    <row r="82" spans="1:5">
      <c r="A82" s="197" t="s">
        <v>88</v>
      </c>
    </row>
    <row r="83" spans="1:5">
      <c r="A83" s="197" t="s">
        <v>89</v>
      </c>
    </row>
    <row r="84" spans="1:5">
      <c r="A84" s="197" t="s">
        <v>90</v>
      </c>
    </row>
    <row r="85" spans="1:5">
      <c r="A85" s="197" t="s">
        <v>91</v>
      </c>
    </row>
    <row r="86" spans="1:5">
      <c r="A86" s="197" t="s">
        <v>92</v>
      </c>
      <c r="B86" s="199">
        <v>309884594.05</v>
      </c>
      <c r="C86" s="199">
        <v>309907869.05</v>
      </c>
      <c r="D86" s="199">
        <v>303410975.49</v>
      </c>
      <c r="E86" s="199">
        <v>299089463.99</v>
      </c>
    </row>
    <row r="87" spans="1:5">
      <c r="A87" s="197" t="s">
        <v>93</v>
      </c>
    </row>
    <row r="88" spans="1:5">
      <c r="A88" s="197" t="s">
        <v>94</v>
      </c>
    </row>
    <row r="89" spans="1:5">
      <c r="A89" s="197" t="s">
        <v>95</v>
      </c>
    </row>
    <row r="90" spans="1:5">
      <c r="A90" s="197" t="s">
        <v>96</v>
      </c>
    </row>
    <row r="91" spans="1:5">
      <c r="A91" s="198" t="s">
        <v>97</v>
      </c>
      <c r="B91" s="199">
        <v>13650459124.33</v>
      </c>
      <c r="C91" s="199">
        <v>13458052084.18</v>
      </c>
      <c r="D91" s="199">
        <v>13814380275.49</v>
      </c>
      <c r="E91" s="199">
        <v>12913382728.99</v>
      </c>
    </row>
    <row r="92" spans="1:5">
      <c r="A92" s="197" t="s">
        <v>98</v>
      </c>
    </row>
    <row r="93" spans="1:5">
      <c r="A93" s="197" t="s">
        <v>99</v>
      </c>
    </row>
    <row r="94" spans="1:5">
      <c r="A94" s="198" t="s">
        <v>100</v>
      </c>
      <c r="B94" s="199">
        <v>20651127126.59</v>
      </c>
      <c r="C94" s="199">
        <v>18780653924.94</v>
      </c>
      <c r="D94" s="199">
        <v>18621174310.25</v>
      </c>
      <c r="E94" s="199">
        <v>19059997294.03</v>
      </c>
    </row>
    <row r="95" spans="1:5">
      <c r="A95" s="198" t="s">
        <v>101</v>
      </c>
    </row>
    <row r="96" spans="1:5">
      <c r="A96" s="197" t="s">
        <v>102</v>
      </c>
      <c r="B96" s="199">
        <v>5000000000</v>
      </c>
      <c r="C96" s="199">
        <v>5000000000</v>
      </c>
      <c r="D96" s="199">
        <v>5000000000</v>
      </c>
      <c r="E96" s="199">
        <v>5000000000</v>
      </c>
    </row>
    <row r="97" spans="1:5">
      <c r="A97" s="197" t="s">
        <v>103</v>
      </c>
    </row>
    <row r="98" spans="1:5">
      <c r="A98" s="197" t="s">
        <v>104</v>
      </c>
    </row>
    <row r="99" spans="1:5">
      <c r="A99" s="197" t="s">
        <v>105</v>
      </c>
    </row>
    <row r="100" spans="1:5">
      <c r="A100" s="197" t="s">
        <v>106</v>
      </c>
      <c r="B100" s="199">
        <v>5112102959.02</v>
      </c>
      <c r="C100" s="199">
        <v>5112102959.02</v>
      </c>
      <c r="D100" s="199">
        <v>5112975470.2</v>
      </c>
      <c r="E100" s="199">
        <v>4206123659.88</v>
      </c>
    </row>
    <row r="101" spans="1:5">
      <c r="A101" s="197" t="s">
        <v>107</v>
      </c>
    </row>
    <row r="102" spans="1:5">
      <c r="A102" s="197" t="s">
        <v>108</v>
      </c>
      <c r="B102" s="199">
        <v>1121080.68</v>
      </c>
      <c r="C102" s="199">
        <v>1121080.68</v>
      </c>
    </row>
    <row r="103" spans="1:5">
      <c r="A103" s="197" t="s">
        <v>109</v>
      </c>
    </row>
    <row r="104" spans="1:5">
      <c r="A104" s="197" t="s">
        <v>110</v>
      </c>
      <c r="B104" s="199">
        <v>73594417.2</v>
      </c>
      <c r="C104" s="199">
        <v>73594417.2</v>
      </c>
      <c r="D104" s="199">
        <v>63625119.78</v>
      </c>
      <c r="E104" s="199">
        <v>53461949.12</v>
      </c>
    </row>
    <row r="105" spans="1:5">
      <c r="A105" s="197" t="s">
        <v>111</v>
      </c>
    </row>
    <row r="106" spans="1:5">
      <c r="A106" s="197" t="s">
        <v>112</v>
      </c>
      <c r="B106" s="199">
        <v>2914776287.8</v>
      </c>
      <c r="C106" s="199">
        <v>2737926005.07</v>
      </c>
      <c r="D106" s="199">
        <v>2393279836.21</v>
      </c>
      <c r="E106" s="199">
        <v>2051239103.95</v>
      </c>
    </row>
    <row r="107" spans="1:5">
      <c r="A107" s="197" t="s">
        <v>113</v>
      </c>
    </row>
    <row r="108" spans="1:5">
      <c r="A108" s="197" t="s">
        <v>114</v>
      </c>
    </row>
    <row r="109" spans="1:5">
      <c r="A109" s="197" t="s">
        <v>115</v>
      </c>
    </row>
    <row r="110" spans="1:5">
      <c r="A110" s="197" t="s">
        <v>116</v>
      </c>
    </row>
    <row r="111" spans="1:5">
      <c r="A111" s="198" t="s">
        <v>117</v>
      </c>
      <c r="B111" s="199">
        <v>13101594744.7</v>
      </c>
      <c r="C111" s="199">
        <v>12924744461.97</v>
      </c>
      <c r="D111" s="199">
        <v>12569880426.19</v>
      </c>
      <c r="E111" s="199">
        <v>11310824712.95</v>
      </c>
    </row>
    <row r="112" spans="1:5">
      <c r="A112" s="197" t="s">
        <v>118</v>
      </c>
      <c r="B112" s="199">
        <v>639310747.2</v>
      </c>
      <c r="C112" s="199">
        <v>635543070.67</v>
      </c>
      <c r="D112" s="199">
        <v>596473702.21</v>
      </c>
      <c r="E112" s="199">
        <v>553143089.16</v>
      </c>
    </row>
    <row r="113" spans="1:5">
      <c r="A113" s="198" t="s">
        <v>119</v>
      </c>
      <c r="B113" s="199">
        <v>13740905491.9</v>
      </c>
      <c r="C113" s="199">
        <v>13560287532.64</v>
      </c>
      <c r="D113" s="199">
        <v>13166354128.4</v>
      </c>
      <c r="E113" s="199">
        <v>11863967802.11</v>
      </c>
    </row>
    <row r="114" spans="1:5">
      <c r="A114" s="197" t="s">
        <v>120</v>
      </c>
    </row>
    <row r="115" spans="1:5">
      <c r="A115" s="197" t="s">
        <v>121</v>
      </c>
    </row>
    <row r="116" spans="1:5">
      <c r="A116" s="197" t="s">
        <v>122</v>
      </c>
      <c r="B116" s="199">
        <v>34392032618.49</v>
      </c>
      <c r="C116" s="199">
        <v>32340941457.58</v>
      </c>
      <c r="D116" s="199">
        <v>31787528438.65</v>
      </c>
      <c r="E116" s="199">
        <v>30923965096.14</v>
      </c>
    </row>
    <row r="117" spans="1:5">
      <c r="A117" s="197" t="s">
        <v>123</v>
      </c>
      <c r="B117" s="197" t="s">
        <v>124</v>
      </c>
      <c r="C117" s="197" t="s">
        <v>124</v>
      </c>
      <c r="D117" s="197" t="s">
        <v>124</v>
      </c>
      <c r="E117" s="197" t="s">
        <v>124</v>
      </c>
    </row>
    <row r="118" spans="1:5">
      <c r="A118" s="197" t="s">
        <v>125</v>
      </c>
      <c r="B118" s="197" t="s">
        <v>124</v>
      </c>
      <c r="C118" s="197" t="s">
        <v>124</v>
      </c>
      <c r="D118" s="197" t="s">
        <v>124</v>
      </c>
      <c r="E118" s="197" t="s">
        <v>124</v>
      </c>
    </row>
    <row r="119" spans="1:5">
      <c r="A119" s="197" t="s">
        <v>126</v>
      </c>
      <c r="B119" s="200">
        <v>1</v>
      </c>
      <c r="C119" s="200">
        <v>1</v>
      </c>
      <c r="D119" s="200">
        <v>1</v>
      </c>
      <c r="E119" s="200">
        <v>1</v>
      </c>
    </row>
    <row r="120" spans="1:5">
      <c r="A120" s="197" t="s">
        <v>127</v>
      </c>
      <c r="B120" s="197" t="s">
        <v>128</v>
      </c>
      <c r="C120" s="197" t="s">
        <v>128</v>
      </c>
      <c r="D120" s="197" t="s">
        <v>128</v>
      </c>
      <c r="E120" s="197" t="s">
        <v>128</v>
      </c>
    </row>
    <row r="121" spans="1:5">
      <c r="A121" s="197" t="s">
        <v>129</v>
      </c>
      <c r="D121" s="199">
        <v>25</v>
      </c>
    </row>
    <row r="122" spans="1:5">
      <c r="A122" s="197" t="s">
        <v>130</v>
      </c>
    </row>
    <row r="123" spans="1:5">
      <c r="A123" s="197" t="s">
        <v>131</v>
      </c>
      <c r="C123" s="197" t="s">
        <v>132</v>
      </c>
      <c r="D123" s="197" t="s">
        <v>132</v>
      </c>
      <c r="E123" s="197" t="s">
        <v>132</v>
      </c>
    </row>
    <row r="124" spans="1:5">
      <c r="A124" s="197" t="s">
        <v>133</v>
      </c>
    </row>
    <row r="125" spans="1:5">
      <c r="A125" s="197" t="s">
        <v>134</v>
      </c>
    </row>
    <row r="126" spans="1:5">
      <c r="A126" s="197" t="s">
        <v>135</v>
      </c>
    </row>
    <row r="127" spans="1:5">
      <c r="A127" s="197" t="s">
        <v>136</v>
      </c>
      <c r="B127" s="197" t="s">
        <v>137</v>
      </c>
      <c r="C127" s="197" t="s">
        <v>138</v>
      </c>
      <c r="D127" s="197" t="s">
        <v>139</v>
      </c>
      <c r="E127" s="197" t="s">
        <v>140</v>
      </c>
    </row>
    <row r="128" spans="1:5">
      <c r="A128" s="197" t="s">
        <v>141</v>
      </c>
      <c r="B128" s="197" t="s">
        <v>142</v>
      </c>
      <c r="C128" s="197" t="s">
        <v>142</v>
      </c>
      <c r="D128" s="197" t="s">
        <v>142</v>
      </c>
      <c r="E128" s="197" t="s">
        <v>142</v>
      </c>
    </row>
    <row r="131" spans="1:1">
      <c r="A131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E66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67.1428571428571" style="197" customWidth="1"/>
    <col min="2" max="5" width="19.4285714285714" style="197" customWidth="1"/>
    <col min="6" max="16384" width="9.14285714285714" style="197" customWidth="1"/>
  </cols>
  <sheetData>
    <row r="1" spans="1:5">
      <c r="A1" s="197" t="s">
        <v>144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145</v>
      </c>
      <c r="B4" s="199">
        <v>1152767947.39</v>
      </c>
      <c r="C4" s="199">
        <v>2311679078.3</v>
      </c>
      <c r="D4" s="199">
        <v>2314271461.3</v>
      </c>
      <c r="E4" s="199">
        <v>2221450533.82</v>
      </c>
    </row>
    <row r="5" spans="1:5">
      <c r="A5" s="197" t="s">
        <v>146</v>
      </c>
      <c r="B5" s="199">
        <v>1152767947.39</v>
      </c>
      <c r="C5" s="199">
        <v>2311679078.3</v>
      </c>
      <c r="D5" s="199">
        <v>2314271461.3</v>
      </c>
      <c r="E5" s="199">
        <v>2221450533.82</v>
      </c>
    </row>
    <row r="6" spans="1:5">
      <c r="A6" s="197" t="s">
        <v>147</v>
      </c>
    </row>
    <row r="7" spans="1:5">
      <c r="A7" s="198" t="s">
        <v>148</v>
      </c>
      <c r="B7" s="199">
        <v>1058375385.26</v>
      </c>
      <c r="C7" s="199">
        <v>2123514528.1</v>
      </c>
      <c r="D7" s="199">
        <v>2089439650.12</v>
      </c>
      <c r="E7" s="199">
        <v>2047348948.63</v>
      </c>
    </row>
    <row r="8" spans="1:5">
      <c r="A8" s="197" t="s">
        <v>149</v>
      </c>
      <c r="B8" s="199">
        <v>997805867.38</v>
      </c>
      <c r="C8" s="199">
        <v>1993923949.24</v>
      </c>
      <c r="D8" s="199">
        <v>1938238326.27</v>
      </c>
      <c r="E8" s="199">
        <v>1916787101.65</v>
      </c>
    </row>
    <row r="9" spans="1:5">
      <c r="A9" s="197" t="s">
        <v>150</v>
      </c>
      <c r="B9" s="199">
        <v>8892612.56</v>
      </c>
      <c r="C9" s="199">
        <v>21775337.57</v>
      </c>
      <c r="D9" s="199">
        <v>25224846.26</v>
      </c>
      <c r="E9" s="199">
        <v>21428259.45</v>
      </c>
    </row>
    <row r="10" spans="1:5">
      <c r="A10" s="197" t="s">
        <v>151</v>
      </c>
      <c r="B10" s="199">
        <v>1469863.33</v>
      </c>
      <c r="C10" s="199">
        <v>1937914.65</v>
      </c>
      <c r="D10" s="199">
        <v>1713769</v>
      </c>
      <c r="E10" s="199">
        <v>1224615.16</v>
      </c>
    </row>
    <row r="11" spans="1:5">
      <c r="A11" s="197" t="s">
        <v>152</v>
      </c>
      <c r="B11" s="199">
        <v>56081912.21</v>
      </c>
      <c r="C11" s="199">
        <v>114770889.41</v>
      </c>
      <c r="D11" s="199">
        <v>129373343.88</v>
      </c>
      <c r="E11" s="199">
        <v>115760906.82</v>
      </c>
    </row>
    <row r="12" spans="1:5">
      <c r="A12" s="197" t="s">
        <v>153</v>
      </c>
    </row>
    <row r="13" spans="1:5">
      <c r="A13" s="197" t="s">
        <v>154</v>
      </c>
      <c r="B13" s="199">
        <v>-5874870.22</v>
      </c>
      <c r="C13" s="199">
        <v>-8893562.77</v>
      </c>
      <c r="D13" s="199">
        <v>-5110635.29</v>
      </c>
      <c r="E13" s="199">
        <v>-7851934.45</v>
      </c>
    </row>
    <row r="14" spans="1:5">
      <c r="A14" s="197" t="s">
        <v>155</v>
      </c>
      <c r="B14" s="199">
        <v>7920541.35</v>
      </c>
      <c r="C14" s="199">
        <v>17656979.57</v>
      </c>
      <c r="D14" s="199">
        <v>6803683.65</v>
      </c>
      <c r="E14" s="199">
        <v>6714085.27</v>
      </c>
    </row>
    <row r="15" spans="1:5">
      <c r="A15" s="197" t="s">
        <v>156</v>
      </c>
      <c r="B15" s="199">
        <v>14914657.52</v>
      </c>
      <c r="C15" s="199">
        <v>36979824.76</v>
      </c>
      <c r="D15" s="199">
        <v>17400177.75</v>
      </c>
      <c r="E15" s="199">
        <v>19201696.72</v>
      </c>
    </row>
    <row r="16" spans="1:5">
      <c r="A16" s="197" t="s">
        <v>157</v>
      </c>
    </row>
    <row r="17" spans="1:5">
      <c r="A17" s="197" t="s">
        <v>158</v>
      </c>
      <c r="B17" s="199">
        <v>84500000</v>
      </c>
      <c r="C17" s="199">
        <v>181237224.35</v>
      </c>
      <c r="D17" s="199">
        <v>179032787.64</v>
      </c>
      <c r="E17" s="199">
        <v>179064093</v>
      </c>
    </row>
    <row r="18" spans="1:5">
      <c r="A18" s="197" t="s">
        <v>159</v>
      </c>
      <c r="B18" s="199">
        <v>1203278.29</v>
      </c>
      <c r="C18" s="199">
        <v>1515042.18</v>
      </c>
      <c r="D18" s="199">
        <v>330357.83</v>
      </c>
      <c r="E18" s="199">
        <v>55609044.96</v>
      </c>
    </row>
    <row r="19" spans="1:5">
      <c r="A19" s="197" t="s">
        <v>160</v>
      </c>
    </row>
    <row r="20" spans="1:5">
      <c r="A20" s="197" t="s">
        <v>161</v>
      </c>
    </row>
    <row r="21" spans="1:5">
      <c r="A21" s="197" t="s">
        <v>162</v>
      </c>
    </row>
    <row r="22" spans="1:5">
      <c r="A22" s="197" t="s">
        <v>163</v>
      </c>
      <c r="B22" s="199">
        <v>305900</v>
      </c>
      <c r="C22" s="199">
        <v>24340800</v>
      </c>
      <c r="D22" s="199">
        <v>17156846</v>
      </c>
      <c r="E22" s="199">
        <v>6542299</v>
      </c>
    </row>
    <row r="23" spans="1:5">
      <c r="A23" s="197" t="s">
        <v>164</v>
      </c>
      <c r="E23" s="199">
        <v>-720657.94</v>
      </c>
    </row>
    <row r="24" spans="1:5">
      <c r="A24" s="197" t="s">
        <v>165</v>
      </c>
      <c r="B24" s="199">
        <v>-515802.27</v>
      </c>
      <c r="C24" s="199">
        <v>-115747.94</v>
      </c>
      <c r="D24" s="199">
        <v>1924136.48</v>
      </c>
    </row>
    <row r="25" spans="1:5">
      <c r="A25" s="197" t="s">
        <v>166</v>
      </c>
      <c r="C25" s="199">
        <v>925366.15</v>
      </c>
      <c r="D25" s="199">
        <v>-1424081.07</v>
      </c>
    </row>
    <row r="26" spans="1:5">
      <c r="A26" s="197" t="s">
        <v>167</v>
      </c>
    </row>
    <row r="27" spans="1:5">
      <c r="A27" s="197" t="s">
        <v>168</v>
      </c>
    </row>
    <row r="28" spans="1:5">
      <c r="A28" s="197" t="s">
        <v>169</v>
      </c>
    </row>
    <row r="29" spans="1:5">
      <c r="A29" s="198" t="s">
        <v>170</v>
      </c>
      <c r="B29" s="199">
        <v>179885938.15</v>
      </c>
      <c r="C29" s="199">
        <v>396067234.94</v>
      </c>
      <c r="D29" s="199">
        <v>421851858.06</v>
      </c>
      <c r="E29" s="199">
        <v>414596364.21</v>
      </c>
    </row>
    <row r="30" spans="1:5">
      <c r="A30" s="197" t="s">
        <v>171</v>
      </c>
      <c r="B30" s="199">
        <v>3159408.51</v>
      </c>
      <c r="C30" s="199">
        <v>24891248.92</v>
      </c>
      <c r="D30" s="199">
        <v>10368861.98</v>
      </c>
      <c r="E30" s="199">
        <v>3214830.28</v>
      </c>
    </row>
    <row r="31" spans="1:5">
      <c r="A31" s="197" t="s">
        <v>172</v>
      </c>
      <c r="B31" s="199">
        <v>939695.16</v>
      </c>
      <c r="C31" s="199">
        <v>9085871.46</v>
      </c>
      <c r="D31" s="199">
        <v>2963708.82</v>
      </c>
      <c r="E31" s="199">
        <v>524551.9</v>
      </c>
    </row>
    <row r="32" spans="1:5">
      <c r="A32" s="197" t="s">
        <v>173</v>
      </c>
    </row>
    <row r="33" spans="1:5">
      <c r="A33" s="197" t="s">
        <v>174</v>
      </c>
    </row>
    <row r="34" spans="1:5">
      <c r="A34" s="197" t="s">
        <v>175</v>
      </c>
    </row>
    <row r="35" spans="1:5">
      <c r="A35" s="198" t="s">
        <v>176</v>
      </c>
      <c r="B35" s="199">
        <v>182105651.5</v>
      </c>
      <c r="C35" s="199">
        <v>411872612.4</v>
      </c>
      <c r="D35" s="199">
        <v>429257011.22</v>
      </c>
      <c r="E35" s="199">
        <v>417286642.59</v>
      </c>
    </row>
    <row r="36" spans="1:5">
      <c r="A36" s="197" t="s">
        <v>177</v>
      </c>
      <c r="B36" s="199">
        <v>1487692.24</v>
      </c>
      <c r="C36" s="199">
        <v>18387777.68</v>
      </c>
      <c r="D36" s="199">
        <v>34457495.25</v>
      </c>
      <c r="E36" s="199">
        <v>33984825.78</v>
      </c>
    </row>
    <row r="37" spans="1:5">
      <c r="A37" s="197" t="s">
        <v>178</v>
      </c>
    </row>
    <row r="38" spans="1:5">
      <c r="A38" s="197" t="s">
        <v>179</v>
      </c>
    </row>
    <row r="39" spans="1:5">
      <c r="A39" s="197" t="s">
        <v>180</v>
      </c>
    </row>
    <row r="40" spans="1:5">
      <c r="A40" s="198" t="s">
        <v>181</v>
      </c>
      <c r="B40" s="199">
        <v>180617959.26</v>
      </c>
      <c r="C40" s="199">
        <v>393484834.72</v>
      </c>
      <c r="D40" s="199">
        <v>394799515.97</v>
      </c>
      <c r="E40" s="199">
        <v>383301816.81</v>
      </c>
    </row>
    <row r="41" spans="1:5">
      <c r="A41" s="197" t="s">
        <v>182</v>
      </c>
      <c r="B41" s="199">
        <v>180617959.26</v>
      </c>
      <c r="C41" s="199">
        <v>393484834.72</v>
      </c>
      <c r="D41" s="199">
        <v>394799515.97</v>
      </c>
      <c r="E41" s="199">
        <v>383301816.81</v>
      </c>
    </row>
    <row r="42" spans="1:5">
      <c r="A42" s="197" t="s">
        <v>183</v>
      </c>
    </row>
    <row r="43" spans="1:5">
      <c r="A43" s="197" t="s">
        <v>184</v>
      </c>
      <c r="B43" s="199">
        <v>3767676.53</v>
      </c>
      <c r="C43" s="199">
        <v>38869368.44</v>
      </c>
      <c r="D43" s="199">
        <v>42595613.05</v>
      </c>
      <c r="E43" s="199">
        <v>24613295.78</v>
      </c>
    </row>
    <row r="44" spans="1:5">
      <c r="A44" s="197" t="s">
        <v>185</v>
      </c>
      <c r="B44" s="199">
        <v>176850282.73</v>
      </c>
      <c r="C44" s="199">
        <v>354615466.28</v>
      </c>
      <c r="D44" s="199">
        <v>352203902.92</v>
      </c>
      <c r="E44" s="199">
        <v>358688521.03</v>
      </c>
    </row>
    <row r="45" spans="1:5">
      <c r="A45" s="197" t="s">
        <v>186</v>
      </c>
      <c r="C45" s="199">
        <v>1121080.68</v>
      </c>
    </row>
    <row r="46" spans="1:5">
      <c r="A46" s="198" t="s">
        <v>187</v>
      </c>
      <c r="B46" s="199">
        <v>180617959.26</v>
      </c>
      <c r="C46" s="199">
        <v>394605915.4</v>
      </c>
      <c r="D46" s="199">
        <v>394799515.97</v>
      </c>
      <c r="E46" s="199">
        <v>383301816.81</v>
      </c>
    </row>
    <row r="47" spans="1:5">
      <c r="A47" s="197" t="s">
        <v>188</v>
      </c>
      <c r="B47" s="199">
        <v>3767676.53</v>
      </c>
      <c r="C47" s="199">
        <v>38869368.44</v>
      </c>
      <c r="D47" s="199">
        <v>42595613.05</v>
      </c>
      <c r="E47" s="199">
        <v>24613295.78</v>
      </c>
    </row>
    <row r="48" spans="1:5">
      <c r="A48" s="197" t="s">
        <v>189</v>
      </c>
      <c r="B48" s="199">
        <v>176850282.73</v>
      </c>
      <c r="C48" s="199">
        <v>355736546.96</v>
      </c>
      <c r="D48" s="199">
        <v>352203902.92</v>
      </c>
      <c r="E48" s="199">
        <v>358688521.03</v>
      </c>
    </row>
    <row r="49" spans="1:5">
      <c r="A49" s="198" t="s">
        <v>190</v>
      </c>
    </row>
    <row r="50" spans="1:5">
      <c r="A50" s="197" t="s">
        <v>191</v>
      </c>
    </row>
    <row r="51" spans="1:5">
      <c r="A51" s="197" t="s">
        <v>192</v>
      </c>
    </row>
    <row r="52" spans="1:5">
      <c r="A52" s="197" t="s">
        <v>123</v>
      </c>
      <c r="B52" s="197" t="s">
        <v>124</v>
      </c>
      <c r="C52" s="197" t="s">
        <v>124</v>
      </c>
      <c r="D52" s="197" t="s">
        <v>124</v>
      </c>
      <c r="E52" s="197" t="s">
        <v>124</v>
      </c>
    </row>
    <row r="53" spans="1:5">
      <c r="A53" s="197" t="s">
        <v>125</v>
      </c>
      <c r="B53" s="197" t="s">
        <v>124</v>
      </c>
      <c r="C53" s="197" t="s">
        <v>124</v>
      </c>
      <c r="D53" s="197" t="s">
        <v>124</v>
      </c>
      <c r="E53" s="197" t="s">
        <v>124</v>
      </c>
    </row>
    <row r="54" spans="1:5">
      <c r="A54" s="197" t="s">
        <v>126</v>
      </c>
      <c r="B54" s="200">
        <v>1</v>
      </c>
      <c r="C54" s="200">
        <v>1</v>
      </c>
      <c r="D54" s="200">
        <v>1</v>
      </c>
      <c r="E54" s="200">
        <v>1</v>
      </c>
    </row>
    <row r="55" spans="1:5">
      <c r="A55" s="197" t="s">
        <v>193</v>
      </c>
      <c r="B55" s="197" t="s">
        <v>128</v>
      </c>
      <c r="C55" s="197" t="s">
        <v>128</v>
      </c>
      <c r="D55" s="197" t="s">
        <v>128</v>
      </c>
      <c r="E55" s="197" t="s">
        <v>128</v>
      </c>
    </row>
    <row r="56" spans="1:5">
      <c r="A56" s="197" t="s">
        <v>129</v>
      </c>
      <c r="D56" s="199">
        <v>25</v>
      </c>
    </row>
    <row r="57" spans="1:5">
      <c r="A57" s="197" t="s">
        <v>130</v>
      </c>
    </row>
    <row r="58" spans="1:5">
      <c r="A58" s="197" t="s">
        <v>131</v>
      </c>
      <c r="C58" s="197" t="s">
        <v>132</v>
      </c>
      <c r="D58" s="197" t="s">
        <v>132</v>
      </c>
      <c r="E58" s="197" t="s">
        <v>132</v>
      </c>
    </row>
    <row r="59" spans="1:5">
      <c r="A59" s="197" t="s">
        <v>133</v>
      </c>
    </row>
    <row r="60" spans="1:5">
      <c r="A60" s="197" t="s">
        <v>134</v>
      </c>
    </row>
    <row r="61" spans="1:5">
      <c r="A61" s="197" t="s">
        <v>135</v>
      </c>
    </row>
    <row r="62" spans="1:5">
      <c r="A62" s="197" t="s">
        <v>136</v>
      </c>
      <c r="B62" s="197" t="s">
        <v>137</v>
      </c>
      <c r="C62" s="197" t="s">
        <v>138</v>
      </c>
      <c r="D62" s="197" t="s">
        <v>139</v>
      </c>
      <c r="E62" s="197" t="s">
        <v>140</v>
      </c>
    </row>
    <row r="63" spans="1:5">
      <c r="A63" s="197" t="s">
        <v>141</v>
      </c>
      <c r="B63" s="197" t="s">
        <v>142</v>
      </c>
      <c r="C63" s="197" t="s">
        <v>142</v>
      </c>
      <c r="D63" s="197" t="s">
        <v>142</v>
      </c>
      <c r="E63" s="197" t="s">
        <v>142</v>
      </c>
    </row>
    <row r="66" spans="1:1">
      <c r="A66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1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1" sqref="A1"/>
    </sheetView>
  </sheetViews>
  <sheetFormatPr defaultColWidth="9.14285714285714" defaultRowHeight="16.8" outlineLevelCol="4"/>
  <cols>
    <col min="1" max="1" width="71.4285714285714" style="197" customWidth="1"/>
    <col min="2" max="2" width="19.4285714285714" style="197" customWidth="1"/>
    <col min="3" max="3" width="20.5714285714286" style="197" customWidth="1"/>
    <col min="4" max="4" width="19.4285714285714" style="197" customWidth="1"/>
    <col min="5" max="5" width="20.5714285714286" style="197" customWidth="1"/>
    <col min="6" max="16384" width="9.14285714285714" style="197" customWidth="1"/>
  </cols>
  <sheetData>
    <row r="1" spans="1:5">
      <c r="A1" s="197" t="s">
        <v>194</v>
      </c>
      <c r="B1" s="197" t="s">
        <v>1</v>
      </c>
      <c r="C1" s="197" t="s">
        <v>2</v>
      </c>
      <c r="D1" s="197" t="s">
        <v>3</v>
      </c>
      <c r="E1" s="197" t="s">
        <v>4</v>
      </c>
    </row>
    <row r="2" spans="1:5">
      <c r="A2" s="197" t="s">
        <v>5</v>
      </c>
      <c r="B2" s="197" t="s">
        <v>6</v>
      </c>
      <c r="C2" s="197" t="s">
        <v>7</v>
      </c>
      <c r="D2" s="197" t="s">
        <v>7</v>
      </c>
      <c r="E2" s="197" t="s">
        <v>7</v>
      </c>
    </row>
    <row r="3" spans="1:5">
      <c r="A3" s="197" t="s">
        <v>8</v>
      </c>
      <c r="B3" s="197" t="s">
        <v>9</v>
      </c>
      <c r="C3" s="197" t="s">
        <v>9</v>
      </c>
      <c r="D3" s="197" t="s">
        <v>9</v>
      </c>
      <c r="E3" s="197" t="s">
        <v>9</v>
      </c>
    </row>
    <row r="4" spans="1:5">
      <c r="A4" s="198" t="s">
        <v>195</v>
      </c>
    </row>
    <row r="5" spans="1:5">
      <c r="A5" s="197" t="s">
        <v>196</v>
      </c>
      <c r="B5" s="199">
        <v>209283230.56</v>
      </c>
      <c r="C5" s="199">
        <v>2591296967.14</v>
      </c>
      <c r="D5" s="199">
        <v>2666403082.68</v>
      </c>
      <c r="E5" s="199">
        <v>2337723417</v>
      </c>
    </row>
    <row r="6" spans="1:5">
      <c r="A6" s="197" t="s">
        <v>197</v>
      </c>
    </row>
    <row r="7" spans="1:5">
      <c r="A7" s="197" t="s">
        <v>198</v>
      </c>
      <c r="B7" s="199">
        <v>2390954855.3</v>
      </c>
      <c r="C7" s="199">
        <v>2391173241.67</v>
      </c>
      <c r="D7" s="199">
        <v>3052027818.74</v>
      </c>
      <c r="E7" s="199">
        <v>3474307180.22</v>
      </c>
    </row>
    <row r="8" spans="1:5">
      <c r="A8" s="197" t="s">
        <v>199</v>
      </c>
    </row>
    <row r="9" spans="1:5">
      <c r="A9" s="197" t="s">
        <v>200</v>
      </c>
    </row>
    <row r="10" spans="1:5">
      <c r="A10" s="197" t="s">
        <v>201</v>
      </c>
    </row>
    <row r="11" spans="1:5">
      <c r="A11" s="198" t="s">
        <v>202</v>
      </c>
      <c r="B11" s="199">
        <v>2600238085.86</v>
      </c>
      <c r="C11" s="199">
        <v>4982470208.81</v>
      </c>
      <c r="D11" s="199">
        <v>5718430901.42</v>
      </c>
      <c r="E11" s="199">
        <v>5812030597.22</v>
      </c>
    </row>
    <row r="12" spans="1:5">
      <c r="A12" s="197" t="s">
        <v>203</v>
      </c>
      <c r="B12" s="199">
        <v>2251069384.41</v>
      </c>
      <c r="C12" s="199">
        <v>3314480942.41</v>
      </c>
      <c r="D12" s="199">
        <v>2557123417.25</v>
      </c>
      <c r="E12" s="199">
        <v>1797457196.19</v>
      </c>
    </row>
    <row r="13" spans="1:5">
      <c r="A13" s="197" t="s">
        <v>204</v>
      </c>
      <c r="B13" s="199">
        <v>49160299.42</v>
      </c>
      <c r="C13" s="199">
        <v>61671721.33</v>
      </c>
      <c r="D13" s="199">
        <v>59971708.58</v>
      </c>
      <c r="E13" s="199">
        <v>50607045.15</v>
      </c>
    </row>
    <row r="14" spans="1:5">
      <c r="A14" s="197" t="s">
        <v>205</v>
      </c>
      <c r="B14" s="199">
        <v>18603494.86</v>
      </c>
      <c r="C14" s="199">
        <v>36008762.56</v>
      </c>
      <c r="D14" s="199">
        <v>66121492.23</v>
      </c>
      <c r="E14" s="199">
        <v>29484711.02</v>
      </c>
    </row>
    <row r="15" spans="1:5">
      <c r="A15" s="197" t="s">
        <v>206</v>
      </c>
      <c r="B15" s="199">
        <v>1186430666.79</v>
      </c>
      <c r="C15" s="199">
        <v>2022145561.01</v>
      </c>
      <c r="D15" s="199">
        <v>2028986437.41</v>
      </c>
      <c r="E15" s="199">
        <v>2724437131.44</v>
      </c>
    </row>
    <row r="16" spans="1:5">
      <c r="A16" s="197" t="s">
        <v>207</v>
      </c>
    </row>
    <row r="17" spans="1:5">
      <c r="A17" s="197" t="s">
        <v>208</v>
      </c>
    </row>
    <row r="18" spans="1:5">
      <c r="A18" s="197" t="s">
        <v>209</v>
      </c>
    </row>
    <row r="19" spans="1:5">
      <c r="A19" s="198" t="s">
        <v>210</v>
      </c>
      <c r="B19" s="199">
        <v>3505263845.48</v>
      </c>
      <c r="C19" s="199">
        <v>5434306987.31</v>
      </c>
      <c r="D19" s="199">
        <v>4712203055.47</v>
      </c>
      <c r="E19" s="199">
        <v>4601986083.8</v>
      </c>
    </row>
    <row r="20" spans="1:5">
      <c r="A20" s="197" t="s">
        <v>211</v>
      </c>
      <c r="B20" s="199">
        <v>-0.01</v>
      </c>
      <c r="C20" s="199">
        <v>0.01</v>
      </c>
    </row>
    <row r="21" spans="1:5">
      <c r="A21" s="198" t="s">
        <v>212</v>
      </c>
      <c r="B21" s="199">
        <v>-905025759.63</v>
      </c>
      <c r="C21" s="199">
        <v>-451836778.49</v>
      </c>
      <c r="D21" s="199">
        <v>1006227845.95</v>
      </c>
      <c r="E21" s="199">
        <v>1210044513.42</v>
      </c>
    </row>
    <row r="22" spans="1:5">
      <c r="A22" s="198" t="s">
        <v>213</v>
      </c>
    </row>
    <row r="23" spans="1:5">
      <c r="A23" s="197" t="s">
        <v>214</v>
      </c>
      <c r="C23" s="199">
        <v>27682501</v>
      </c>
    </row>
    <row r="24" spans="1:5">
      <c r="A24" s="197" t="s">
        <v>215</v>
      </c>
      <c r="C24" s="199">
        <v>1857123.3</v>
      </c>
      <c r="D24" s="199">
        <v>330357.83</v>
      </c>
      <c r="E24" s="199">
        <v>32547844.24</v>
      </c>
    </row>
    <row r="25" spans="1:5">
      <c r="A25" s="197" t="s">
        <v>216</v>
      </c>
      <c r="E25" s="199">
        <v>1000</v>
      </c>
    </row>
    <row r="26" spans="1:5">
      <c r="A26" s="197" t="s">
        <v>217</v>
      </c>
    </row>
    <row r="27" spans="1:5">
      <c r="A27" s="197" t="s">
        <v>218</v>
      </c>
      <c r="C27" s="199">
        <v>55158.86</v>
      </c>
      <c r="D27" s="199">
        <v>1051665.78</v>
      </c>
    </row>
    <row r="28" spans="1:5">
      <c r="A28" s="197" t="s">
        <v>219</v>
      </c>
    </row>
    <row r="29" spans="1:5">
      <c r="A29" s="197" t="s">
        <v>220</v>
      </c>
    </row>
    <row r="30" spans="1:5">
      <c r="A30" s="198" t="s">
        <v>221</v>
      </c>
      <c r="C30" s="199">
        <v>29594783.16</v>
      </c>
      <c r="D30" s="199">
        <v>1382023.61</v>
      </c>
      <c r="E30" s="199">
        <v>32548844.24</v>
      </c>
    </row>
    <row r="31" spans="1:5">
      <c r="A31" s="197" t="s">
        <v>222</v>
      </c>
      <c r="B31" s="199">
        <v>321308819.49</v>
      </c>
      <c r="C31" s="199">
        <v>155585168.38</v>
      </c>
      <c r="D31" s="199">
        <v>88134053.8</v>
      </c>
      <c r="E31" s="199">
        <v>118923092.09</v>
      </c>
    </row>
    <row r="32" spans="1:5">
      <c r="A32" s="197" t="s">
        <v>223</v>
      </c>
      <c r="C32" s="199">
        <v>763127459.84</v>
      </c>
      <c r="D32" s="199">
        <v>66900001</v>
      </c>
      <c r="E32" s="199">
        <v>95149980</v>
      </c>
    </row>
    <row r="33" spans="1:5">
      <c r="A33" s="197" t="s">
        <v>224</v>
      </c>
    </row>
    <row r="34" spans="1:5">
      <c r="A34" s="197" t="s">
        <v>225</v>
      </c>
      <c r="E34" s="199">
        <v>115772503.03</v>
      </c>
    </row>
    <row r="35" spans="1:5">
      <c r="A35" s="197" t="s">
        <v>226</v>
      </c>
    </row>
    <row r="36" spans="1:5">
      <c r="A36" s="197" t="s">
        <v>227</v>
      </c>
    </row>
    <row r="37" spans="1:5">
      <c r="A37" s="198" t="s">
        <v>228</v>
      </c>
      <c r="B37" s="199">
        <v>321308819.49</v>
      </c>
      <c r="C37" s="199">
        <v>918712628.22</v>
      </c>
      <c r="D37" s="199">
        <v>155034054.8</v>
      </c>
      <c r="E37" s="199">
        <v>329845575.12</v>
      </c>
    </row>
    <row r="38" spans="1:5">
      <c r="A38" s="197" t="s">
        <v>229</v>
      </c>
    </row>
    <row r="39" spans="1:5">
      <c r="A39" s="198" t="s">
        <v>230</v>
      </c>
      <c r="B39" s="199">
        <v>-321308819.49</v>
      </c>
      <c r="C39" s="199">
        <v>-889117845.06</v>
      </c>
      <c r="D39" s="199">
        <v>-153652031.19</v>
      </c>
      <c r="E39" s="199">
        <v>-297296730.88</v>
      </c>
    </row>
    <row r="40" spans="1:5">
      <c r="A40" s="198" t="s">
        <v>231</v>
      </c>
    </row>
    <row r="41" spans="1:5">
      <c r="A41" s="197" t="s">
        <v>232</v>
      </c>
      <c r="C41" s="199">
        <v>200000</v>
      </c>
      <c r="D41" s="199">
        <v>632225100</v>
      </c>
      <c r="E41" s="199">
        <v>200000000</v>
      </c>
    </row>
    <row r="42" spans="1:5">
      <c r="A42" s="197" t="s">
        <v>233</v>
      </c>
    </row>
    <row r="43" spans="1:5">
      <c r="A43" s="197" t="s">
        <v>234</v>
      </c>
      <c r="B43" s="199">
        <v>3775660000</v>
      </c>
      <c r="C43" s="199">
        <v>4089239500</v>
      </c>
      <c r="D43" s="199">
        <v>2799520000</v>
      </c>
      <c r="E43" s="199">
        <v>4795994300</v>
      </c>
    </row>
    <row r="44" spans="1:5">
      <c r="A44" s="197" t="s">
        <v>235</v>
      </c>
      <c r="B44" s="199">
        <v>335969864.79</v>
      </c>
      <c r="C44" s="199">
        <v>1040911973.99</v>
      </c>
      <c r="D44" s="199">
        <v>1493778472.03</v>
      </c>
      <c r="E44" s="199">
        <v>1998000000</v>
      </c>
    </row>
    <row r="45" spans="1:5">
      <c r="A45" s="197" t="s">
        <v>236</v>
      </c>
      <c r="C45" s="199">
        <v>500000000</v>
      </c>
      <c r="D45" s="199">
        <v>2390000000</v>
      </c>
      <c r="E45" s="199">
        <v>800000000</v>
      </c>
    </row>
    <row r="46" spans="1:5">
      <c r="A46" s="197" t="s">
        <v>237</v>
      </c>
    </row>
    <row r="47" spans="1:5">
      <c r="A47" s="197" t="s">
        <v>238</v>
      </c>
    </row>
    <row r="48" spans="1:5">
      <c r="A48" s="198" t="s">
        <v>239</v>
      </c>
      <c r="B48" s="199">
        <v>4111629864.79</v>
      </c>
      <c r="C48" s="199">
        <v>5630351473.99</v>
      </c>
      <c r="D48" s="199">
        <v>7315523572.03</v>
      </c>
      <c r="E48" s="199">
        <v>7793994300</v>
      </c>
    </row>
    <row r="49" spans="1:5">
      <c r="A49" s="197" t="s">
        <v>240</v>
      </c>
      <c r="B49" s="199">
        <v>1824850100</v>
      </c>
      <c r="C49" s="199">
        <v>4242319700</v>
      </c>
      <c r="D49" s="199">
        <v>5485033465</v>
      </c>
      <c r="E49" s="199">
        <v>6408938351.91</v>
      </c>
    </row>
    <row r="50" spans="1:5">
      <c r="A50" s="197" t="s">
        <v>241</v>
      </c>
      <c r="B50" s="199">
        <v>397177717.23</v>
      </c>
      <c r="C50" s="199">
        <v>887017867.31</v>
      </c>
      <c r="D50" s="199">
        <v>938470291.58</v>
      </c>
      <c r="E50" s="199">
        <v>938652465.6</v>
      </c>
    </row>
    <row r="51" spans="1:5">
      <c r="A51" s="197" t="s">
        <v>242</v>
      </c>
    </row>
    <row r="52" spans="1:5">
      <c r="A52" s="197" t="s">
        <v>243</v>
      </c>
      <c r="B52" s="199">
        <v>41763172.7</v>
      </c>
      <c r="C52" s="199">
        <v>482835574.17</v>
      </c>
      <c r="D52" s="199">
        <v>1142522692.16</v>
      </c>
      <c r="E52" s="199">
        <v>1475534172.1</v>
      </c>
    </row>
    <row r="53" spans="1:5">
      <c r="A53" s="197" t="s">
        <v>244</v>
      </c>
    </row>
    <row r="54" spans="1:5">
      <c r="A54" s="197" t="s">
        <v>245</v>
      </c>
    </row>
    <row r="55" spans="1:5">
      <c r="A55" s="198" t="s">
        <v>246</v>
      </c>
      <c r="B55" s="199">
        <v>2263790989.93</v>
      </c>
      <c r="C55" s="199">
        <v>5612173141.48</v>
      </c>
      <c r="D55" s="199">
        <v>7566026448.74</v>
      </c>
      <c r="E55" s="199">
        <v>8823124989.61</v>
      </c>
    </row>
    <row r="56" spans="1:5">
      <c r="A56" s="197" t="s">
        <v>247</v>
      </c>
    </row>
    <row r="57" spans="1:5">
      <c r="A57" s="198" t="s">
        <v>248</v>
      </c>
      <c r="B57" s="199">
        <v>1847838874.86</v>
      </c>
      <c r="C57" s="199">
        <v>18178332.51</v>
      </c>
      <c r="D57" s="199">
        <v>-250502876.71</v>
      </c>
      <c r="E57" s="199">
        <v>-1029130689.61</v>
      </c>
    </row>
    <row r="58" spans="1:5">
      <c r="A58" s="198" t="s">
        <v>249</v>
      </c>
    </row>
    <row r="59" spans="1:5">
      <c r="A59" s="197" t="s">
        <v>250</v>
      </c>
    </row>
    <row r="60" spans="1:5">
      <c r="A60" s="197" t="s">
        <v>251</v>
      </c>
    </row>
    <row r="61" spans="1:5">
      <c r="A61" s="198" t="s">
        <v>252</v>
      </c>
      <c r="B61" s="199">
        <v>621504295.74</v>
      </c>
      <c r="C61" s="199">
        <v>-1322776291.04</v>
      </c>
      <c r="D61" s="199">
        <v>602072938.05</v>
      </c>
      <c r="E61" s="199">
        <v>-116382907.07</v>
      </c>
    </row>
    <row r="62" spans="1:5">
      <c r="A62" s="197" t="s">
        <v>253</v>
      </c>
      <c r="B62" s="199">
        <v>1185185099.14</v>
      </c>
      <c r="C62" s="199">
        <v>2507961390.18</v>
      </c>
      <c r="D62" s="199">
        <v>1905888452.13</v>
      </c>
      <c r="E62" s="199">
        <v>2022271359.2</v>
      </c>
    </row>
    <row r="63" spans="1:5">
      <c r="A63" s="197" t="s">
        <v>254</v>
      </c>
      <c r="B63" s="199">
        <v>1806689394.88</v>
      </c>
      <c r="C63" s="199">
        <v>1185185099.14</v>
      </c>
      <c r="D63" s="199">
        <v>2507961390.18</v>
      </c>
      <c r="E63" s="199">
        <v>1905888452.13</v>
      </c>
    </row>
    <row r="64" spans="1:5">
      <c r="A64" s="198" t="s">
        <v>255</v>
      </c>
    </row>
    <row r="65" spans="1:5">
      <c r="A65" s="197" t="s">
        <v>256</v>
      </c>
      <c r="C65" s="199">
        <v>393484834.72</v>
      </c>
      <c r="D65" s="199">
        <v>394799515.97</v>
      </c>
      <c r="E65" s="199">
        <v>383301816.81</v>
      </c>
    </row>
    <row r="66" spans="1:5">
      <c r="A66" s="197" t="s">
        <v>257</v>
      </c>
      <c r="C66" s="199">
        <v>115747.94</v>
      </c>
      <c r="E66" s="199">
        <v>720657.94</v>
      </c>
    </row>
    <row r="67" spans="1:5">
      <c r="A67" s="197" t="s">
        <v>258</v>
      </c>
      <c r="D67" s="199">
        <v>-1924136.48</v>
      </c>
    </row>
    <row r="68" spans="1:5">
      <c r="A68" s="197" t="s">
        <v>259</v>
      </c>
      <c r="C68" s="199">
        <v>28103240.67</v>
      </c>
      <c r="D68" s="199">
        <v>37795962.26</v>
      </c>
      <c r="E68" s="199">
        <v>40339451.92</v>
      </c>
    </row>
    <row r="69" spans="1:5">
      <c r="A69" s="197" t="s">
        <v>260</v>
      </c>
      <c r="C69" s="199">
        <v>779558.28</v>
      </c>
      <c r="D69" s="199">
        <v>759575.73</v>
      </c>
      <c r="E69" s="199">
        <v>1188876.13</v>
      </c>
    </row>
    <row r="70" spans="1:5">
      <c r="A70" s="197" t="s">
        <v>261</v>
      </c>
    </row>
    <row r="71" spans="1:5">
      <c r="A71" s="197" t="s">
        <v>262</v>
      </c>
      <c r="C71" s="199">
        <v>753351.2</v>
      </c>
      <c r="D71" s="199">
        <v>161729.91</v>
      </c>
      <c r="E71" s="199">
        <v>979800.5</v>
      </c>
    </row>
    <row r="72" spans="1:5">
      <c r="A72" s="197" t="s">
        <v>263</v>
      </c>
    </row>
    <row r="73" spans="1:5">
      <c r="A73" s="197" t="s">
        <v>264</v>
      </c>
    </row>
    <row r="74" spans="1:5">
      <c r="A74" s="197" t="s">
        <v>265</v>
      </c>
      <c r="C74" s="199">
        <v>-925366.15</v>
      </c>
      <c r="D74" s="199">
        <v>1424081.07</v>
      </c>
    </row>
    <row r="75" spans="1:5">
      <c r="A75" s="197" t="s">
        <v>266</v>
      </c>
      <c r="D75" s="199">
        <v>-674883.38</v>
      </c>
    </row>
    <row r="76" spans="1:5">
      <c r="A76" s="197" t="s">
        <v>267</v>
      </c>
      <c r="C76" s="199">
        <v>-24340800</v>
      </c>
      <c r="D76" s="199">
        <v>-17156846</v>
      </c>
      <c r="E76" s="199">
        <v>-6542299</v>
      </c>
    </row>
    <row r="77" spans="1:5">
      <c r="A77" s="197" t="s">
        <v>268</v>
      </c>
      <c r="C77" s="199">
        <v>17656979.57</v>
      </c>
      <c r="D77" s="199">
        <v>6803683.65</v>
      </c>
      <c r="E77" s="199">
        <v>6714085.27</v>
      </c>
    </row>
    <row r="78" spans="1:5">
      <c r="A78" s="197" t="s">
        <v>269</v>
      </c>
      <c r="C78" s="199">
        <v>-1515042.18</v>
      </c>
      <c r="D78" s="199">
        <v>-330357.83</v>
      </c>
      <c r="E78" s="199">
        <v>-55609044.96</v>
      </c>
    </row>
    <row r="79" spans="1:5">
      <c r="A79" s="197" t="s">
        <v>270</v>
      </c>
      <c r="C79" s="199">
        <v>-28936.99</v>
      </c>
      <c r="D79" s="199">
        <v>504784.14</v>
      </c>
      <c r="E79" s="199">
        <v>-203914.49</v>
      </c>
    </row>
    <row r="80" spans="1:5">
      <c r="A80" s="197" t="s">
        <v>271</v>
      </c>
      <c r="C80" s="199">
        <v>6496893.56</v>
      </c>
      <c r="D80" s="199">
        <v>4321511.5</v>
      </c>
      <c r="E80" s="199">
        <v>-38158863.01</v>
      </c>
    </row>
    <row r="81" spans="1:5">
      <c r="A81" s="197" t="s">
        <v>272</v>
      </c>
      <c r="C81" s="199">
        <v>-1928220476.77</v>
      </c>
      <c r="D81" s="199">
        <v>-773033187.2</v>
      </c>
      <c r="E81" s="199">
        <v>687668329.85</v>
      </c>
    </row>
    <row r="82" spans="1:5">
      <c r="A82" s="197" t="s">
        <v>273</v>
      </c>
      <c r="C82" s="199">
        <v>238453713.97</v>
      </c>
      <c r="D82" s="199">
        <v>565785177.11</v>
      </c>
      <c r="E82" s="199">
        <v>-526144851.02</v>
      </c>
    </row>
    <row r="83" spans="1:5">
      <c r="A83" s="197" t="s">
        <v>274</v>
      </c>
      <c r="C83" s="199">
        <v>817349523.69</v>
      </c>
      <c r="D83" s="199">
        <v>786991235.5</v>
      </c>
      <c r="E83" s="199">
        <v>715790467.48</v>
      </c>
    </row>
    <row r="84" spans="1:5">
      <c r="A84" s="197" t="s">
        <v>275</v>
      </c>
    </row>
    <row r="85" spans="1:5">
      <c r="A85" s="197" t="s">
        <v>276</v>
      </c>
    </row>
    <row r="86" spans="1:5">
      <c r="A86" s="197" t="s">
        <v>277</v>
      </c>
    </row>
    <row r="87" spans="1:5">
      <c r="A87" s="197" t="s">
        <v>278</v>
      </c>
    </row>
    <row r="88" spans="1:5">
      <c r="A88" s="197" t="s">
        <v>279</v>
      </c>
      <c r="C88" s="199">
        <v>-451836778.49</v>
      </c>
      <c r="D88" s="199">
        <v>1006227845.95</v>
      </c>
      <c r="E88" s="199">
        <v>1210044513.42</v>
      </c>
    </row>
    <row r="89" spans="1:5">
      <c r="A89" s="197" t="s">
        <v>280</v>
      </c>
    </row>
    <row r="90" spans="1:5">
      <c r="A90" s="197" t="s">
        <v>281</v>
      </c>
    </row>
    <row r="91" spans="1:5">
      <c r="A91" s="197" t="s">
        <v>282</v>
      </c>
    </row>
    <row r="92" spans="1:5">
      <c r="A92" s="197" t="s">
        <v>283</v>
      </c>
      <c r="C92" s="199">
        <v>1185185099.14</v>
      </c>
      <c r="D92" s="199">
        <v>2507961390.18</v>
      </c>
      <c r="E92" s="199">
        <v>1905888452.13</v>
      </c>
    </row>
    <row r="93" spans="1:5">
      <c r="A93" s="197" t="s">
        <v>284</v>
      </c>
      <c r="C93" s="199">
        <v>2507961390.18</v>
      </c>
      <c r="D93" s="199">
        <v>1905888452.13</v>
      </c>
      <c r="E93" s="199">
        <v>2022271359.2</v>
      </c>
    </row>
    <row r="94" spans="1:5">
      <c r="A94" s="197" t="s">
        <v>285</v>
      </c>
    </row>
    <row r="95" spans="1:5">
      <c r="A95" s="197" t="s">
        <v>286</v>
      </c>
    </row>
    <row r="96" spans="1:5">
      <c r="A96" s="197" t="s">
        <v>287</v>
      </c>
    </row>
    <row r="97" spans="1:5">
      <c r="A97" s="197" t="s">
        <v>288</v>
      </c>
    </row>
    <row r="98" spans="1:5">
      <c r="A98" s="197" t="s">
        <v>289</v>
      </c>
      <c r="C98" s="199">
        <v>-1322776291.04</v>
      </c>
      <c r="D98" s="199">
        <v>602072938.05</v>
      </c>
      <c r="E98" s="199">
        <v>-116382907.07</v>
      </c>
    </row>
    <row r="99" spans="1:5">
      <c r="A99" s="197" t="s">
        <v>123</v>
      </c>
      <c r="B99" s="197" t="s">
        <v>124</v>
      </c>
      <c r="C99" s="197" t="s">
        <v>124</v>
      </c>
      <c r="D99" s="197" t="s">
        <v>124</v>
      </c>
      <c r="E99" s="197" t="s">
        <v>124</v>
      </c>
    </row>
    <row r="100" spans="1:5">
      <c r="A100" s="197" t="s">
        <v>125</v>
      </c>
      <c r="B100" s="197" t="s">
        <v>124</v>
      </c>
      <c r="C100" s="197" t="s">
        <v>124</v>
      </c>
      <c r="D100" s="197" t="s">
        <v>124</v>
      </c>
      <c r="E100" s="197" t="s">
        <v>124</v>
      </c>
    </row>
    <row r="101" spans="1:5">
      <c r="A101" s="197" t="s">
        <v>126</v>
      </c>
      <c r="B101" s="200">
        <v>1</v>
      </c>
      <c r="C101" s="200">
        <v>1</v>
      </c>
      <c r="D101" s="200">
        <v>1</v>
      </c>
      <c r="E101" s="200">
        <v>1</v>
      </c>
    </row>
    <row r="102" spans="1:5">
      <c r="A102" s="197" t="s">
        <v>193</v>
      </c>
      <c r="B102" s="197" t="s">
        <v>128</v>
      </c>
      <c r="C102" s="197" t="s">
        <v>128</v>
      </c>
      <c r="D102" s="197" t="s">
        <v>128</v>
      </c>
      <c r="E102" s="197" t="s">
        <v>128</v>
      </c>
    </row>
    <row r="103" spans="1:5">
      <c r="A103" s="197" t="s">
        <v>129</v>
      </c>
      <c r="D103" s="199">
        <v>25</v>
      </c>
    </row>
    <row r="104" spans="1:5">
      <c r="A104" s="197" t="s">
        <v>130</v>
      </c>
    </row>
    <row r="105" spans="1:5">
      <c r="A105" s="197" t="s">
        <v>131</v>
      </c>
      <c r="C105" s="197" t="s">
        <v>132</v>
      </c>
      <c r="D105" s="197" t="s">
        <v>132</v>
      </c>
      <c r="E105" s="197" t="s">
        <v>132</v>
      </c>
    </row>
    <row r="106" spans="1:5">
      <c r="A106" s="197" t="s">
        <v>133</v>
      </c>
    </row>
    <row r="107" spans="1:5">
      <c r="A107" s="197" t="s">
        <v>134</v>
      </c>
    </row>
    <row r="108" spans="1:5">
      <c r="A108" s="197" t="s">
        <v>135</v>
      </c>
    </row>
    <row r="109" spans="1:5">
      <c r="A109" s="197" t="s">
        <v>136</v>
      </c>
      <c r="B109" s="197" t="s">
        <v>137</v>
      </c>
      <c r="C109" s="197" t="s">
        <v>138</v>
      </c>
      <c r="D109" s="197" t="s">
        <v>139</v>
      </c>
      <c r="E109" s="197" t="s">
        <v>140</v>
      </c>
    </row>
    <row r="110" spans="1:5">
      <c r="A110" s="197" t="s">
        <v>141</v>
      </c>
      <c r="B110" s="197" t="s">
        <v>142</v>
      </c>
      <c r="C110" s="197" t="s">
        <v>142</v>
      </c>
      <c r="D110" s="197" t="s">
        <v>142</v>
      </c>
      <c r="E110" s="197" t="s">
        <v>142</v>
      </c>
    </row>
    <row r="113" spans="1:1">
      <c r="A113" s="197" t="s">
        <v>143</v>
      </c>
    </row>
  </sheetData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J111"/>
  <sheetViews>
    <sheetView zoomScale="105" zoomScaleNormal="105" workbookViewId="0">
      <selection activeCell="C108" sqref="C108"/>
    </sheetView>
  </sheetViews>
  <sheetFormatPr defaultColWidth="9" defaultRowHeight="15.2"/>
  <cols>
    <col min="1" max="1" width="8.57142857142857" style="159" customWidth="1"/>
    <col min="2" max="2" width="16.4285714285714" customWidth="1"/>
    <col min="3" max="3" width="22.2857142857143" customWidth="1"/>
    <col min="4" max="5" width="17.2857142857143" customWidth="1"/>
    <col min="6" max="6" width="17.1428571428571" customWidth="1"/>
    <col min="7" max="7" width="14.2857142857143" customWidth="1"/>
    <col min="8" max="8" width="20.8571428571429" customWidth="1"/>
    <col min="9" max="9" width="15.4285714285714" customWidth="1"/>
  </cols>
  <sheetData>
    <row r="1" ht="22.15" customHeight="1" spans="1:10">
      <c r="A1" s="161" t="s">
        <v>290</v>
      </c>
      <c r="B1" s="162" t="s">
        <v>291</v>
      </c>
      <c r="C1" s="163">
        <v>45930</v>
      </c>
      <c r="D1" s="164"/>
      <c r="E1" s="163"/>
      <c r="F1" s="163"/>
      <c r="G1" s="163"/>
      <c r="H1" s="20" t="s">
        <v>292</v>
      </c>
    </row>
    <row r="2" ht="14.1" customHeight="1" spans="1:10">
      <c r="A2" s="185">
        <v>1000</v>
      </c>
      <c r="B2" s="173" t="s">
        <v>293</v>
      </c>
      <c r="C2" s="186"/>
      <c r="D2" s="186"/>
      <c r="E2" s="186"/>
      <c r="F2" s="186"/>
      <c r="G2" s="186"/>
      <c r="H2">
        <f t="shared" ref="H2:H65" si="0">C2+D2+E2+F2</f>
        <v>0</v>
      </c>
      <c r="I2" t="str">
        <f t="shared" ref="I2:I65" si="1">B2</f>
        <v>流动资产： </v>
      </c>
      <c r="J2" s="43"/>
    </row>
    <row r="3" ht="14.1" customHeight="1" spans="1:10">
      <c r="A3" s="185">
        <v>1001</v>
      </c>
      <c r="B3" s="185" t="s">
        <v>294</v>
      </c>
      <c r="C3" s="186"/>
      <c r="D3" s="186"/>
      <c r="E3" s="186"/>
      <c r="F3" s="186"/>
      <c r="G3" s="186"/>
      <c r="H3">
        <f t="shared" si="0"/>
        <v>0</v>
      </c>
      <c r="I3" t="str">
        <f t="shared" si="1"/>
        <v>  货币资金 </v>
      </c>
      <c r="J3" s="43" t="str">
        <f t="shared" ref="J3:J24" si="2"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分别为0亿元、0亿元、0亿元及0亿元。</v>
      </c>
    </row>
    <row r="4" ht="14.1" customHeight="1" spans="1:10">
      <c r="A4" s="185">
        <v>1002</v>
      </c>
      <c r="B4" s="185" t="s">
        <v>295</v>
      </c>
      <c r="C4" s="186"/>
      <c r="D4" s="186"/>
      <c r="E4" s="186"/>
      <c r="F4" s="186"/>
      <c r="G4" s="186"/>
      <c r="H4">
        <f t="shared" si="0"/>
        <v>0</v>
      </c>
      <c r="I4" t="str">
        <f t="shared" si="1"/>
        <v>  结算备付金* </v>
      </c>
      <c r="J4" s="43" t="str">
        <f t="shared" si="2"/>
        <v>近三年及一期，拟承租人  结算备付金* 分别为0亿元、0亿元、0亿元及0亿元。</v>
      </c>
    </row>
    <row r="5" ht="14.1" customHeight="1" spans="1:10">
      <c r="A5" s="185">
        <v>1003</v>
      </c>
      <c r="B5" s="185" t="s">
        <v>296</v>
      </c>
      <c r="C5" s="186"/>
      <c r="D5" s="186"/>
      <c r="E5" s="186"/>
      <c r="F5" s="186"/>
      <c r="G5" s="186"/>
      <c r="H5">
        <f t="shared" si="0"/>
        <v>0</v>
      </c>
      <c r="I5" t="str">
        <f t="shared" si="1"/>
        <v>  拆出资金* </v>
      </c>
      <c r="J5" s="43" t="str">
        <f t="shared" si="2"/>
        <v>近三年及一期，拟承租人  拆出资金* 分别为0亿元、0亿元、0亿元及0亿元。</v>
      </c>
    </row>
    <row r="6" ht="14.1" customHeight="1" spans="1:10">
      <c r="A6" s="185">
        <v>1004</v>
      </c>
      <c r="B6" s="185" t="s">
        <v>297</v>
      </c>
      <c r="C6" s="186"/>
      <c r="D6" s="186"/>
      <c r="E6" s="186"/>
      <c r="F6" s="186"/>
      <c r="G6" s="186"/>
      <c r="H6">
        <f t="shared" si="0"/>
        <v>0</v>
      </c>
      <c r="I6" t="str">
        <f t="shared" si="1"/>
        <v>  交易性金融资产 </v>
      </c>
      <c r="J6" s="43" t="str">
        <f t="shared" si="2"/>
        <v>近三年及一期，拟承租人  交易性金融资产 分别为0亿元、0亿元、0亿元及0亿元。</v>
      </c>
    </row>
    <row r="7" ht="14.1" customHeight="1" spans="1:10">
      <c r="A7" s="185">
        <v>1005</v>
      </c>
      <c r="B7" s="185" t="s">
        <v>298</v>
      </c>
      <c r="C7" s="186"/>
      <c r="D7" s="186"/>
      <c r="E7" s="186"/>
      <c r="F7" s="186"/>
      <c r="G7" s="186"/>
      <c r="H7">
        <f t="shared" si="0"/>
        <v>0</v>
      </c>
      <c r="I7" t="str">
        <f t="shared" si="1"/>
        <v>  衍生金融资产 </v>
      </c>
      <c r="J7" s="43" t="str">
        <f t="shared" si="2"/>
        <v>近三年及一期，拟承租人  衍生金融资产 分别为0亿元、0亿元、0亿元及0亿元。</v>
      </c>
    </row>
    <row r="8" ht="14.1" customHeight="1" spans="1:10">
      <c r="A8" s="185">
        <v>1006</v>
      </c>
      <c r="B8" s="185" t="s">
        <v>299</v>
      </c>
      <c r="C8" s="186"/>
      <c r="D8" s="186"/>
      <c r="E8" s="186"/>
      <c r="F8" s="186"/>
      <c r="G8" s="186"/>
      <c r="H8">
        <f t="shared" si="0"/>
        <v>0</v>
      </c>
      <c r="I8" t="str">
        <f t="shared" si="1"/>
        <v>  应收票据 </v>
      </c>
      <c r="J8" s="43" t="str">
        <f t="shared" si="2"/>
        <v>近三年及一期，拟承租人  应收票据 分别为0亿元、0亿元、0亿元及0亿元。</v>
      </c>
    </row>
    <row r="9" ht="14.1" customHeight="1" spans="1:10">
      <c r="A9" s="185">
        <v>1007</v>
      </c>
      <c r="B9" s="185" t="s">
        <v>300</v>
      </c>
      <c r="C9" s="186"/>
      <c r="D9" s="186"/>
      <c r="E9" s="186"/>
      <c r="F9" s="186"/>
      <c r="G9" s="186"/>
      <c r="H9">
        <f t="shared" si="0"/>
        <v>0</v>
      </c>
      <c r="I9" t="str">
        <f t="shared" si="1"/>
        <v>  应收账款 </v>
      </c>
      <c r="J9" s="43" t="str">
        <f t="shared" si="2"/>
        <v>近三年及一期，拟承租人  应收账款 分别为0亿元、0亿元、0亿元及0亿元。</v>
      </c>
    </row>
    <row r="10" ht="14.1" customHeight="1" spans="1:10">
      <c r="A10" s="185">
        <v>1008</v>
      </c>
      <c r="B10" s="185" t="s">
        <v>301</v>
      </c>
      <c r="C10" s="186"/>
      <c r="D10" s="186"/>
      <c r="E10" s="186"/>
      <c r="F10" s="186"/>
      <c r="G10" s="186"/>
      <c r="H10">
        <f t="shared" si="0"/>
        <v>0</v>
      </c>
      <c r="I10" t="str">
        <f t="shared" si="1"/>
        <v>  应收款项融资 </v>
      </c>
      <c r="J10" s="43" t="str">
        <f t="shared" si="2"/>
        <v>近三年及一期，拟承租人  应收款项融资 分别为0亿元、0亿元、0亿元及0亿元。</v>
      </c>
    </row>
    <row r="11" ht="14.1" customHeight="1" spans="1:10">
      <c r="A11" s="185">
        <v>1009</v>
      </c>
      <c r="B11" s="185" t="s">
        <v>302</v>
      </c>
      <c r="C11" s="186"/>
      <c r="D11" s="186"/>
      <c r="E11" s="186"/>
      <c r="F11" s="186"/>
      <c r="G11" s="186"/>
      <c r="H11">
        <f t="shared" si="0"/>
        <v>0</v>
      </c>
      <c r="I11" t="str">
        <f t="shared" si="1"/>
        <v>  预付款项 </v>
      </c>
      <c r="J11" s="43" t="str">
        <f t="shared" si="2"/>
        <v>近三年及一期，拟承租人  预付款项 分别为0亿元、0亿元、0亿元及0亿元。</v>
      </c>
    </row>
    <row r="12" ht="14.1" customHeight="1" spans="1:10">
      <c r="A12" s="185">
        <v>1010</v>
      </c>
      <c r="B12" s="185" t="s">
        <v>303</v>
      </c>
      <c r="C12" s="186"/>
      <c r="D12" s="186"/>
      <c r="E12" s="186"/>
      <c r="F12" s="186"/>
      <c r="G12" s="186"/>
      <c r="H12">
        <f t="shared" si="0"/>
        <v>0</v>
      </c>
      <c r="I12" t="str">
        <f t="shared" si="1"/>
        <v>  应收保费* </v>
      </c>
      <c r="J12" s="43" t="str">
        <f t="shared" si="2"/>
        <v>近三年及一期，拟承租人  应收保费* 分别为0亿元、0亿元、0亿元及0亿元。</v>
      </c>
    </row>
    <row r="13" ht="14.1" customHeight="1" spans="1:10">
      <c r="A13" s="185">
        <v>1011</v>
      </c>
      <c r="B13" s="185" t="s">
        <v>304</v>
      </c>
      <c r="C13" s="186"/>
      <c r="D13" s="186"/>
      <c r="E13" s="186"/>
      <c r="F13" s="186"/>
      <c r="G13" s="186"/>
      <c r="H13">
        <f t="shared" si="0"/>
        <v>0</v>
      </c>
      <c r="I13" t="str">
        <f t="shared" si="1"/>
        <v>  应收分保账款* </v>
      </c>
      <c r="J13" s="43" t="str">
        <f t="shared" si="2"/>
        <v>近三年及一期，拟承租人  应收分保账款* 分别为0亿元、0亿元、0亿元及0亿元。</v>
      </c>
    </row>
    <row r="14" ht="14.1" customHeight="1" spans="1:10">
      <c r="A14" s="185">
        <v>1012</v>
      </c>
      <c r="B14" s="185" t="s">
        <v>305</v>
      </c>
      <c r="C14" s="186"/>
      <c r="D14" s="186"/>
      <c r="E14" s="186"/>
      <c r="F14" s="186"/>
      <c r="G14" s="186"/>
      <c r="H14">
        <f t="shared" si="0"/>
        <v>0</v>
      </c>
      <c r="I14" t="str">
        <f t="shared" si="1"/>
        <v>  应收分保合同准备金* </v>
      </c>
      <c r="J14" s="43" t="str">
        <f t="shared" si="2"/>
        <v>近三年及一期，拟承租人  应收分保合同准备金* 分别为0亿元、0亿元、0亿元及0亿元。</v>
      </c>
    </row>
    <row r="15" ht="14.1" customHeight="1" spans="1:10">
      <c r="A15" s="185">
        <v>1013</v>
      </c>
      <c r="B15" s="185" t="s">
        <v>306</v>
      </c>
      <c r="C15" s="186"/>
      <c r="D15" s="186"/>
      <c r="E15" s="186"/>
      <c r="F15" s="186"/>
      <c r="G15" s="186"/>
      <c r="H15">
        <f t="shared" si="0"/>
        <v>0</v>
      </c>
      <c r="I15" t="str">
        <f t="shared" si="1"/>
        <v>  其他应收款 </v>
      </c>
      <c r="J15" s="43" t="str">
        <f t="shared" si="2"/>
        <v>近三年及一期，拟承租人  其他应收款 分别为0亿元、0亿元、0亿元及0亿元。</v>
      </c>
    </row>
    <row r="16" ht="14.1" customHeight="1" spans="1:10">
      <c r="A16" s="185">
        <v>101301</v>
      </c>
      <c r="B16" s="185" t="s">
        <v>307</v>
      </c>
      <c r="C16" s="186"/>
      <c r="D16" s="186"/>
      <c r="E16" s="186"/>
      <c r="F16" s="186"/>
      <c r="G16" s="186"/>
      <c r="H16">
        <f t="shared" si="0"/>
        <v>0</v>
      </c>
      <c r="I16" t="str">
        <f t="shared" si="1"/>
        <v>    其中：应收利息</v>
      </c>
      <c r="J16" s="43" t="str">
        <f t="shared" si="2"/>
        <v>近三年及一期，拟承租人    其中：应收利息分别为0亿元、0亿元、0亿元及0亿元。</v>
      </c>
    </row>
    <row r="17" ht="14.1" customHeight="1" spans="1:10">
      <c r="A17" s="185">
        <v>101302</v>
      </c>
      <c r="B17" s="185" t="s">
        <v>308</v>
      </c>
      <c r="C17" s="186"/>
      <c r="D17" s="186"/>
      <c r="E17" s="186"/>
      <c r="F17" s="186"/>
      <c r="G17" s="186"/>
      <c r="H17">
        <f t="shared" si="0"/>
        <v>0</v>
      </c>
      <c r="I17" t="str">
        <f t="shared" si="1"/>
        <v>          应收股利</v>
      </c>
      <c r="J17" s="43" t="str">
        <f t="shared" si="2"/>
        <v>近三年及一期，拟承租人          应收股利分别为0亿元、0亿元、0亿元及0亿元。</v>
      </c>
    </row>
    <row r="18" ht="14.1" customHeight="1" spans="1:10">
      <c r="A18" s="185">
        <v>1014</v>
      </c>
      <c r="B18" s="185" t="s">
        <v>309</v>
      </c>
      <c r="C18" s="186"/>
      <c r="D18" s="186"/>
      <c r="E18" s="186"/>
      <c r="F18" s="186"/>
      <c r="G18" s="186"/>
      <c r="H18">
        <f t="shared" si="0"/>
        <v>0</v>
      </c>
      <c r="I18" t="str">
        <f t="shared" si="1"/>
        <v>  买入返售金融资产* </v>
      </c>
      <c r="J18" s="43" t="str">
        <f t="shared" si="2"/>
        <v>近三年及一期，拟承租人  买入返售金融资产* 分别为0亿元、0亿元、0亿元及0亿元。</v>
      </c>
    </row>
    <row r="19" ht="14.1" customHeight="1" spans="1:10">
      <c r="A19" s="185">
        <v>1015</v>
      </c>
      <c r="B19" s="185" t="s">
        <v>310</v>
      </c>
      <c r="C19" s="186"/>
      <c r="D19" s="186"/>
      <c r="E19" s="186"/>
      <c r="F19" s="186"/>
      <c r="G19" s="186"/>
      <c r="H19">
        <f t="shared" si="0"/>
        <v>0</v>
      </c>
      <c r="I19" t="str">
        <f t="shared" si="1"/>
        <v>  存货 </v>
      </c>
      <c r="J19" s="43" t="str">
        <f t="shared" si="2"/>
        <v>近三年及一期，拟承租人  存货 分别为0亿元、0亿元、0亿元及0亿元。</v>
      </c>
    </row>
    <row r="20" ht="14.1" customHeight="1" spans="1:10">
      <c r="A20" s="185">
        <v>1016</v>
      </c>
      <c r="B20" s="185" t="s">
        <v>311</v>
      </c>
      <c r="C20" s="186"/>
      <c r="D20" s="186"/>
      <c r="E20" s="186"/>
      <c r="F20" s="186"/>
      <c r="G20" s="186"/>
      <c r="H20">
        <f t="shared" si="0"/>
        <v>0</v>
      </c>
      <c r="I20" t="str">
        <f t="shared" si="1"/>
        <v>  合同资产 </v>
      </c>
      <c r="J20" s="43" t="str">
        <f t="shared" si="2"/>
        <v>近三年及一期，拟承租人  合同资产 分别为0亿元、0亿元、0亿元及0亿元。</v>
      </c>
    </row>
    <row r="21" ht="14.1" customHeight="1" spans="1:10">
      <c r="A21" s="185">
        <v>1017</v>
      </c>
      <c r="B21" s="185" t="s">
        <v>312</v>
      </c>
      <c r="C21" s="187"/>
      <c r="D21" s="186"/>
      <c r="E21" s="186"/>
      <c r="F21" s="186"/>
      <c r="G21" s="186"/>
      <c r="H21">
        <f t="shared" si="0"/>
        <v>0</v>
      </c>
      <c r="I21" t="str">
        <f t="shared" si="1"/>
        <v>  持有待售资产 </v>
      </c>
      <c r="J21" s="43" t="str">
        <f t="shared" si="2"/>
        <v>近三年及一期，拟承租人  持有待售资产 分别为0亿元、0亿元、0亿元及0亿元。</v>
      </c>
    </row>
    <row r="22" ht="14.1" customHeight="1" spans="1:10">
      <c r="A22" s="185">
        <v>1018</v>
      </c>
      <c r="B22" s="185" t="s">
        <v>313</v>
      </c>
      <c r="C22" s="187"/>
      <c r="D22" s="186"/>
      <c r="E22" s="186"/>
      <c r="F22" s="186"/>
      <c r="G22" s="186"/>
      <c r="H22">
        <f t="shared" si="0"/>
        <v>0</v>
      </c>
      <c r="I22" t="str">
        <f t="shared" si="1"/>
        <v>  一年内到期的非流动资产 </v>
      </c>
      <c r="J22" s="43" t="str">
        <f t="shared" si="2"/>
        <v>近三年及一期，拟承租人  一年内到期的非流动资产 分别为0亿元、0亿元、0亿元及0亿元。</v>
      </c>
    </row>
    <row r="23" ht="14.1" customHeight="1" spans="1:10">
      <c r="A23" s="185">
        <v>1019</v>
      </c>
      <c r="B23" s="185" t="s">
        <v>314</v>
      </c>
      <c r="C23" s="187"/>
      <c r="D23" s="186"/>
      <c r="E23" s="186"/>
      <c r="F23" s="186"/>
      <c r="G23" s="186"/>
      <c r="H23">
        <f t="shared" si="0"/>
        <v>0</v>
      </c>
      <c r="I23" t="str">
        <f t="shared" si="1"/>
        <v>  其他流动资产 </v>
      </c>
      <c r="J23" s="43" t="str">
        <f t="shared" si="2"/>
        <v>近三年及一期，拟承租人  其他流动资产 分别为0亿元、0亿元、0亿元及0亿元。</v>
      </c>
    </row>
    <row r="24" s="183" customFormat="1" ht="14.1" customHeight="1" spans="1:10">
      <c r="A24" s="188">
        <v>1099</v>
      </c>
      <c r="B24" s="188" t="s">
        <v>315</v>
      </c>
      <c r="C24" s="189">
        <f>C3+C4+C5+C6+C7+C8+C9+C10+C11+C12+C13+C14+C15+C18+C19+C20+C21+C22+C23</f>
        <v>0</v>
      </c>
      <c r="D24" s="190">
        <f>D3+D4+D5+D6+D7+D8+D9+D10+D11+D12+D13+D14+D15+D18+D19+D20+D21+D22+D23</f>
        <v>0</v>
      </c>
      <c r="E24" s="190">
        <f>E3+E4+E5+E6+E7+E8+E9+E10+E11+E12+E13+E14+E15+E18+E19+E20+E21+E22+E23</f>
        <v>0</v>
      </c>
      <c r="F24" s="190">
        <f>F3+F4+F5+F6+F7+F8+F9+F10+F11+F12+F13+F14+F15+F18+F19+F20+F21+F22+F23</f>
        <v>0</v>
      </c>
      <c r="G24" s="190">
        <f>G3+G4+G5+G6+G7+G8+G9+G10+G11+G12+G13+G14+G15+G18+G19+G20+G21+G22+G23</f>
        <v>0</v>
      </c>
      <c r="H24">
        <f t="shared" si="0"/>
        <v>0</v>
      </c>
      <c r="I24" s="183" t="str">
        <f t="shared" si="1"/>
        <v>流动资产合计 </v>
      </c>
      <c r="J24" s="43" t="str">
        <f t="shared" si="2"/>
        <v>近三年及一期，拟承租人流动资产合计 分别为0亿元、0亿元、0亿元及0亿元。</v>
      </c>
    </row>
    <row r="25" s="184" customFormat="1" ht="15" customHeight="1" spans="1:10">
      <c r="A25" s="185">
        <v>1100</v>
      </c>
      <c r="B25" s="173" t="s">
        <v>316</v>
      </c>
      <c r="C25" s="187"/>
      <c r="D25" s="186"/>
      <c r="E25" s="186"/>
      <c r="F25" s="186"/>
      <c r="G25" s="186"/>
      <c r="H25">
        <f t="shared" si="0"/>
        <v>0</v>
      </c>
      <c r="I25" t="str">
        <f t="shared" si="1"/>
        <v>非流动资产： </v>
      </c>
      <c r="J25" s="43"/>
    </row>
    <row r="26" s="184" customFormat="1" ht="15" customHeight="1" spans="1:10">
      <c r="A26" s="185">
        <v>1101</v>
      </c>
      <c r="B26" s="185" t="s">
        <v>317</v>
      </c>
      <c r="C26" s="191"/>
      <c r="D26" s="186"/>
      <c r="E26" s="186"/>
      <c r="F26" s="186"/>
      <c r="G26" s="186"/>
      <c r="H26">
        <f t="shared" si="0"/>
        <v>0</v>
      </c>
      <c r="I26" t="str">
        <f t="shared" si="1"/>
        <v>  发放贷款和垫款* </v>
      </c>
      <c r="J26" s="43" t="str">
        <f t="shared" ref="J26:J53" si="3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="184" customFormat="1" ht="15" customHeight="1" spans="1:10">
      <c r="A27" s="185">
        <v>1102</v>
      </c>
      <c r="B27" s="185" t="s">
        <v>318</v>
      </c>
      <c r="C27" s="191"/>
      <c r="D27" s="186"/>
      <c r="E27" s="186"/>
      <c r="F27" s="186"/>
      <c r="G27" s="186"/>
      <c r="H27">
        <f t="shared" si="0"/>
        <v>0</v>
      </c>
      <c r="I27" t="str">
        <f t="shared" si="1"/>
        <v>  债权投资 </v>
      </c>
      <c r="J27" s="43" t="str">
        <f t="shared" si="3"/>
        <v>近三年及一期，拟承租人  债权投资 分别为0亿元、0亿元、0亿元及0亿元。</v>
      </c>
    </row>
    <row r="28" s="184" customFormat="1" ht="15" customHeight="1" spans="1:10">
      <c r="A28" s="185">
        <v>1103</v>
      </c>
      <c r="B28" s="185" t="s">
        <v>319</v>
      </c>
      <c r="C28" s="191"/>
      <c r="D28" s="186"/>
      <c r="E28" s="186"/>
      <c r="F28" s="186"/>
      <c r="G28" s="186"/>
      <c r="H28">
        <f t="shared" si="0"/>
        <v>0</v>
      </c>
      <c r="I28" t="str">
        <f t="shared" si="1"/>
        <v>  其他债权投资 </v>
      </c>
      <c r="J28" s="43" t="str">
        <f t="shared" si="3"/>
        <v>近三年及一期，拟承租人  其他债权投资 分别为0亿元、0亿元、0亿元及0亿元。</v>
      </c>
    </row>
    <row r="29" s="184" customFormat="1" ht="15" customHeight="1" spans="1:10">
      <c r="A29" s="185">
        <v>1104</v>
      </c>
      <c r="B29" s="185" t="s">
        <v>320</v>
      </c>
      <c r="C29" s="191"/>
      <c r="D29" s="186"/>
      <c r="E29" s="186"/>
      <c r="F29" s="186"/>
      <c r="G29" s="186"/>
      <c r="H29">
        <f t="shared" si="0"/>
        <v>0</v>
      </c>
      <c r="I29" t="str">
        <f t="shared" si="1"/>
        <v>  长期应收款 </v>
      </c>
      <c r="J29" s="43" t="str">
        <f t="shared" si="3"/>
        <v>近三年及一期，拟承租人  长期应收款 分别为0亿元、0亿元、0亿元及0亿元。</v>
      </c>
    </row>
    <row r="30" s="184" customFormat="1" ht="15" customHeight="1" spans="1:10">
      <c r="A30" s="185">
        <v>1105</v>
      </c>
      <c r="B30" s="185" t="s">
        <v>321</v>
      </c>
      <c r="C30" s="191"/>
      <c r="D30" s="186"/>
      <c r="E30" s="186"/>
      <c r="F30" s="186"/>
      <c r="G30" s="186"/>
      <c r="H30">
        <f t="shared" si="0"/>
        <v>0</v>
      </c>
      <c r="I30" t="str">
        <f t="shared" si="1"/>
        <v>  长期股权投资 </v>
      </c>
      <c r="J30" s="43" t="str">
        <f t="shared" si="3"/>
        <v>近三年及一期，拟承租人  长期股权投资 分别为0亿元、0亿元、0亿元及0亿元。</v>
      </c>
    </row>
    <row r="31" s="184" customFormat="1" ht="15" customHeight="1" spans="1:10">
      <c r="A31" s="185">
        <v>1106</v>
      </c>
      <c r="B31" s="185" t="s">
        <v>322</v>
      </c>
      <c r="C31" s="187"/>
      <c r="D31" s="186"/>
      <c r="E31" s="186"/>
      <c r="F31" s="186"/>
      <c r="G31" s="186"/>
      <c r="H31">
        <f t="shared" si="0"/>
        <v>0</v>
      </c>
      <c r="I31" t="str">
        <f t="shared" si="1"/>
        <v>  可供出售金融资产 </v>
      </c>
      <c r="J31" s="43" t="str">
        <f t="shared" si="3"/>
        <v>近三年及一期，拟承租人  可供出售金融资产 分别为0亿元、0亿元、0亿元及0亿元。</v>
      </c>
    </row>
    <row r="32" s="184" customFormat="1" ht="15" customHeight="1" spans="1:10">
      <c r="A32" s="185">
        <v>1107</v>
      </c>
      <c r="B32" s="185" t="s">
        <v>323</v>
      </c>
      <c r="C32" s="187"/>
      <c r="D32" s="186"/>
      <c r="E32" s="186"/>
      <c r="F32" s="186"/>
      <c r="G32" s="186"/>
      <c r="H32">
        <f t="shared" si="0"/>
        <v>0</v>
      </c>
      <c r="I32" t="str">
        <f t="shared" si="1"/>
        <v>  持有至到期投资 </v>
      </c>
      <c r="J32" s="43" t="str">
        <f t="shared" si="3"/>
        <v>近三年及一期，拟承租人  持有至到期投资 分别为0亿元、0亿元、0亿元及0亿元。</v>
      </c>
    </row>
    <row r="33" s="184" customFormat="1" ht="15" customHeight="1" spans="1:10">
      <c r="A33" s="185">
        <v>1108</v>
      </c>
      <c r="B33" s="185" t="s">
        <v>324</v>
      </c>
      <c r="C33" s="187"/>
      <c r="D33" s="186"/>
      <c r="E33" s="186"/>
      <c r="F33" s="186"/>
      <c r="G33" s="186"/>
      <c r="H33">
        <f t="shared" si="0"/>
        <v>0</v>
      </c>
      <c r="I33" t="str">
        <f t="shared" si="1"/>
        <v>  其他权益工具投资 </v>
      </c>
      <c r="J33" s="43" t="str">
        <f t="shared" si="3"/>
        <v>近三年及一期，拟承租人  其他权益工具投资 分别为0亿元、0亿元、0亿元及0亿元。</v>
      </c>
    </row>
    <row r="34" s="184" customFormat="1" ht="15" customHeight="1" spans="1:10">
      <c r="A34" s="185">
        <v>1109</v>
      </c>
      <c r="B34" s="185" t="s">
        <v>325</v>
      </c>
      <c r="C34" s="187"/>
      <c r="D34" s="186"/>
      <c r="E34" s="186"/>
      <c r="F34" s="186"/>
      <c r="G34" s="186"/>
      <c r="H34">
        <f t="shared" si="0"/>
        <v>0</v>
      </c>
      <c r="I34" t="str">
        <f t="shared" si="1"/>
        <v>  其他非流动金融资产 </v>
      </c>
      <c r="J34" s="43" t="str">
        <f t="shared" si="3"/>
        <v>近三年及一期，拟承租人  其他非流动金融资产 分别为0亿元、0亿元、0亿元及0亿元。</v>
      </c>
    </row>
    <row r="35" s="184" customFormat="1" ht="15" customHeight="1" spans="1:10">
      <c r="A35" s="185">
        <v>1110</v>
      </c>
      <c r="B35" s="185" t="s">
        <v>326</v>
      </c>
      <c r="C35" s="187"/>
      <c r="D35" s="186"/>
      <c r="E35" s="186"/>
      <c r="F35" s="186"/>
      <c r="G35" s="186"/>
      <c r="H35">
        <f t="shared" si="0"/>
        <v>0</v>
      </c>
      <c r="I35" t="str">
        <f t="shared" si="1"/>
        <v>  投资性房地产 </v>
      </c>
      <c r="J35" s="43" t="str">
        <f t="shared" si="3"/>
        <v>近三年及一期，拟承租人  投资性房地产 分别为0亿元、0亿元、0亿元及0亿元。</v>
      </c>
    </row>
    <row r="36" s="184" customFormat="1" ht="15" customHeight="1" spans="1:10">
      <c r="A36" s="185">
        <v>1111</v>
      </c>
      <c r="B36" s="185" t="s">
        <v>327</v>
      </c>
      <c r="C36" s="187"/>
      <c r="D36" s="186"/>
      <c r="E36" s="186"/>
      <c r="F36" s="186"/>
      <c r="G36" s="186"/>
      <c r="H36">
        <f t="shared" si="0"/>
        <v>0</v>
      </c>
      <c r="I36" t="str">
        <f t="shared" si="1"/>
        <v>  固定资产 </v>
      </c>
      <c r="J36" s="43" t="str">
        <f t="shared" si="3"/>
        <v>近三年及一期，拟承租人  固定资产 分别为0亿元、0亿元、0亿元及0亿元。</v>
      </c>
    </row>
    <row r="37" s="184" customFormat="1" ht="15" customHeight="1" spans="1:10">
      <c r="A37" s="185">
        <v>1112</v>
      </c>
      <c r="B37" s="185" t="s">
        <v>328</v>
      </c>
      <c r="C37" s="187"/>
      <c r="D37" s="186"/>
      <c r="E37" s="186"/>
      <c r="F37" s="186"/>
      <c r="G37" s="186"/>
      <c r="H37">
        <f t="shared" si="0"/>
        <v>0</v>
      </c>
      <c r="I37" t="str">
        <f t="shared" si="1"/>
        <v>  累计折旧</v>
      </c>
      <c r="J37" s="43" t="str">
        <f t="shared" si="3"/>
        <v>近三年及一期，拟承租人  累计折旧分别为0亿元、0亿元、0亿元及0亿元。</v>
      </c>
    </row>
    <row r="38" s="184" customFormat="1" ht="15" customHeight="1" spans="1:10">
      <c r="A38" s="185">
        <v>1113</v>
      </c>
      <c r="B38" s="185" t="s">
        <v>329</v>
      </c>
      <c r="C38" s="187"/>
      <c r="D38" s="186"/>
      <c r="E38" s="186"/>
      <c r="F38" s="186"/>
      <c r="G38" s="186"/>
      <c r="H38">
        <f t="shared" si="0"/>
        <v>0</v>
      </c>
      <c r="I38" t="str">
        <f t="shared" si="1"/>
        <v>  固定资产减值准备 </v>
      </c>
      <c r="J38" s="43" t="str">
        <f t="shared" si="3"/>
        <v>近三年及一期，拟承租人  固定资产减值准备 分别为0亿元、0亿元、0亿元及0亿元。</v>
      </c>
    </row>
    <row r="39" s="184" customFormat="1" ht="15" customHeight="1" spans="1:10">
      <c r="A39" s="185">
        <v>1114</v>
      </c>
      <c r="B39" s="185" t="s">
        <v>330</v>
      </c>
      <c r="C39" s="192">
        <f>C36-C37-C38</f>
        <v>0</v>
      </c>
      <c r="D39" s="193">
        <f>D36-D37-D38</f>
        <v>0</v>
      </c>
      <c r="E39" s="193">
        <f>E36-E37-E38</f>
        <v>0</v>
      </c>
      <c r="F39" s="193">
        <f>F36-F37-F38</f>
        <v>0</v>
      </c>
      <c r="G39" s="193">
        <f>G36-G37-G38</f>
        <v>0</v>
      </c>
      <c r="H39">
        <f t="shared" si="0"/>
        <v>0</v>
      </c>
      <c r="I39" t="str">
        <f t="shared" si="1"/>
        <v>  固定资产净额</v>
      </c>
      <c r="J39" s="43" t="str">
        <f t="shared" si="3"/>
        <v>近三年及一期，拟承租人  固定资产净额分别为0亿元、0亿元、0亿元及0亿元。</v>
      </c>
    </row>
    <row r="40" s="184" customFormat="1" ht="15" customHeight="1" spans="1:10">
      <c r="A40" s="185">
        <v>1115</v>
      </c>
      <c r="B40" s="185" t="s">
        <v>331</v>
      </c>
      <c r="C40" s="187"/>
      <c r="D40" s="186"/>
      <c r="E40" s="186"/>
      <c r="F40" s="186"/>
      <c r="G40" s="186"/>
      <c r="H40">
        <f t="shared" si="0"/>
        <v>0</v>
      </c>
      <c r="I40" t="str">
        <f t="shared" si="1"/>
        <v>  固定资产清理</v>
      </c>
      <c r="J40" s="43" t="str">
        <f t="shared" si="3"/>
        <v>近三年及一期，拟承租人  固定资产清理分别为0亿元、0亿元、0亿元及0亿元。</v>
      </c>
    </row>
    <row r="41" s="184" customFormat="1" ht="15" customHeight="1" spans="1:10">
      <c r="A41" s="185">
        <v>1116</v>
      </c>
      <c r="B41" s="185" t="s">
        <v>332</v>
      </c>
      <c r="C41" s="187"/>
      <c r="D41" s="186"/>
      <c r="E41" s="186"/>
      <c r="F41" s="186"/>
      <c r="G41" s="186"/>
      <c r="H41">
        <f t="shared" si="0"/>
        <v>0</v>
      </c>
      <c r="I41" t="str">
        <f t="shared" si="1"/>
        <v>  工程物资</v>
      </c>
      <c r="J41" s="43" t="str">
        <f t="shared" si="3"/>
        <v>近三年及一期，拟承租人  工程物资分别为0亿元、0亿元、0亿元及0亿元。</v>
      </c>
    </row>
    <row r="42" s="184" customFormat="1" ht="15" customHeight="1" spans="1:10">
      <c r="A42" s="185">
        <v>1117</v>
      </c>
      <c r="B42" s="185" t="s">
        <v>333</v>
      </c>
      <c r="C42" s="187"/>
      <c r="D42" s="186"/>
      <c r="E42" s="186"/>
      <c r="F42" s="186"/>
      <c r="G42" s="186"/>
      <c r="H42">
        <f t="shared" si="0"/>
        <v>0</v>
      </c>
      <c r="I42" t="str">
        <f t="shared" si="1"/>
        <v>  在建工程 </v>
      </c>
      <c r="J42" s="43" t="str">
        <f t="shared" si="3"/>
        <v>近三年及一期，拟承租人  在建工程 分别为0亿元、0亿元、0亿元及0亿元。</v>
      </c>
    </row>
    <row r="43" s="184" customFormat="1" ht="15" customHeight="1" spans="1:10">
      <c r="A43" s="185">
        <v>1118</v>
      </c>
      <c r="B43" s="185" t="s">
        <v>334</v>
      </c>
      <c r="C43" s="187"/>
      <c r="D43" s="186"/>
      <c r="E43" s="186"/>
      <c r="F43" s="186"/>
      <c r="G43" s="186"/>
      <c r="H43">
        <f t="shared" si="0"/>
        <v>0</v>
      </c>
      <c r="I43" t="str">
        <f t="shared" si="1"/>
        <v>  生产性生物资产 </v>
      </c>
      <c r="J43" s="43" t="str">
        <f t="shared" si="3"/>
        <v>近三年及一期，拟承租人  生产性生物资产 分别为0亿元、0亿元、0亿元及0亿元。</v>
      </c>
    </row>
    <row r="44" s="184" customFormat="1" ht="15" customHeight="1" spans="1:10">
      <c r="A44" s="185">
        <v>1119</v>
      </c>
      <c r="B44" s="185" t="s">
        <v>335</v>
      </c>
      <c r="C44" s="187"/>
      <c r="D44" s="186"/>
      <c r="E44" s="186"/>
      <c r="F44" s="186"/>
      <c r="G44" s="186"/>
      <c r="H44">
        <f t="shared" si="0"/>
        <v>0</v>
      </c>
      <c r="I44" t="str">
        <f t="shared" si="1"/>
        <v>  油气资产 </v>
      </c>
      <c r="J44" s="43" t="str">
        <f t="shared" si="3"/>
        <v>近三年及一期，拟承租人  油气资产 分别为0亿元、0亿元、0亿元及0亿元。</v>
      </c>
    </row>
    <row r="45" s="184" customFormat="1" ht="15" customHeight="1" spans="1:10">
      <c r="A45" s="185">
        <v>1120</v>
      </c>
      <c r="B45" s="185" t="s">
        <v>336</v>
      </c>
      <c r="C45" s="187"/>
      <c r="D45" s="186"/>
      <c r="E45" s="186"/>
      <c r="F45" s="186"/>
      <c r="G45" s="186"/>
      <c r="H45">
        <f t="shared" si="0"/>
        <v>0</v>
      </c>
      <c r="I45" t="str">
        <f t="shared" si="1"/>
        <v>  使用权资产 </v>
      </c>
      <c r="J45" s="43" t="str">
        <f t="shared" si="3"/>
        <v>近三年及一期，拟承租人  使用权资产 分别为0亿元、0亿元、0亿元及0亿元。</v>
      </c>
    </row>
    <row r="46" s="184" customFormat="1" ht="15" customHeight="1" spans="1:10">
      <c r="A46" s="185">
        <v>1121</v>
      </c>
      <c r="B46" s="185" t="s">
        <v>337</v>
      </c>
      <c r="C46" s="187"/>
      <c r="D46" s="186"/>
      <c r="E46" s="186"/>
      <c r="F46" s="186"/>
      <c r="G46" s="186"/>
      <c r="H46">
        <f t="shared" si="0"/>
        <v>0</v>
      </c>
      <c r="I46" t="str">
        <f t="shared" si="1"/>
        <v>  无形资产 </v>
      </c>
      <c r="J46" s="43" t="str">
        <f t="shared" si="3"/>
        <v>近三年及一期，拟承租人  无形资产 分别为0亿元、0亿元、0亿元及0亿元。</v>
      </c>
    </row>
    <row r="47" s="184" customFormat="1" ht="15" customHeight="1" spans="1:10">
      <c r="A47" s="185">
        <v>1122</v>
      </c>
      <c r="B47" s="185" t="s">
        <v>338</v>
      </c>
      <c r="C47" s="187"/>
      <c r="D47" s="186"/>
      <c r="E47" s="186"/>
      <c r="F47" s="186"/>
      <c r="G47" s="186"/>
      <c r="H47">
        <f t="shared" si="0"/>
        <v>0</v>
      </c>
      <c r="I47" t="str">
        <f t="shared" si="1"/>
        <v>  开发支出 </v>
      </c>
      <c r="J47" s="43" t="str">
        <f t="shared" si="3"/>
        <v>近三年及一期，拟承租人  开发支出 分别为0亿元、0亿元、0亿元及0亿元。</v>
      </c>
    </row>
    <row r="48" s="184" customFormat="1" ht="15" customHeight="1" spans="1:10">
      <c r="A48" s="185">
        <v>1123</v>
      </c>
      <c r="B48" s="185" t="s">
        <v>339</v>
      </c>
      <c r="C48" s="187"/>
      <c r="D48" s="186"/>
      <c r="E48" s="186"/>
      <c r="F48" s="186"/>
      <c r="G48" s="186"/>
      <c r="H48">
        <f t="shared" si="0"/>
        <v>0</v>
      </c>
      <c r="I48" t="str">
        <f t="shared" si="1"/>
        <v>  商誉 </v>
      </c>
      <c r="J48" s="43" t="str">
        <f t="shared" si="3"/>
        <v>近三年及一期，拟承租人  商誉 分别为0亿元、0亿元、0亿元及0亿元。</v>
      </c>
    </row>
    <row r="49" s="184" customFormat="1" ht="15" customHeight="1" spans="1:10">
      <c r="A49" s="185">
        <v>1124</v>
      </c>
      <c r="B49" s="185" t="s">
        <v>340</v>
      </c>
      <c r="C49" s="187"/>
      <c r="D49" s="186"/>
      <c r="E49" s="186"/>
      <c r="F49" s="186"/>
      <c r="G49" s="186"/>
      <c r="H49">
        <f t="shared" si="0"/>
        <v>0</v>
      </c>
      <c r="I49" t="str">
        <f t="shared" si="1"/>
        <v>  长期待摊费用 </v>
      </c>
      <c r="J49" s="43" t="str">
        <f t="shared" si="3"/>
        <v>近三年及一期，拟承租人  长期待摊费用 分别为0亿元、0亿元、0亿元及0亿元。</v>
      </c>
    </row>
    <row r="50" s="184" customFormat="1" ht="15" customHeight="1" spans="1:10">
      <c r="A50" s="185">
        <v>1125</v>
      </c>
      <c r="B50" s="185" t="s">
        <v>341</v>
      </c>
      <c r="C50" s="187"/>
      <c r="D50" s="186"/>
      <c r="E50" s="186"/>
      <c r="F50" s="186"/>
      <c r="G50" s="186"/>
      <c r="H50">
        <f t="shared" si="0"/>
        <v>0</v>
      </c>
      <c r="I50" t="str">
        <f t="shared" si="1"/>
        <v>  递延所得税资产 </v>
      </c>
      <c r="J50" s="43" t="str">
        <f t="shared" si="3"/>
        <v>近三年及一期，拟承租人  递延所得税资产 分别为0亿元、0亿元、0亿元及0亿元。</v>
      </c>
    </row>
    <row r="51" s="184" customFormat="1" ht="15" customHeight="1" spans="1:10">
      <c r="A51" s="185">
        <v>1126</v>
      </c>
      <c r="B51" s="185" t="s">
        <v>342</v>
      </c>
      <c r="C51" s="187"/>
      <c r="D51" s="186"/>
      <c r="E51" s="186"/>
      <c r="F51" s="186"/>
      <c r="G51" s="186"/>
      <c r="H51">
        <f t="shared" si="0"/>
        <v>0</v>
      </c>
      <c r="I51" t="str">
        <f t="shared" si="1"/>
        <v>  其他非流动资产 </v>
      </c>
      <c r="J51" s="43" t="str">
        <f t="shared" si="3"/>
        <v>近三年及一期，拟承租人  其他非流动资产 分别为0亿元、0亿元、0亿元及0亿元。</v>
      </c>
    </row>
    <row r="52" s="183" customFormat="1" ht="14.1" customHeight="1" spans="1:10">
      <c r="A52" s="188">
        <v>1199</v>
      </c>
      <c r="B52" s="194" t="s">
        <v>343</v>
      </c>
      <c r="C52" s="190">
        <f>C26+C27+C28+C29+C30+C31+C32+C32+C33+C34+C35+C39+C40+C41+C42+C43+C44+C45+C46+C47+C48+C49+C50+C51</f>
        <v>0</v>
      </c>
      <c r="D52" s="190">
        <f>D26+D27+D28+D29+D30+D31+D32+D32+D33+D34+D35+D39+D40+D41+D42+D43+D44+D45+D46+D47+D48+D49+D50+D51</f>
        <v>0</v>
      </c>
      <c r="E52" s="190">
        <f>E26+E27+E28+E29+E30+E31+E32+E32+E33+E34+E35+E39+E40+E41+E42+E43+E44+E45+E46+E47+E48+E49+E50+E51</f>
        <v>0</v>
      </c>
      <c r="F52" s="190">
        <f>F26+F27+F28+F29+F30+F31+F32+F32+F33+F34+F35+F39+F40+F41+F42+F43+F44+F45+F46+F47+F48+F49+F50+F51</f>
        <v>0</v>
      </c>
      <c r="G52" s="190">
        <f>G26+G27+G28+G29+G30+G31+G32+G32+G33+G34+G35+G39+G40+G41+G42+G43+G44+G45+G46+G47+G48+G49+G50+G51</f>
        <v>0</v>
      </c>
      <c r="H52">
        <f t="shared" si="0"/>
        <v>0</v>
      </c>
      <c r="I52" t="str">
        <f t="shared" si="1"/>
        <v>非流动资产合计 </v>
      </c>
      <c r="J52" s="43" t="str">
        <f t="shared" si="3"/>
        <v>近三年及一期，拟承租人非流动资产合计 分别为0亿元、0亿元、0亿元及0亿元。</v>
      </c>
    </row>
    <row r="53" s="183" customFormat="1" ht="14.1" customHeight="1" spans="1:10">
      <c r="A53" s="188">
        <v>1999</v>
      </c>
      <c r="B53" s="188" t="s">
        <v>344</v>
      </c>
      <c r="C53" s="190">
        <f>C24+C52</f>
        <v>0</v>
      </c>
      <c r="D53" s="190">
        <f>D24+D52</f>
        <v>0</v>
      </c>
      <c r="E53" s="190">
        <f>E24+E52</f>
        <v>0</v>
      </c>
      <c r="F53" s="190">
        <f>F24+F52</f>
        <v>0</v>
      </c>
      <c r="G53" s="190">
        <f>G24+G52</f>
        <v>0</v>
      </c>
      <c r="H53">
        <f t="shared" si="0"/>
        <v>0</v>
      </c>
      <c r="I53" s="183" t="str">
        <f t="shared" si="1"/>
        <v>      资产总计 </v>
      </c>
      <c r="J53" s="43" t="str">
        <f t="shared" si="3"/>
        <v>近三年及一期，拟承租人      资产总计 分别为0亿元、0亿元、0亿元及0亿元。</v>
      </c>
    </row>
    <row r="54" ht="14.1" customHeight="1" spans="1:10">
      <c r="A54" s="43">
        <v>2000</v>
      </c>
      <c r="B54" s="59" t="s">
        <v>345</v>
      </c>
      <c r="C54" s="186"/>
      <c r="D54" s="186"/>
      <c r="E54" s="186"/>
      <c r="F54" s="186"/>
      <c r="G54" s="186"/>
      <c r="H54">
        <f t="shared" si="0"/>
        <v>0</v>
      </c>
      <c r="I54" t="str">
        <f t="shared" si="1"/>
        <v>应付</v>
      </c>
      <c r="J54" s="43"/>
    </row>
    <row r="55" ht="14.1" customHeight="1" spans="1:10">
      <c r="A55" s="43">
        <v>2001</v>
      </c>
      <c r="B55" s="43" t="s">
        <v>346</v>
      </c>
      <c r="C55" s="186"/>
      <c r="D55" s="186"/>
      <c r="E55" s="186"/>
      <c r="F55" s="186"/>
      <c r="G55" s="186"/>
      <c r="H55">
        <f t="shared" si="0"/>
        <v>0</v>
      </c>
      <c r="I55" t="str">
        <f t="shared" si="1"/>
        <v>  短期借款 </v>
      </c>
      <c r="J55" s="43" t="str">
        <f t="shared" ref="J55:J110" si="4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ht="14.1" customHeight="1" spans="1:10">
      <c r="A56" s="43">
        <v>2002</v>
      </c>
      <c r="B56" s="43" t="s">
        <v>347</v>
      </c>
      <c r="C56" s="186"/>
      <c r="D56" s="186"/>
      <c r="E56" s="186"/>
      <c r="F56" s="186"/>
      <c r="G56" s="186"/>
      <c r="H56">
        <f t="shared" si="0"/>
        <v>0</v>
      </c>
      <c r="I56" t="str">
        <f t="shared" si="1"/>
        <v>  向中央银行借款* </v>
      </c>
      <c r="J56" s="43" t="str">
        <f t="shared" si="4"/>
        <v>近三年及一期，拟承租人  向中央银行借款* 分别为0亿元、0亿元、0亿元及0亿元。</v>
      </c>
    </row>
    <row r="57" ht="14.1" customHeight="1" spans="1:10">
      <c r="A57" s="43">
        <v>2003</v>
      </c>
      <c r="B57" s="43" t="s">
        <v>348</v>
      </c>
      <c r="C57" s="186"/>
      <c r="D57" s="186"/>
      <c r="E57" s="186"/>
      <c r="F57" s="186"/>
      <c r="G57" s="186"/>
      <c r="H57">
        <f t="shared" si="0"/>
        <v>0</v>
      </c>
      <c r="I57" t="str">
        <f t="shared" si="1"/>
        <v>  拆入资金* </v>
      </c>
      <c r="J57" s="43" t="str">
        <f t="shared" si="4"/>
        <v>近三年及一期，拟承租人  拆入资金* 分别为0亿元、0亿元、0亿元及0亿元。</v>
      </c>
    </row>
    <row r="58" ht="14.1" customHeight="1" spans="1:10">
      <c r="A58" s="43">
        <v>2004</v>
      </c>
      <c r="B58" s="43" t="s">
        <v>349</v>
      </c>
      <c r="C58" s="186"/>
      <c r="D58" s="186"/>
      <c r="E58" s="186"/>
      <c r="F58" s="186"/>
      <c r="G58" s="186"/>
      <c r="H58">
        <f t="shared" si="0"/>
        <v>0</v>
      </c>
      <c r="I58" t="str">
        <f t="shared" si="1"/>
        <v>  交易性金融负债 </v>
      </c>
      <c r="J58" s="43" t="str">
        <f t="shared" si="4"/>
        <v>近三年及一期，拟承租人  交易性金融负债 分别为0亿元、0亿元、0亿元及0亿元。</v>
      </c>
    </row>
    <row r="59" ht="14.1" customHeight="1" spans="1:10">
      <c r="A59" s="43">
        <v>2005</v>
      </c>
      <c r="B59" s="43" t="s">
        <v>350</v>
      </c>
      <c r="C59" s="186"/>
      <c r="D59" s="186"/>
      <c r="E59" s="186"/>
      <c r="F59" s="186"/>
      <c r="G59" s="186"/>
      <c r="H59">
        <f t="shared" si="0"/>
        <v>0</v>
      </c>
      <c r="I59" t="str">
        <f t="shared" si="1"/>
        <v>  衍生金融负债 </v>
      </c>
      <c r="J59" s="43" t="str">
        <f t="shared" si="4"/>
        <v>近三年及一期，拟承租人  衍生金融负债 分别为0亿元、0亿元、0亿元及0亿元。</v>
      </c>
    </row>
    <row r="60" ht="14.1" customHeight="1" spans="1:10">
      <c r="A60" s="43">
        <v>2006</v>
      </c>
      <c r="B60" s="43" t="s">
        <v>351</v>
      </c>
      <c r="C60" s="186"/>
      <c r="D60" s="186"/>
      <c r="E60" s="186"/>
      <c r="F60" s="186"/>
      <c r="G60" s="186"/>
      <c r="H60">
        <f t="shared" si="0"/>
        <v>0</v>
      </c>
      <c r="I60" t="str">
        <f t="shared" si="1"/>
        <v>  应付票据 </v>
      </c>
      <c r="J60" s="43" t="str">
        <f t="shared" si="4"/>
        <v>近三年及一期，拟承租人  应付票据 分别为0亿元、0亿元、0亿元及0亿元。</v>
      </c>
    </row>
    <row r="61" ht="14.1" customHeight="1" spans="1:10">
      <c r="A61" s="43">
        <v>2007</v>
      </c>
      <c r="B61" s="43" t="s">
        <v>352</v>
      </c>
      <c r="C61" s="186"/>
      <c r="D61" s="186"/>
      <c r="E61" s="186"/>
      <c r="F61" s="186"/>
      <c r="G61" s="186"/>
      <c r="H61">
        <f t="shared" si="0"/>
        <v>0</v>
      </c>
      <c r="I61" t="str">
        <f t="shared" si="1"/>
        <v>  应付账款 </v>
      </c>
      <c r="J61" s="43" t="str">
        <f t="shared" si="4"/>
        <v>近三年及一期，拟承租人  应付账款 分别为0亿元、0亿元、0亿元及0亿元。</v>
      </c>
    </row>
    <row r="62" ht="14.1" customHeight="1" spans="1:10">
      <c r="A62" s="43">
        <v>2008</v>
      </c>
      <c r="B62" s="43" t="s">
        <v>353</v>
      </c>
      <c r="C62" s="186"/>
      <c r="D62" s="186"/>
      <c r="E62" s="186"/>
      <c r="F62" s="186"/>
      <c r="G62" s="186"/>
      <c r="H62">
        <f t="shared" si="0"/>
        <v>0</v>
      </c>
      <c r="I62" t="str">
        <f t="shared" si="1"/>
        <v>  预收款项 </v>
      </c>
      <c r="J62" s="43" t="str">
        <f t="shared" si="4"/>
        <v>近三年及一期，拟承租人  预收款项 分别为0亿元、0亿元、0亿元及0亿元。</v>
      </c>
    </row>
    <row r="63" ht="14.1" customHeight="1" spans="1:10">
      <c r="A63" s="43">
        <v>2009</v>
      </c>
      <c r="B63" s="43" t="s">
        <v>354</v>
      </c>
      <c r="C63" s="186"/>
      <c r="D63" s="186"/>
      <c r="E63" s="186"/>
      <c r="F63" s="186"/>
      <c r="G63" s="186"/>
      <c r="H63">
        <f t="shared" si="0"/>
        <v>0</v>
      </c>
      <c r="I63" t="str">
        <f t="shared" si="1"/>
        <v>  合同负债 </v>
      </c>
      <c r="J63" s="43" t="str">
        <f t="shared" si="4"/>
        <v>近三年及一期，拟承租人  合同负债 分别为0亿元、0亿元、0亿元及0亿元。</v>
      </c>
    </row>
    <row r="64" ht="14.1" customHeight="1" spans="1:10">
      <c r="A64" s="43">
        <v>2010</v>
      </c>
      <c r="B64" s="43" t="s">
        <v>355</v>
      </c>
      <c r="C64" s="186"/>
      <c r="D64" s="186"/>
      <c r="E64" s="186"/>
      <c r="F64" s="186"/>
      <c r="G64" s="186"/>
      <c r="H64">
        <f t="shared" si="0"/>
        <v>0</v>
      </c>
      <c r="I64" t="str">
        <f t="shared" si="1"/>
        <v>  卖出回购金融资产款* </v>
      </c>
      <c r="J64" s="43" t="str">
        <f t="shared" si="4"/>
        <v>近三年及一期，拟承租人  卖出回购金融资产款* 分别为0亿元、0亿元、0亿元及0亿元。</v>
      </c>
    </row>
    <row r="65" ht="14.1" customHeight="1" spans="1:10">
      <c r="A65" s="43">
        <v>2011</v>
      </c>
      <c r="B65" s="43" t="s">
        <v>356</v>
      </c>
      <c r="C65" s="186"/>
      <c r="D65" s="186"/>
      <c r="E65" s="186"/>
      <c r="F65" s="186"/>
      <c r="G65" s="186"/>
      <c r="H65">
        <f t="shared" si="0"/>
        <v>0</v>
      </c>
      <c r="I65" t="str">
        <f t="shared" si="1"/>
        <v>  吸收存款及同业存放* </v>
      </c>
      <c r="J65" s="43" t="str">
        <f t="shared" si="4"/>
        <v>近三年及一期，拟承租人  吸收存款及同业存放* 分别为0亿元、0亿元、0亿元及0亿元。</v>
      </c>
    </row>
    <row r="66" ht="14.1" customHeight="1" spans="1:10">
      <c r="A66" s="43">
        <v>2012</v>
      </c>
      <c r="B66" s="43" t="s">
        <v>357</v>
      </c>
      <c r="C66" s="186"/>
      <c r="D66" s="186"/>
      <c r="E66" s="186"/>
      <c r="F66" s="186"/>
      <c r="G66" s="186"/>
      <c r="H66">
        <f t="shared" ref="H66:H110" si="5">C66+D66+E66+F66</f>
        <v>0</v>
      </c>
      <c r="I66" t="str">
        <f t="shared" ref="I66:I110" si="6">B66</f>
        <v>  代理买卖证券款* </v>
      </c>
      <c r="J66" s="43" t="str">
        <f t="shared" si="4"/>
        <v>近三年及一期，拟承租人  代理买卖证券款* 分别为0亿元、0亿元、0亿元及0亿元。</v>
      </c>
    </row>
    <row r="67" ht="14.1" customHeight="1" spans="1:10">
      <c r="A67" s="43">
        <v>2013</v>
      </c>
      <c r="B67" s="43" t="s">
        <v>358</v>
      </c>
      <c r="C67" s="186"/>
      <c r="D67" s="186"/>
      <c r="E67" s="186"/>
      <c r="F67" s="186"/>
      <c r="G67" s="186"/>
      <c r="H67">
        <f t="shared" si="5"/>
        <v>0</v>
      </c>
      <c r="I67" t="str">
        <f t="shared" si="6"/>
        <v>  代理承销证券款* </v>
      </c>
      <c r="J67" s="43" t="str">
        <f t="shared" si="4"/>
        <v>近三年及一期，拟承租人  代理承销证券款* 分别为0亿元、0亿元、0亿元及0亿元。</v>
      </c>
    </row>
    <row r="68" ht="14.1" customHeight="1" spans="1:10">
      <c r="A68" s="43">
        <v>2014</v>
      </c>
      <c r="B68" s="43" t="s">
        <v>359</v>
      </c>
      <c r="C68" s="186"/>
      <c r="D68" s="186"/>
      <c r="E68" s="186"/>
      <c r="F68" s="186"/>
      <c r="G68" s="186"/>
      <c r="H68">
        <f t="shared" si="5"/>
        <v>0</v>
      </c>
      <c r="I68" t="str">
        <f t="shared" si="6"/>
        <v>  应付职工薪酬 </v>
      </c>
      <c r="J68" s="43" t="str">
        <f t="shared" si="4"/>
        <v>近三年及一期，拟承租人  应付职工薪酬 分别为0亿元、0亿元、0亿元及0亿元。</v>
      </c>
    </row>
    <row r="69" ht="14.1" customHeight="1" spans="1:10">
      <c r="A69" s="43">
        <v>2015</v>
      </c>
      <c r="B69" s="43" t="s">
        <v>360</v>
      </c>
      <c r="C69" s="186"/>
      <c r="D69" s="186"/>
      <c r="E69" s="186"/>
      <c r="F69" s="186"/>
      <c r="G69" s="186"/>
      <c r="H69">
        <f t="shared" si="5"/>
        <v>0</v>
      </c>
      <c r="I69" t="str">
        <f t="shared" si="6"/>
        <v>  应交税费 </v>
      </c>
      <c r="J69" s="43" t="str">
        <f t="shared" si="4"/>
        <v>近三年及一期，拟承租人  应交税费 分别为0亿元、0亿元、0亿元及0亿元。</v>
      </c>
    </row>
    <row r="70" ht="14.1" customHeight="1" spans="1:10">
      <c r="A70" s="43">
        <v>2016</v>
      </c>
      <c r="B70" s="43" t="s">
        <v>361</v>
      </c>
      <c r="C70" s="186"/>
      <c r="D70" s="186"/>
      <c r="E70" s="186"/>
      <c r="F70" s="186"/>
      <c r="G70" s="186"/>
      <c r="H70">
        <f t="shared" si="5"/>
        <v>0</v>
      </c>
      <c r="I70" t="str">
        <f t="shared" si="6"/>
        <v>  其他应付款 </v>
      </c>
      <c r="J70" s="43" t="str">
        <f t="shared" si="4"/>
        <v>近三年及一期，拟承租人  其他应付款 分别为0亿元、0亿元、0亿元及0亿元。</v>
      </c>
    </row>
    <row r="71" ht="14.1" customHeight="1" spans="1:10">
      <c r="A71" s="43">
        <v>2017</v>
      </c>
      <c r="B71" s="43" t="s">
        <v>362</v>
      </c>
      <c r="C71" s="186"/>
      <c r="D71" s="186"/>
      <c r="E71" s="186"/>
      <c r="F71" s="186"/>
      <c r="G71" s="186"/>
      <c r="H71">
        <f t="shared" si="5"/>
        <v>0</v>
      </c>
      <c r="I71" t="str">
        <f t="shared" si="6"/>
        <v>   其中：应付利息</v>
      </c>
      <c r="J71" s="43" t="str">
        <f t="shared" si="4"/>
        <v>近三年及一期，拟承租人   其中：应付利息分别为0亿元、0亿元、0亿元及0亿元。</v>
      </c>
    </row>
    <row r="72" ht="14.1" customHeight="1" spans="1:10">
      <c r="A72" s="43">
        <v>201701</v>
      </c>
      <c r="B72" s="43" t="s">
        <v>363</v>
      </c>
      <c r="C72" s="186"/>
      <c r="D72" s="186"/>
      <c r="E72" s="186"/>
      <c r="F72" s="186"/>
      <c r="G72" s="186"/>
      <c r="H72">
        <f t="shared" si="5"/>
        <v>0</v>
      </c>
      <c r="I72" t="str">
        <f t="shared" si="6"/>
        <v>         应付股利</v>
      </c>
      <c r="J72" s="43" t="str">
        <f t="shared" si="4"/>
        <v>近三年及一期，拟承租人         应付股利分别为0亿元、0亿元、0亿元及0亿元。</v>
      </c>
    </row>
    <row r="73" ht="14.1" customHeight="1" spans="1:10">
      <c r="A73" s="43">
        <v>2018</v>
      </c>
      <c r="B73" s="43" t="s">
        <v>364</v>
      </c>
      <c r="C73" s="186"/>
      <c r="D73" s="186"/>
      <c r="E73" s="186"/>
      <c r="F73" s="186"/>
      <c r="G73" s="186"/>
      <c r="H73">
        <f t="shared" si="5"/>
        <v>0</v>
      </c>
      <c r="I73" t="str">
        <f t="shared" si="6"/>
        <v>  应付手续费及佣金* </v>
      </c>
      <c r="J73" s="43" t="str">
        <f t="shared" si="4"/>
        <v>近三年及一期，拟承租人  应付手续费及佣金* 分别为0亿元、0亿元、0亿元及0亿元。</v>
      </c>
    </row>
    <row r="74" ht="14.1" customHeight="1" spans="1:10">
      <c r="A74" s="43">
        <v>2019</v>
      </c>
      <c r="B74" s="43" t="s">
        <v>365</v>
      </c>
      <c r="C74" s="186"/>
      <c r="D74" s="186"/>
      <c r="E74" s="186"/>
      <c r="F74" s="186"/>
      <c r="G74" s="186"/>
      <c r="H74">
        <f t="shared" si="5"/>
        <v>0</v>
      </c>
      <c r="I74" t="str">
        <f t="shared" si="6"/>
        <v>  应付分保账款* </v>
      </c>
      <c r="J74" s="43" t="str">
        <f t="shared" si="4"/>
        <v>近三年及一期，拟承租人  应付分保账款* 分别为0亿元、0亿元、0亿元及0亿元。</v>
      </c>
    </row>
    <row r="75" ht="14.1" customHeight="1" spans="1:10">
      <c r="A75" s="43">
        <v>2020</v>
      </c>
      <c r="B75" s="43" t="s">
        <v>366</v>
      </c>
      <c r="C75" s="186"/>
      <c r="D75" s="186"/>
      <c r="E75" s="186"/>
      <c r="F75" s="186"/>
      <c r="G75" s="186"/>
      <c r="H75">
        <f t="shared" si="5"/>
        <v>0</v>
      </c>
      <c r="I75" t="str">
        <f t="shared" si="6"/>
        <v>  持有待售负债 </v>
      </c>
      <c r="J75" s="43" t="str">
        <f t="shared" si="4"/>
        <v>近三年及一期，拟承租人  持有待售负债 分别为0亿元、0亿元、0亿元及0亿元。</v>
      </c>
    </row>
    <row r="76" ht="14.1" customHeight="1" spans="1:10">
      <c r="A76" s="43">
        <v>2021</v>
      </c>
      <c r="B76" s="43" t="s">
        <v>367</v>
      </c>
      <c r="C76" s="186"/>
      <c r="D76" s="186"/>
      <c r="E76" s="186"/>
      <c r="F76" s="186"/>
      <c r="G76" s="186"/>
      <c r="H76">
        <f t="shared" si="5"/>
        <v>0</v>
      </c>
      <c r="I76" t="str">
        <f t="shared" si="6"/>
        <v>  一年内到期的非流动负债 </v>
      </c>
      <c r="J76" s="43" t="str">
        <f t="shared" si="4"/>
        <v>近三年及一期，拟承租人  一年内到期的非流动负债 分别为0亿元、0亿元、0亿元及0亿元。</v>
      </c>
    </row>
    <row r="77" ht="14.1" customHeight="1" spans="1:10">
      <c r="A77" s="43">
        <v>2022</v>
      </c>
      <c r="B77" s="43" t="s">
        <v>368</v>
      </c>
      <c r="C77" s="186"/>
      <c r="D77" s="186"/>
      <c r="E77" s="186"/>
      <c r="F77" s="186"/>
      <c r="G77" s="186"/>
      <c r="H77">
        <f t="shared" si="5"/>
        <v>0</v>
      </c>
      <c r="I77" t="str">
        <f t="shared" si="6"/>
        <v>  其他流动负债 </v>
      </c>
      <c r="J77" s="43" t="str">
        <f t="shared" si="4"/>
        <v>近三年及一期，拟承租人  其他流动负债 分别为0亿元、0亿元、0亿元及0亿元。</v>
      </c>
    </row>
    <row r="78" s="183" customFormat="1" ht="14.1" customHeight="1" spans="1:10">
      <c r="A78" s="188">
        <v>2099</v>
      </c>
      <c r="B78" s="188" t="s">
        <v>369</v>
      </c>
      <c r="C78" s="190">
        <f>C55+C56+C57+C58+C59+C60+C61+C62+C63+C64+C65+C66+C67+C68+C69+C70+C73+C74+C75+C76+C77</f>
        <v>0</v>
      </c>
      <c r="D78" s="190">
        <f>D55+D56+D57+D58+D59+D60+D61+D62+D63+D64+D65+D66+D67+D68+D69+D70+D73+D74+D75+D76+D77</f>
        <v>0</v>
      </c>
      <c r="E78" s="190">
        <f>E55+E56+E57+E58+E59+E60+E61+E62+E63+E64+E65+E66+E67+E68+E69+E70+E73+E74+E75+E76+E77</f>
        <v>0</v>
      </c>
      <c r="F78" s="190">
        <f>F55+F56+F57+F58+F59+F60+F61+F62+F63+F64+F65+F66+F67+F68+F69+F70+F73+F74+F75+F76+F77</f>
        <v>0</v>
      </c>
      <c r="G78" s="190">
        <f>G55+G56+G57+G58+G59+G60+G61+G62+G63+G64+G65+G66+G67+G68+G69+G70+G73+G74+G75+G76+G77</f>
        <v>0</v>
      </c>
      <c r="H78">
        <f t="shared" si="5"/>
        <v>0</v>
      </c>
      <c r="I78" t="str">
        <f t="shared" si="6"/>
        <v>    流动负债合计 </v>
      </c>
      <c r="J78" s="43" t="str">
        <f t="shared" si="4"/>
        <v>近三年及一期，拟承租人    流动负债合计 分别为0亿元、0亿元、0亿元及0亿元。</v>
      </c>
    </row>
    <row r="79" ht="14.1" customHeight="1" spans="1:10">
      <c r="A79" s="43">
        <v>2100</v>
      </c>
      <c r="B79" s="59" t="s">
        <v>370</v>
      </c>
      <c r="C79" s="186"/>
      <c r="D79" s="186"/>
      <c r="E79" s="186"/>
      <c r="F79" s="186"/>
      <c r="G79" s="186"/>
      <c r="H79">
        <f t="shared" si="5"/>
        <v>0</v>
      </c>
      <c r="I79" t="str">
        <f t="shared" si="6"/>
        <v>非流动负债： </v>
      </c>
      <c r="J79" s="43" t="str">
        <f t="shared" si="4"/>
        <v>近三年及一期，拟承租人非流动负债： 分别为0亿元、0亿元、0亿元及0亿元。</v>
      </c>
    </row>
    <row r="80" ht="14.1" customHeight="1" spans="1:10">
      <c r="A80" s="43">
        <v>2101</v>
      </c>
      <c r="B80" s="43" t="s">
        <v>371</v>
      </c>
      <c r="C80" s="186"/>
      <c r="D80" s="186"/>
      <c r="E80" s="186"/>
      <c r="F80" s="186"/>
      <c r="G80" s="186"/>
      <c r="H80">
        <f t="shared" si="5"/>
        <v>0</v>
      </c>
      <c r="I80" t="str">
        <f t="shared" si="6"/>
        <v>  保险合同准备金* </v>
      </c>
      <c r="J80" s="43" t="str">
        <f t="shared" si="4"/>
        <v>近三年及一期，拟承租人  保险合同准备金* 分别为0亿元、0亿元、0亿元及0亿元。</v>
      </c>
    </row>
    <row r="81" ht="14.1" customHeight="1" spans="1:10">
      <c r="A81" s="43">
        <v>2102</v>
      </c>
      <c r="B81" s="43" t="s">
        <v>372</v>
      </c>
      <c r="C81" s="186"/>
      <c r="D81" s="186"/>
      <c r="E81" s="186"/>
      <c r="F81" s="186"/>
      <c r="G81" s="186"/>
      <c r="H81">
        <f t="shared" si="5"/>
        <v>0</v>
      </c>
      <c r="I81" t="str">
        <f t="shared" si="6"/>
        <v>  长期借款 </v>
      </c>
      <c r="J81" s="43" t="str">
        <f t="shared" si="4"/>
        <v>近三年及一期，拟承租人  长期借款 分别为0亿元、0亿元、0亿元及0亿元。</v>
      </c>
    </row>
    <row r="82" ht="14.1" customHeight="1" spans="1:10">
      <c r="A82" s="43">
        <v>2103</v>
      </c>
      <c r="B82" s="43" t="s">
        <v>373</v>
      </c>
      <c r="C82" s="186"/>
      <c r="D82" s="186"/>
      <c r="E82" s="186"/>
      <c r="F82" s="186"/>
      <c r="G82" s="186"/>
      <c r="H82">
        <f t="shared" si="5"/>
        <v>0</v>
      </c>
      <c r="I82" t="str">
        <f t="shared" si="6"/>
        <v>  应付债券 </v>
      </c>
      <c r="J82" s="43" t="str">
        <f t="shared" si="4"/>
        <v>近三年及一期，拟承租人  应付债券 分别为0亿元、0亿元、0亿元及0亿元。</v>
      </c>
    </row>
    <row r="83" ht="14.1" customHeight="1" spans="1:10">
      <c r="A83" s="43">
        <v>210301</v>
      </c>
      <c r="B83" s="43" t="s">
        <v>374</v>
      </c>
      <c r="C83" s="186"/>
      <c r="D83" s="186"/>
      <c r="E83" s="186"/>
      <c r="F83" s="186"/>
      <c r="G83" s="186"/>
      <c r="H83">
        <f t="shared" si="5"/>
        <v>0</v>
      </c>
      <c r="I83" t="str">
        <f t="shared" si="6"/>
        <v>    其中：优先股 </v>
      </c>
      <c r="J83" s="43" t="str">
        <f t="shared" si="4"/>
        <v>近三年及一期，拟承租人    其中：优先股 分别为0亿元、0亿元、0亿元及0亿元。</v>
      </c>
    </row>
    <row r="84" ht="14.1" customHeight="1" spans="1:10">
      <c r="A84" s="43">
        <v>210302</v>
      </c>
      <c r="B84" s="43" t="s">
        <v>375</v>
      </c>
      <c r="C84" s="186"/>
      <c r="D84" s="186"/>
      <c r="E84" s="186"/>
      <c r="F84" s="186"/>
      <c r="G84" s="186"/>
      <c r="H84">
        <f t="shared" si="5"/>
        <v>0</v>
      </c>
      <c r="I84" t="str">
        <f t="shared" si="6"/>
        <v>          永续债 </v>
      </c>
      <c r="J84" s="43" t="str">
        <f t="shared" si="4"/>
        <v>近三年及一期，拟承租人          永续债 分别为0亿元、0亿元、0亿元及0亿元。</v>
      </c>
    </row>
    <row r="85" ht="14.1" customHeight="1" spans="1:10">
      <c r="A85" s="43">
        <v>2104</v>
      </c>
      <c r="B85" s="43" t="s">
        <v>376</v>
      </c>
      <c r="C85" s="186"/>
      <c r="D85" s="186"/>
      <c r="E85" s="186"/>
      <c r="F85" s="186"/>
      <c r="G85" s="186"/>
      <c r="H85">
        <f t="shared" si="5"/>
        <v>0</v>
      </c>
      <c r="I85" t="str">
        <f t="shared" si="6"/>
        <v>  租赁负债 </v>
      </c>
      <c r="J85" s="43" t="str">
        <f t="shared" si="4"/>
        <v>近三年及一期，拟承租人  租赁负债 分别为0亿元、0亿元、0亿元及0亿元。</v>
      </c>
    </row>
    <row r="86" ht="14.1" customHeight="1" spans="1:10">
      <c r="A86" s="43">
        <v>2105</v>
      </c>
      <c r="B86" s="43" t="s">
        <v>377</v>
      </c>
      <c r="C86" s="186"/>
      <c r="D86" s="186"/>
      <c r="E86" s="186"/>
      <c r="F86" s="186"/>
      <c r="G86" s="186"/>
      <c r="H86">
        <f t="shared" si="5"/>
        <v>0</v>
      </c>
      <c r="I86" t="str">
        <f t="shared" si="6"/>
        <v>  专项应付款 </v>
      </c>
      <c r="J86" s="43" t="str">
        <f t="shared" si="4"/>
        <v>近三年及一期，拟承租人  专项应付款 分别为0亿元、0亿元、0亿元及0亿元。</v>
      </c>
    </row>
    <row r="87" ht="14.1" customHeight="1" spans="1:10">
      <c r="A87" s="43">
        <v>2106</v>
      </c>
      <c r="B87" s="43" t="s">
        <v>378</v>
      </c>
      <c r="C87" s="186"/>
      <c r="D87" s="186"/>
      <c r="E87" s="186"/>
      <c r="F87" s="186"/>
      <c r="G87" s="186"/>
      <c r="H87">
        <f t="shared" si="5"/>
        <v>0</v>
      </c>
      <c r="I87" t="str">
        <f t="shared" si="6"/>
        <v>  长期应付款 </v>
      </c>
      <c r="J87" s="43" t="str">
        <f t="shared" si="4"/>
        <v>近三年及一期，拟承租人  长期应付款 分别为0亿元、0亿元、0亿元及0亿元。</v>
      </c>
    </row>
    <row r="88" ht="14.1" customHeight="1" spans="1:10">
      <c r="A88" s="43">
        <v>2107</v>
      </c>
      <c r="B88" s="43" t="s">
        <v>379</v>
      </c>
      <c r="C88" s="186"/>
      <c r="D88" s="186"/>
      <c r="E88" s="186"/>
      <c r="F88" s="186"/>
      <c r="G88" s="186"/>
      <c r="H88">
        <f t="shared" si="5"/>
        <v>0</v>
      </c>
      <c r="I88" t="str">
        <f t="shared" si="6"/>
        <v>  长期应付职工薪酬</v>
      </c>
      <c r="J88" s="43" t="str">
        <f t="shared" si="4"/>
        <v>近三年及一期，拟承租人  长期应付职工薪酬分别为0亿元、0亿元、0亿元及0亿元。</v>
      </c>
    </row>
    <row r="89" ht="14.1" customHeight="1" spans="1:10">
      <c r="A89" s="43">
        <v>2108</v>
      </c>
      <c r="B89" s="43" t="s">
        <v>380</v>
      </c>
      <c r="C89" s="186"/>
      <c r="D89" s="186"/>
      <c r="E89" s="186"/>
      <c r="F89" s="186"/>
      <c r="G89" s="186"/>
      <c r="H89">
        <f t="shared" si="5"/>
        <v>0</v>
      </c>
      <c r="I89" t="str">
        <f t="shared" si="6"/>
        <v>  预计负债 </v>
      </c>
      <c r="J89" s="43" t="str">
        <f t="shared" si="4"/>
        <v>近三年及一期，拟承租人  预计负债 分别为0亿元、0亿元、0亿元及0亿元。</v>
      </c>
    </row>
    <row r="90" ht="14.1" customHeight="1" spans="1:10">
      <c r="A90" s="43">
        <v>2109</v>
      </c>
      <c r="B90" s="43" t="s">
        <v>381</v>
      </c>
      <c r="C90" s="186"/>
      <c r="D90" s="186"/>
      <c r="E90" s="186"/>
      <c r="F90" s="186"/>
      <c r="G90" s="186"/>
      <c r="H90">
        <f t="shared" si="5"/>
        <v>0</v>
      </c>
      <c r="I90" t="str">
        <f t="shared" si="6"/>
        <v>  递延收益 </v>
      </c>
      <c r="J90" s="43" t="str">
        <f t="shared" si="4"/>
        <v>近三年及一期，拟承租人  递延收益 分别为0亿元、0亿元、0亿元及0亿元。</v>
      </c>
    </row>
    <row r="91" ht="14.1" customHeight="1" spans="1:10">
      <c r="A91" s="43">
        <v>2110</v>
      </c>
      <c r="B91" s="43" t="s">
        <v>382</v>
      </c>
      <c r="C91" s="186"/>
      <c r="D91" s="186"/>
      <c r="E91" s="186"/>
      <c r="F91" s="186"/>
      <c r="G91" s="186"/>
      <c r="H91">
        <f t="shared" si="5"/>
        <v>0</v>
      </c>
      <c r="I91" t="str">
        <f t="shared" si="6"/>
        <v>  递延所得税负债 </v>
      </c>
      <c r="J91" s="43" t="str">
        <f t="shared" si="4"/>
        <v>近三年及一期，拟承租人  递延所得税负债 分别为0亿元、0亿元、0亿元及0亿元。</v>
      </c>
    </row>
    <row r="92" ht="14.1" customHeight="1" spans="1:10">
      <c r="A92" s="43">
        <v>2111</v>
      </c>
      <c r="B92" s="43" t="s">
        <v>383</v>
      </c>
      <c r="C92" s="186"/>
      <c r="D92" s="186"/>
      <c r="E92" s="186"/>
      <c r="F92" s="186"/>
      <c r="G92" s="186"/>
      <c r="H92">
        <f t="shared" si="5"/>
        <v>0</v>
      </c>
      <c r="I92" t="str">
        <f t="shared" si="6"/>
        <v>  其他非流动负债 </v>
      </c>
      <c r="J92" s="43" t="str">
        <f t="shared" si="4"/>
        <v>近三年及一期，拟承租人  其他非流动负债 分别为0亿元、0亿元、0亿元及0亿元。</v>
      </c>
    </row>
    <row r="93" s="183" customFormat="1" ht="14.1" customHeight="1" spans="1:10">
      <c r="A93" s="188">
        <v>2199</v>
      </c>
      <c r="B93" s="188" t="s">
        <v>384</v>
      </c>
      <c r="C93" s="190">
        <f>C81+C82+C85+C86+C87+C88+C89+C90+C91+C92</f>
        <v>0</v>
      </c>
      <c r="D93" s="190">
        <f>D81+D82+D85+D86+D87+D88+D89+D90+D91+D92</f>
        <v>0</v>
      </c>
      <c r="E93" s="190">
        <f>E81+E82+E85+E86+E87+E88+E89+E90+E91+E92</f>
        <v>0</v>
      </c>
      <c r="F93" s="190">
        <f>F81+F82+F85+F86+F87+F88+F89+F90+F91+F92</f>
        <v>0</v>
      </c>
      <c r="G93" s="190">
        <f>G81+G82+G85+G86+G87+G88+G89+G90+G91+G92</f>
        <v>0</v>
      </c>
      <c r="H93">
        <f t="shared" si="5"/>
        <v>0</v>
      </c>
      <c r="I93" t="str">
        <f t="shared" si="6"/>
        <v>    非流动负债合计 </v>
      </c>
      <c r="J93" s="43" t="str">
        <f t="shared" si="4"/>
        <v>近三年及一期，拟承租人    非流动负债合计 分别为0亿元、0亿元、0亿元及0亿元。</v>
      </c>
    </row>
    <row r="94" s="183" customFormat="1" ht="14.1" customHeight="1" spans="1:10">
      <c r="A94" s="188">
        <v>3999</v>
      </c>
      <c r="B94" s="188" t="s">
        <v>385</v>
      </c>
      <c r="C94" s="190">
        <f>C78+C93</f>
        <v>0</v>
      </c>
      <c r="D94" s="190">
        <f>D78+D93</f>
        <v>0</v>
      </c>
      <c r="E94" s="190">
        <f>E78+E93</f>
        <v>0</v>
      </c>
      <c r="F94" s="190">
        <f>F78+F93</f>
        <v>0</v>
      </c>
      <c r="G94" s="190">
        <f>G78+G93</f>
        <v>0</v>
      </c>
      <c r="H94">
        <f t="shared" si="5"/>
        <v>0</v>
      </c>
      <c r="I94" s="183" t="str">
        <f t="shared" si="6"/>
        <v>      负债合计</v>
      </c>
      <c r="J94" s="43" t="str">
        <f t="shared" si="4"/>
        <v>近三年及一期，拟承租人      负债合计分别为0亿元、0亿元、0亿元及0亿元。</v>
      </c>
    </row>
    <row r="95" ht="14.1" customHeight="1" spans="1:10">
      <c r="A95" s="43">
        <v>5000</v>
      </c>
      <c r="B95" s="173" t="s">
        <v>386</v>
      </c>
      <c r="C95" s="186"/>
      <c r="D95" s="186"/>
      <c r="E95" s="186"/>
      <c r="F95" s="186"/>
      <c r="G95" s="186"/>
      <c r="H95">
        <f t="shared" si="5"/>
        <v>0</v>
      </c>
      <c r="I95" t="str">
        <f t="shared" si="6"/>
        <v>所有者权益（或股东权益）： </v>
      </c>
      <c r="J95" s="43" t="str">
        <f t="shared" si="4"/>
        <v>近三年及一期，拟承租人所有者权益（或股东权益）： 分别为0亿元、0亿元、0亿元及0亿元。</v>
      </c>
    </row>
    <row r="96" ht="14.1" customHeight="1" spans="1:10">
      <c r="A96" s="43">
        <v>5001</v>
      </c>
      <c r="B96" s="43" t="s">
        <v>387</v>
      </c>
      <c r="C96" s="186"/>
      <c r="D96" s="186"/>
      <c r="E96" s="186"/>
      <c r="F96" s="186"/>
      <c r="G96" s="186"/>
      <c r="H96">
        <f t="shared" si="5"/>
        <v>0</v>
      </c>
      <c r="I96" t="str">
        <f t="shared" si="6"/>
        <v>  实收资本（或股本） </v>
      </c>
      <c r="J96" s="43" t="str">
        <f t="shared" si="4"/>
        <v>近三年及一期，拟承租人  实收资本（或股本） 分别为0亿元、0亿元、0亿元及0亿元。</v>
      </c>
    </row>
    <row r="97" ht="14.1" customHeight="1" spans="1:10">
      <c r="A97" s="43">
        <v>5002</v>
      </c>
      <c r="B97" s="43" t="s">
        <v>388</v>
      </c>
      <c r="C97" s="186"/>
      <c r="D97" s="186"/>
      <c r="E97" s="186"/>
      <c r="F97" s="186"/>
      <c r="G97" s="186"/>
      <c r="H97">
        <f t="shared" si="5"/>
        <v>0</v>
      </c>
      <c r="I97" t="str">
        <f t="shared" si="6"/>
        <v>  其他权益工具 </v>
      </c>
      <c r="J97" s="43" t="str">
        <f t="shared" si="4"/>
        <v>近三年及一期，拟承租人  其他权益工具 分别为0亿元、0亿元、0亿元及0亿元。</v>
      </c>
    </row>
    <row r="98" ht="14.1" customHeight="1" spans="1:10">
      <c r="A98" s="43">
        <v>500201</v>
      </c>
      <c r="B98" s="59" t="s">
        <v>374</v>
      </c>
      <c r="C98" s="186"/>
      <c r="D98" s="186"/>
      <c r="E98" s="186"/>
      <c r="F98" s="186"/>
      <c r="G98" s="186"/>
      <c r="H98">
        <f t="shared" si="5"/>
        <v>0</v>
      </c>
      <c r="I98" t="str">
        <f t="shared" si="6"/>
        <v>    其中：优先股 </v>
      </c>
      <c r="J98" s="43" t="str">
        <f t="shared" si="4"/>
        <v>近三年及一期，拟承租人    其中：优先股 分别为0亿元、0亿元、0亿元及0亿元。</v>
      </c>
    </row>
    <row r="99" ht="14.1" customHeight="1" spans="1:10">
      <c r="A99" s="43">
        <v>500202</v>
      </c>
      <c r="B99" s="43" t="s">
        <v>375</v>
      </c>
      <c r="C99" s="186"/>
      <c r="D99" s="186"/>
      <c r="E99" s="186"/>
      <c r="F99" s="186"/>
      <c r="G99" s="186"/>
      <c r="H99">
        <f t="shared" si="5"/>
        <v>0</v>
      </c>
      <c r="I99" t="str">
        <f t="shared" si="6"/>
        <v>          永续债 </v>
      </c>
      <c r="J99" s="43" t="str">
        <f t="shared" si="4"/>
        <v>近三年及一期，拟承租人          永续债 分别为0亿元、0亿元、0亿元及0亿元。</v>
      </c>
    </row>
    <row r="100" ht="14.1" customHeight="1" spans="1:10">
      <c r="A100" s="43">
        <v>5003</v>
      </c>
      <c r="B100" s="43" t="s">
        <v>389</v>
      </c>
      <c r="C100" s="186"/>
      <c r="D100" s="186"/>
      <c r="E100" s="186"/>
      <c r="F100" s="186"/>
      <c r="G100" s="186"/>
      <c r="H100">
        <f t="shared" si="5"/>
        <v>0</v>
      </c>
      <c r="I100" t="str">
        <f t="shared" si="6"/>
        <v>  资本公积 </v>
      </c>
      <c r="J100" s="43" t="str">
        <f t="shared" si="4"/>
        <v>近三年及一期，拟承租人  资本公积 分别为0亿元、0亿元、0亿元及0亿元。</v>
      </c>
    </row>
    <row r="101" ht="14.1" customHeight="1" spans="1:10">
      <c r="A101" s="43">
        <v>5004</v>
      </c>
      <c r="B101" s="43" t="s">
        <v>390</v>
      </c>
      <c r="C101" s="186"/>
      <c r="D101" s="186"/>
      <c r="E101" s="186"/>
      <c r="F101" s="186"/>
      <c r="G101" s="186"/>
      <c r="H101">
        <f t="shared" si="5"/>
        <v>0</v>
      </c>
      <c r="I101" t="str">
        <f t="shared" si="6"/>
        <v>  减：库存股 </v>
      </c>
      <c r="J101" s="43" t="str">
        <f t="shared" si="4"/>
        <v>近三年及一期，拟承租人  减：库存股 分别为0亿元、0亿元、0亿元及0亿元。</v>
      </c>
    </row>
    <row r="102" ht="14.1" customHeight="1" spans="1:10">
      <c r="A102" s="43">
        <v>5005</v>
      </c>
      <c r="B102" s="43" t="s">
        <v>391</v>
      </c>
      <c r="C102" s="186"/>
      <c r="D102" s="186"/>
      <c r="E102" s="186"/>
      <c r="F102" s="186"/>
      <c r="G102" s="186"/>
      <c r="H102">
        <f t="shared" si="5"/>
        <v>0</v>
      </c>
      <c r="I102" t="str">
        <f t="shared" si="6"/>
        <v>  其他综合收益 </v>
      </c>
      <c r="J102" s="43" t="str">
        <f t="shared" si="4"/>
        <v>近三年及一期，拟承租人  其他综合收益 分别为0亿元、0亿元、0亿元及0亿元。</v>
      </c>
    </row>
    <row r="103" ht="14.1" customHeight="1" spans="1:10">
      <c r="A103" s="43">
        <v>5006</v>
      </c>
      <c r="B103" s="43" t="s">
        <v>392</v>
      </c>
      <c r="C103" s="186"/>
      <c r="D103" s="186"/>
      <c r="E103" s="186"/>
      <c r="F103" s="186"/>
      <c r="G103" s="186"/>
      <c r="H103">
        <f t="shared" si="5"/>
        <v>0</v>
      </c>
      <c r="I103" t="str">
        <f t="shared" si="6"/>
        <v>  专项储备 400561</v>
      </c>
      <c r="J103" s="43" t="str">
        <f t="shared" si="4"/>
        <v>近三年及一期，拟承租人  专项储备 400561分别为0亿元、0亿元、0亿元及0亿元。</v>
      </c>
    </row>
    <row r="104" ht="14.1" customHeight="1" spans="1:10">
      <c r="A104" s="43">
        <v>5007</v>
      </c>
      <c r="B104" s="43" t="s">
        <v>393</v>
      </c>
      <c r="C104" s="186"/>
      <c r="D104" s="186"/>
      <c r="E104" s="186"/>
      <c r="F104" s="186"/>
      <c r="G104" s="186"/>
      <c r="H104">
        <f t="shared" si="5"/>
        <v>0</v>
      </c>
      <c r="I104" t="str">
        <f t="shared" si="6"/>
        <v>  盈余公积 </v>
      </c>
      <c r="J104" s="43" t="str">
        <f t="shared" si="4"/>
        <v>近三年及一期，拟承租人  盈余公积 分别为0亿元、0亿元、0亿元及0亿元。</v>
      </c>
    </row>
    <row r="105" ht="14.1" customHeight="1" spans="1:10">
      <c r="A105" s="43">
        <v>5008</v>
      </c>
      <c r="B105" s="43" t="s">
        <v>394</v>
      </c>
      <c r="C105" s="186"/>
      <c r="D105" s="186"/>
      <c r="E105" s="186"/>
      <c r="F105" s="186"/>
      <c r="G105" s="186"/>
      <c r="H105">
        <f t="shared" si="5"/>
        <v>0</v>
      </c>
      <c r="I105" t="str">
        <f t="shared" si="6"/>
        <v>  一般风险准备* </v>
      </c>
      <c r="J105" s="43" t="str">
        <f t="shared" si="4"/>
        <v>近三年及一期，拟承租人  一般风险准备* 分别为0亿元、0亿元、0亿元及0亿元。</v>
      </c>
    </row>
    <row r="106" ht="14.1" customHeight="1" spans="1:10">
      <c r="A106" s="43">
        <v>5009</v>
      </c>
      <c r="B106" s="43" t="s">
        <v>395</v>
      </c>
      <c r="C106" s="186"/>
      <c r="D106" s="186"/>
      <c r="E106" s="186"/>
      <c r="F106" s="186"/>
      <c r="G106" s="186"/>
      <c r="H106">
        <f t="shared" si="5"/>
        <v>0</v>
      </c>
      <c r="I106" t="str">
        <f t="shared" si="6"/>
        <v>  未分配利润 </v>
      </c>
      <c r="J106" s="43" t="str">
        <f t="shared" si="4"/>
        <v>近三年及一期，拟承租人  未分配利润 分别为0亿元、0亿元、0亿元及0亿元。</v>
      </c>
    </row>
    <row r="107" s="183" customFormat="1" ht="14.1" customHeight="1" spans="1:10">
      <c r="A107" s="188">
        <v>5010</v>
      </c>
      <c r="B107" s="194" t="s">
        <v>396</v>
      </c>
      <c r="C107" s="190">
        <f>C96+C97+C100+C101+C102+C103+C104+C105+C106</f>
        <v>0</v>
      </c>
      <c r="D107" s="190">
        <f>D96+D97+D100+D101+D102+D103+D104+D105+D106</f>
        <v>0</v>
      </c>
      <c r="E107" s="190">
        <f>E96+E97+E100+E101+E102+E103+E104+E105+E106</f>
        <v>0</v>
      </c>
      <c r="F107" s="190">
        <f>F96+F97+F100+F101+F102+F103+F104+F105+F106</f>
        <v>0</v>
      </c>
      <c r="G107" s="190">
        <f>G96+G97+G100+G101+G102+G103+G104+G105+G106</f>
        <v>0</v>
      </c>
      <c r="H107">
        <f t="shared" si="5"/>
        <v>0</v>
      </c>
      <c r="I107" t="str">
        <f t="shared" si="6"/>
        <v>归属于母公司所有者权益（或股东权益）合计</v>
      </c>
      <c r="J107" s="43" t="str">
        <f t="shared" si="4"/>
        <v>近三年及一期，拟承租人归属于母公司所有者权益（或股东权益）合计分别为0亿元、0亿元、0亿元及0亿元。</v>
      </c>
    </row>
    <row r="108" ht="14.1" customHeight="1" spans="1:10">
      <c r="A108" s="43">
        <v>5011</v>
      </c>
      <c r="B108" s="43" t="s">
        <v>397</v>
      </c>
      <c r="C108" s="195"/>
      <c r="D108" s="195"/>
      <c r="E108" s="186"/>
      <c r="F108" s="186"/>
      <c r="G108" s="186"/>
      <c r="H108">
        <f t="shared" si="5"/>
        <v>0</v>
      </c>
      <c r="I108" t="str">
        <f t="shared" si="6"/>
        <v>  少数股东权益 </v>
      </c>
      <c r="J108" s="43" t="str">
        <f t="shared" si="4"/>
        <v>近三年及一期，拟承租人  少数股东权益 分别为0亿元、0亿元、0亿元及0亿元。</v>
      </c>
    </row>
    <row r="109" s="183" customFormat="1" ht="14.1" customHeight="1" spans="1:10">
      <c r="A109" s="188">
        <v>5099</v>
      </c>
      <c r="B109" s="196" t="s">
        <v>398</v>
      </c>
      <c r="C109" s="190">
        <f>C107+C108</f>
        <v>0</v>
      </c>
      <c r="D109" s="190">
        <f>D107+D108</f>
        <v>0</v>
      </c>
      <c r="E109" s="190">
        <f>E107+E108</f>
        <v>0</v>
      </c>
      <c r="F109" s="190">
        <f>F107+F108</f>
        <v>0</v>
      </c>
      <c r="G109" s="190">
        <f>G107+G108</f>
        <v>0</v>
      </c>
      <c r="H109">
        <f t="shared" si="5"/>
        <v>0</v>
      </c>
      <c r="I109" t="str">
        <f t="shared" si="6"/>
        <v>  所有者权益（或股东权益）合计 </v>
      </c>
      <c r="J109" s="43" t="str">
        <f t="shared" si="4"/>
        <v>近三年及一期，拟承租人  所有者权益（或股东权益）合计 分别为0亿元、0亿元、0亿元及0亿元。</v>
      </c>
    </row>
    <row r="110" s="183" customFormat="1" ht="14.1" customHeight="1" spans="1:10">
      <c r="A110" s="188">
        <v>5999</v>
      </c>
      <c r="B110" s="188" t="s">
        <v>399</v>
      </c>
      <c r="C110" s="190">
        <f>C94+C109</f>
        <v>0</v>
      </c>
      <c r="D110" s="190">
        <f>D94+D109</f>
        <v>0</v>
      </c>
      <c r="E110" s="190">
        <f>E94+E109</f>
        <v>0</v>
      </c>
      <c r="F110" s="190">
        <f>F94+F109</f>
        <v>0</v>
      </c>
      <c r="G110" s="190">
        <f>G94+G109</f>
        <v>0</v>
      </c>
      <c r="H110">
        <f t="shared" si="5"/>
        <v>0</v>
      </c>
      <c r="I110" t="str">
        <f t="shared" si="6"/>
        <v> 负债和所有者权益（或股东权益）总计 </v>
      </c>
      <c r="J110" s="43" t="str">
        <f t="shared" si="4"/>
        <v>近三年及一期，拟承租人 负债和所有者权益（或股东权益）总计 分别为0亿元、0亿元、0亿元及0亿元。</v>
      </c>
    </row>
    <row r="111" spans="1:10">
      <c r="C111" s="143">
        <f>C110-C53</f>
        <v>0</v>
      </c>
      <c r="D111" s="143">
        <f>D110-D53</f>
        <v>0</v>
      </c>
      <c r="E111" s="143">
        <f>E110-E53</f>
        <v>0</v>
      </c>
      <c r="F111" s="143">
        <f>F110-F53</f>
        <v>0</v>
      </c>
      <c r="G111" s="143">
        <f>G110-G53</f>
        <v>0</v>
      </c>
    </row>
  </sheetData>
  <autoFilter xmlns:etc="http://www.wps.cn/officeDocument/2017/etCustomData" ref="A1:J111" etc:filterBottomFollowUsedRange="0">
    <extLst/>
  </autoFilter>
  <pageMargins left="0.75" right="0.75" top="1" bottom="1" header="0.5" footer="0.5"/>
  <pageSetup paperSize="1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H70"/>
  <sheetViews>
    <sheetView zoomScale="115" zoomScaleNormal="115" workbookViewId="0">
      <selection activeCell="C66" sqref="C66"/>
    </sheetView>
  </sheetViews>
  <sheetFormatPr defaultColWidth="9" defaultRowHeight="15.2" outlineLevelCol="7"/>
  <cols>
    <col min="1" max="1" width="8.57142857142857" customWidth="1"/>
    <col min="2" max="2" width="47.5714285714286" customWidth="1"/>
    <col min="3" max="3" width="15.5714285714286" customWidth="1"/>
    <col min="4" max="4" width="15.2857142857143" style="175" customWidth="1"/>
    <col min="5" max="5" width="17" style="175" customWidth="1"/>
    <col min="6" max="7" width="16.4285714285714" style="175" customWidth="1"/>
  </cols>
  <sheetData>
    <row r="1" ht="22.15" customHeight="1" spans="1:7">
      <c r="A1" s="162" t="s">
        <v>290</v>
      </c>
      <c r="B1" s="162" t="s">
        <v>291</v>
      </c>
      <c r="C1" s="163">
        <v>45930</v>
      </c>
      <c r="D1" s="163">
        <v>45657</v>
      </c>
      <c r="E1" s="163">
        <v>45291</v>
      </c>
      <c r="F1" s="163">
        <v>44926</v>
      </c>
      <c r="G1" s="163">
        <v>44561</v>
      </c>
    </row>
    <row r="2" ht="14.1" customHeight="1" spans="1:7">
      <c r="A2" s="59">
        <v>6100</v>
      </c>
      <c r="B2" s="59" t="s">
        <v>400</v>
      </c>
      <c r="C2" s="176">
        <f>C3+C4+C5+C6+C7</f>
        <v>0</v>
      </c>
      <c r="D2" s="177">
        <f>D3+D4+D5+D6+D7</f>
        <v>0</v>
      </c>
      <c r="E2" s="177">
        <f>E3+E4+E5+E6+E7</f>
        <v>0</v>
      </c>
      <c r="F2" s="177">
        <f>F3+F4+F5+F6+F7</f>
        <v>0</v>
      </c>
      <c r="G2" s="177">
        <f>G3+G4+G5+G6+G7</f>
        <v>0</v>
      </c>
    </row>
    <row r="3" ht="14.1" customHeight="1" spans="1:7">
      <c r="A3" s="59">
        <v>6101</v>
      </c>
      <c r="B3" s="59" t="s">
        <v>401</v>
      </c>
      <c r="C3" s="169"/>
      <c r="D3" s="169"/>
      <c r="E3" s="169"/>
      <c r="F3" s="169"/>
      <c r="G3" s="169"/>
    </row>
    <row r="4" ht="14.1" customHeight="1" spans="1:7">
      <c r="A4" s="59">
        <v>6102</v>
      </c>
      <c r="B4" s="59" t="s">
        <v>402</v>
      </c>
      <c r="C4" s="178"/>
      <c r="D4" s="169"/>
      <c r="E4" s="169"/>
      <c r="F4" s="169"/>
      <c r="G4" s="169"/>
    </row>
    <row r="5" ht="14.1" customHeight="1" spans="1:7">
      <c r="A5" s="59">
        <v>6103</v>
      </c>
      <c r="B5" s="59" t="s">
        <v>403</v>
      </c>
      <c r="C5" s="178"/>
      <c r="D5" s="169"/>
      <c r="E5" s="169"/>
      <c r="F5" s="169"/>
      <c r="G5" s="169"/>
    </row>
    <row r="6" ht="14.1" customHeight="1" spans="1:7">
      <c r="A6" s="59">
        <v>6104</v>
      </c>
      <c r="B6" s="59" t="s">
        <v>404</v>
      </c>
      <c r="C6" s="178"/>
      <c r="D6" s="169"/>
      <c r="E6" s="169"/>
      <c r="F6" s="169"/>
      <c r="G6" s="169"/>
    </row>
    <row r="7" ht="14.1" customHeight="1" spans="1:7">
      <c r="A7" s="59">
        <v>6105</v>
      </c>
      <c r="B7" s="59" t="s">
        <v>405</v>
      </c>
      <c r="C7" s="178"/>
      <c r="D7" s="169"/>
      <c r="E7" s="169"/>
      <c r="F7" s="169"/>
      <c r="G7" s="169"/>
    </row>
    <row r="8" ht="14.1" customHeight="1" spans="1:7">
      <c r="A8" s="59">
        <v>6200</v>
      </c>
      <c r="B8" s="59" t="s">
        <v>406</v>
      </c>
      <c r="C8" s="178"/>
      <c r="D8" s="168"/>
      <c r="E8" s="168"/>
      <c r="F8" s="168"/>
      <c r="G8" s="168"/>
    </row>
    <row r="9" ht="14.1" customHeight="1" spans="1:7">
      <c r="A9" s="59">
        <v>6201</v>
      </c>
      <c r="B9" s="59" t="s">
        <v>407</v>
      </c>
      <c r="C9" s="177">
        <f>C10+C11</f>
        <v>0</v>
      </c>
      <c r="D9" s="177">
        <f>D10+D11</f>
        <v>0</v>
      </c>
      <c r="E9" s="177">
        <f>E10+E11</f>
        <v>0</v>
      </c>
      <c r="F9" s="177">
        <f>F10+F11</f>
        <v>0</v>
      </c>
      <c r="G9" s="177">
        <f>G10+G11</f>
        <v>0</v>
      </c>
    </row>
    <row r="10" ht="14.1" customHeight="1" spans="1:7">
      <c r="A10" s="59">
        <v>620101</v>
      </c>
      <c r="B10" s="59" t="s">
        <v>408</v>
      </c>
      <c r="C10" s="178"/>
      <c r="D10" s="179"/>
      <c r="E10" s="179"/>
      <c r="F10" s="168"/>
      <c r="G10" s="178"/>
    </row>
    <row r="11" ht="14.1" customHeight="1" spans="1:7">
      <c r="A11" s="59">
        <v>620102</v>
      </c>
      <c r="B11" s="59" t="s">
        <v>409</v>
      </c>
      <c r="C11" s="178"/>
      <c r="D11" s="178"/>
      <c r="E11" s="178"/>
      <c r="F11" s="178"/>
      <c r="G11" s="178"/>
    </row>
    <row r="12" ht="14.1" customHeight="1" spans="1:7">
      <c r="A12" s="59">
        <v>6202</v>
      </c>
      <c r="B12" s="59" t="s">
        <v>410</v>
      </c>
      <c r="C12" s="178"/>
      <c r="D12" s="178"/>
      <c r="E12" s="178"/>
      <c r="F12" s="178"/>
      <c r="G12" s="178"/>
    </row>
    <row r="13" ht="14.1" customHeight="1" spans="1:7">
      <c r="A13" s="59">
        <v>6203</v>
      </c>
      <c r="B13" s="59" t="s">
        <v>411</v>
      </c>
      <c r="C13" s="178"/>
      <c r="D13" s="178"/>
      <c r="E13" s="178"/>
      <c r="F13" s="178"/>
      <c r="G13" s="178"/>
    </row>
    <row r="14" ht="13.5" customHeight="1" spans="1:7">
      <c r="A14" s="59">
        <v>6204</v>
      </c>
      <c r="B14" s="59" t="s">
        <v>412</v>
      </c>
      <c r="C14" s="178"/>
      <c r="D14" s="178"/>
      <c r="E14" s="178"/>
      <c r="F14" s="178"/>
      <c r="G14" s="178"/>
    </row>
    <row r="15" ht="13.5" customHeight="1" spans="1:7">
      <c r="A15" s="59">
        <v>6205</v>
      </c>
      <c r="B15" s="59" t="s">
        <v>413</v>
      </c>
      <c r="C15" s="178"/>
      <c r="D15" s="178"/>
      <c r="E15" s="178"/>
      <c r="F15" s="178"/>
      <c r="G15" s="178"/>
    </row>
    <row r="16" ht="14.1" customHeight="1" spans="1:7">
      <c r="A16" s="59">
        <v>6206</v>
      </c>
      <c r="B16" s="59" t="s">
        <v>414</v>
      </c>
      <c r="C16" s="178"/>
      <c r="D16" s="178"/>
      <c r="E16" s="178"/>
      <c r="F16" s="178"/>
      <c r="G16" s="178"/>
    </row>
    <row r="17" ht="14.1" customHeight="1" spans="1:7">
      <c r="A17" s="59">
        <v>6207</v>
      </c>
      <c r="B17" s="59" t="s">
        <v>415</v>
      </c>
      <c r="C17" s="178"/>
      <c r="D17" s="178"/>
      <c r="E17" s="178"/>
      <c r="F17" s="178"/>
      <c r="G17" s="178"/>
    </row>
    <row r="18" ht="14.1" customHeight="1" spans="1:7">
      <c r="A18" s="59">
        <v>6208</v>
      </c>
      <c r="B18" s="59" t="s">
        <v>416</v>
      </c>
      <c r="C18" s="178"/>
      <c r="D18" s="178"/>
      <c r="E18" s="178"/>
      <c r="F18" s="178"/>
      <c r="G18" s="178"/>
    </row>
    <row r="19" ht="14.1" customHeight="1" spans="1:7">
      <c r="A19" s="59">
        <v>6209</v>
      </c>
      <c r="B19" s="59" t="s">
        <v>417</v>
      </c>
      <c r="C19" s="180"/>
      <c r="D19" s="180"/>
      <c r="E19" s="180"/>
      <c r="F19" s="180"/>
      <c r="G19" s="180"/>
    </row>
    <row r="20" ht="14.1" customHeight="1" spans="1:7">
      <c r="A20" s="59">
        <v>6210</v>
      </c>
      <c r="B20" s="59" t="s">
        <v>418</v>
      </c>
      <c r="C20" s="180"/>
      <c r="D20" s="180"/>
      <c r="E20" s="180"/>
      <c r="F20" s="180"/>
      <c r="G20" s="180"/>
    </row>
    <row r="21" ht="14.1" customHeight="1" spans="1:7">
      <c r="A21" s="59">
        <v>6211</v>
      </c>
      <c r="B21" s="59" t="s">
        <v>419</v>
      </c>
      <c r="C21" s="180"/>
      <c r="D21" s="180"/>
      <c r="E21" s="180"/>
      <c r="F21" s="180"/>
      <c r="G21" s="180"/>
    </row>
    <row r="22" ht="14.1" customHeight="1" spans="1:7">
      <c r="A22" s="59">
        <v>6212</v>
      </c>
      <c r="B22" s="59" t="s">
        <v>420</v>
      </c>
      <c r="C22" s="180"/>
      <c r="D22" s="180"/>
      <c r="E22" s="180"/>
      <c r="F22" s="180"/>
      <c r="G22" s="180"/>
    </row>
    <row r="23" ht="14.1" customHeight="1" spans="1:7">
      <c r="A23" s="59">
        <v>6213</v>
      </c>
      <c r="B23" s="59" t="s">
        <v>421</v>
      </c>
      <c r="C23" s="180"/>
      <c r="D23" s="180"/>
      <c r="E23" s="180"/>
      <c r="F23" s="180"/>
      <c r="G23" s="180"/>
    </row>
    <row r="24" ht="14.1" customHeight="1" spans="1:7">
      <c r="A24" s="59">
        <v>621301</v>
      </c>
      <c r="B24" s="59" t="s">
        <v>422</v>
      </c>
      <c r="C24" s="180"/>
      <c r="D24" s="180"/>
      <c r="E24" s="180"/>
      <c r="F24" s="180"/>
      <c r="G24" s="180"/>
    </row>
    <row r="25" ht="14.1" customHeight="1" spans="1:7">
      <c r="A25" s="59">
        <v>621302</v>
      </c>
      <c r="B25" s="59" t="s">
        <v>423</v>
      </c>
      <c r="C25" s="180"/>
      <c r="D25" s="180"/>
      <c r="E25" s="180"/>
      <c r="F25" s="180"/>
      <c r="G25" s="180"/>
    </row>
    <row r="26" ht="14.1" customHeight="1" spans="1:7">
      <c r="A26" s="59">
        <v>6214</v>
      </c>
      <c r="B26" s="59" t="s">
        <v>424</v>
      </c>
      <c r="C26" s="178"/>
      <c r="D26" s="178"/>
      <c r="E26" s="178"/>
      <c r="F26" s="178"/>
      <c r="G26" s="178"/>
    </row>
    <row r="27" ht="14.1" customHeight="1" spans="1:7">
      <c r="A27" s="59">
        <v>6215</v>
      </c>
      <c r="B27" s="59" t="s">
        <v>425</v>
      </c>
      <c r="C27" s="178"/>
      <c r="D27" s="178"/>
      <c r="E27" s="178"/>
      <c r="F27" s="178"/>
      <c r="G27" s="178"/>
    </row>
    <row r="28" ht="14.1" customHeight="1" spans="1:7">
      <c r="A28" s="59">
        <v>621501</v>
      </c>
      <c r="B28" s="59" t="s">
        <v>426</v>
      </c>
      <c r="C28" s="178"/>
      <c r="D28" s="178"/>
      <c r="E28" s="178"/>
      <c r="F28" s="178"/>
      <c r="G28" s="178"/>
    </row>
    <row r="29" ht="14.1" customHeight="1" spans="1:7">
      <c r="A29" s="59">
        <v>621502</v>
      </c>
      <c r="B29" s="59" t="s">
        <v>427</v>
      </c>
      <c r="C29" s="181"/>
      <c r="D29" s="181"/>
      <c r="E29" s="181"/>
      <c r="F29" s="181"/>
      <c r="G29" s="181"/>
    </row>
    <row r="30" ht="14.1" customHeight="1" spans="1:7">
      <c r="A30" s="59">
        <v>6216</v>
      </c>
      <c r="B30" s="59" t="s">
        <v>428</v>
      </c>
      <c r="C30" s="178"/>
      <c r="D30" s="178"/>
      <c r="E30" s="178"/>
      <c r="F30" s="178"/>
      <c r="G30" s="178"/>
    </row>
    <row r="31" ht="14.1" customHeight="1" spans="1:7">
      <c r="A31" s="59">
        <v>6217</v>
      </c>
      <c r="B31" s="59" t="s">
        <v>429</v>
      </c>
      <c r="C31" s="181"/>
      <c r="D31" s="181"/>
      <c r="E31" s="181"/>
      <c r="F31" s="181"/>
      <c r="G31" s="181"/>
    </row>
    <row r="32" ht="14.1" customHeight="1" spans="1:7">
      <c r="A32" s="59">
        <v>6218</v>
      </c>
      <c r="B32" s="59" t="s">
        <v>430</v>
      </c>
      <c r="C32" s="178"/>
      <c r="D32" s="178"/>
      <c r="E32" s="178"/>
      <c r="F32" s="178"/>
      <c r="G32" s="178"/>
    </row>
    <row r="33" ht="14.1" customHeight="1" spans="1:8">
      <c r="A33" s="59">
        <v>6219</v>
      </c>
      <c r="B33" s="59" t="s">
        <v>431</v>
      </c>
      <c r="C33" s="178"/>
      <c r="D33" s="178"/>
      <c r="E33" s="178"/>
      <c r="F33" s="178"/>
      <c r="G33" s="178"/>
      <c r="H33" s="182"/>
    </row>
    <row r="34" ht="14.1" customHeight="1" spans="1:8">
      <c r="A34" s="59">
        <v>6220</v>
      </c>
      <c r="B34" s="59" t="s">
        <v>432</v>
      </c>
      <c r="C34" s="178"/>
      <c r="D34" s="178"/>
      <c r="E34" s="178"/>
      <c r="F34" s="178"/>
      <c r="G34" s="178"/>
    </row>
    <row r="35" ht="14.1" customHeight="1" spans="1:8">
      <c r="A35" s="59">
        <v>6221</v>
      </c>
      <c r="B35" s="59" t="s">
        <v>433</v>
      </c>
      <c r="C35" s="178"/>
      <c r="D35" s="178"/>
      <c r="E35" s="178"/>
      <c r="F35" s="178"/>
      <c r="G35" s="178"/>
    </row>
    <row r="36" ht="14.1" customHeight="1" spans="1:8">
      <c r="A36" s="59">
        <v>6300</v>
      </c>
      <c r="B36" s="59" t="s">
        <v>434</v>
      </c>
      <c r="C36" s="176">
        <f>C2-C9-C12-C13-C14-C15-C16-C17-C18-C19-C20-C21-C22-C23+C26+C27+C30+C31+C32+C33+C34+C35</f>
        <v>0</v>
      </c>
      <c r="D36" s="176">
        <f>D2-D9-D12-D13-D14-D15-D16-D17-D18-D19-D20-D21-D22-D23+D26+D27+D30+D31+D32+D33+D34+D35</f>
        <v>0</v>
      </c>
      <c r="E36" s="176">
        <f>E2-E9-E12-E13-E14-E15-E16-E17-E18-E19-E20-E21-E22-E23+E26+E27+E30+E31+E32+E33+E34+E35</f>
        <v>0</v>
      </c>
      <c r="F36" s="176">
        <f>F2-F9-F12-F13-F14-F15-F16-F17-F18-F19-F20-F21-F22-F23+F26+F27+F30+F31+F32+F33+F34+F35</f>
        <v>0</v>
      </c>
      <c r="G36" s="176">
        <f>G2-G9-G12-G13-G14-G15-G16-G17-G18-G19-G20-G21-G22-G23+G26+G27+G30+G31+G32+G33+G34+G35</f>
        <v>0</v>
      </c>
    </row>
    <row r="37" ht="14.1" customHeight="1" spans="1:8">
      <c r="A37" s="59">
        <v>6301</v>
      </c>
      <c r="B37" s="59" t="s">
        <v>435</v>
      </c>
      <c r="C37" s="178"/>
      <c r="D37" s="178"/>
      <c r="E37" s="178"/>
      <c r="F37" s="178"/>
      <c r="G37" s="178"/>
    </row>
    <row r="38" ht="14.1" customHeight="1" spans="1:8">
      <c r="A38" s="59">
        <v>6302</v>
      </c>
      <c r="B38" s="59" t="s">
        <v>436</v>
      </c>
      <c r="C38" s="178"/>
      <c r="D38" s="178"/>
      <c r="E38" s="178"/>
      <c r="F38" s="178"/>
      <c r="G38" s="178"/>
    </row>
    <row r="39" ht="14.1" customHeight="1" spans="1:8">
      <c r="A39" s="59">
        <v>6400</v>
      </c>
      <c r="B39" s="59" t="s">
        <v>437</v>
      </c>
      <c r="C39" s="176">
        <f>C36+C37-C38</f>
        <v>0</v>
      </c>
      <c r="D39" s="177">
        <f>D36+D37-D38</f>
        <v>0</v>
      </c>
      <c r="E39" s="177">
        <f>E36+E37-E38</f>
        <v>0</v>
      </c>
      <c r="F39" s="177">
        <f>F36+F37-F38</f>
        <v>0</v>
      </c>
      <c r="G39" s="177">
        <f>G36+G37-G38</f>
        <v>0</v>
      </c>
    </row>
    <row r="40" ht="14.1" customHeight="1" spans="1:8">
      <c r="A40" s="59">
        <v>6401</v>
      </c>
      <c r="B40" s="59" t="s">
        <v>438</v>
      </c>
      <c r="C40" s="178"/>
      <c r="D40" s="178"/>
      <c r="E40" s="178"/>
      <c r="F40" s="178"/>
      <c r="G40" s="178"/>
    </row>
    <row r="41" ht="14.1" customHeight="1" spans="1:8">
      <c r="A41" s="59">
        <v>6500</v>
      </c>
      <c r="B41" s="59" t="s">
        <v>439</v>
      </c>
      <c r="C41" s="176">
        <f>C39-C40</f>
        <v>0</v>
      </c>
      <c r="D41" s="177">
        <f>D39-D40</f>
        <v>0</v>
      </c>
      <c r="E41" s="177">
        <f>E39-E40</f>
        <v>0</v>
      </c>
      <c r="F41" s="177">
        <f>F39-F40</f>
        <v>0</v>
      </c>
      <c r="G41" s="177">
        <f>G39-G40</f>
        <v>0</v>
      </c>
    </row>
    <row r="42" ht="14.1" customHeight="1" spans="1:8">
      <c r="A42" s="59">
        <v>6501</v>
      </c>
      <c r="B42" s="59" t="s">
        <v>440</v>
      </c>
      <c r="C42" s="178"/>
      <c r="D42" s="169"/>
      <c r="E42" s="169"/>
      <c r="F42" s="169"/>
      <c r="G42" s="169"/>
    </row>
    <row r="43" ht="14.1" customHeight="1" spans="1:8">
      <c r="A43" s="59">
        <v>650101</v>
      </c>
      <c r="B43" s="59" t="s">
        <v>441</v>
      </c>
      <c r="C43" s="178"/>
      <c r="D43" s="169"/>
      <c r="E43" s="169"/>
      <c r="F43" s="169"/>
      <c r="G43" s="169"/>
    </row>
    <row r="44" ht="14.1" customHeight="1" spans="1:8">
      <c r="A44" s="59">
        <v>650102</v>
      </c>
      <c r="B44" s="59" t="s">
        <v>442</v>
      </c>
      <c r="C44" s="178"/>
      <c r="D44" s="169"/>
      <c r="E44" s="169"/>
      <c r="F44" s="169"/>
      <c r="G44" s="169"/>
    </row>
    <row r="45" ht="14.1" customHeight="1" spans="1:8">
      <c r="A45" s="59">
        <v>6502</v>
      </c>
      <c r="B45" s="59" t="s">
        <v>443</v>
      </c>
      <c r="C45" s="178"/>
      <c r="D45" s="169"/>
      <c r="E45" s="169"/>
      <c r="F45" s="169"/>
      <c r="G45" s="169"/>
    </row>
    <row r="46" ht="14.1" customHeight="1" spans="1:8">
      <c r="A46" s="59">
        <v>650201</v>
      </c>
      <c r="B46" s="59" t="s">
        <v>444</v>
      </c>
      <c r="C46" s="178"/>
      <c r="D46" s="178"/>
      <c r="E46" s="178"/>
      <c r="F46" s="178"/>
      <c r="G46" s="178"/>
    </row>
    <row r="47" ht="16" customHeight="1" spans="1:8">
      <c r="A47" s="59">
        <v>650202</v>
      </c>
      <c r="B47" s="59" t="s">
        <v>445</v>
      </c>
      <c r="C47" s="178"/>
      <c r="D47" s="178"/>
      <c r="E47" s="178"/>
      <c r="F47" s="178"/>
      <c r="G47" s="178"/>
    </row>
    <row r="48" ht="16" customHeight="1" spans="1:8">
      <c r="A48" s="59">
        <v>6600</v>
      </c>
      <c r="B48" s="59" t="s">
        <v>446</v>
      </c>
      <c r="C48" s="165"/>
      <c r="D48" s="169"/>
      <c r="E48" s="169"/>
      <c r="F48" s="169"/>
      <c r="G48" s="169"/>
    </row>
    <row r="49" ht="16" customHeight="1" spans="1:7">
      <c r="A49" s="59">
        <v>6601</v>
      </c>
      <c r="B49" s="59" t="s">
        <v>447</v>
      </c>
      <c r="C49" s="165"/>
      <c r="D49" s="169"/>
      <c r="E49" s="169"/>
      <c r="F49" s="169"/>
      <c r="G49" s="169"/>
    </row>
    <row r="50" ht="16" customHeight="1" spans="1:7">
      <c r="A50" s="59">
        <v>660101</v>
      </c>
      <c r="B50" s="59" t="s">
        <v>448</v>
      </c>
      <c r="C50" s="165"/>
      <c r="D50" s="169"/>
      <c r="E50" s="169"/>
      <c r="F50" s="169"/>
      <c r="G50" s="169"/>
    </row>
    <row r="51" ht="16" customHeight="1" spans="1:7">
      <c r="A51" s="59">
        <v>66010101</v>
      </c>
      <c r="B51" s="59" t="s">
        <v>449</v>
      </c>
      <c r="C51" s="165"/>
      <c r="D51" s="169"/>
      <c r="E51" s="169"/>
      <c r="F51" s="169"/>
      <c r="G51" s="169"/>
    </row>
    <row r="52" ht="16" customHeight="1" spans="1:7">
      <c r="A52" s="59">
        <v>66010102</v>
      </c>
      <c r="B52" s="59" t="s">
        <v>450</v>
      </c>
      <c r="C52" s="165"/>
      <c r="D52" s="169"/>
      <c r="E52" s="169"/>
      <c r="F52" s="169"/>
      <c r="G52" s="169"/>
    </row>
    <row r="53" ht="16" customHeight="1" spans="1:7">
      <c r="A53" s="59">
        <v>66010103</v>
      </c>
      <c r="B53" s="59" t="s">
        <v>451</v>
      </c>
      <c r="C53" s="165"/>
      <c r="D53" s="169"/>
      <c r="E53" s="169"/>
      <c r="F53" s="169"/>
      <c r="G53" s="169"/>
    </row>
    <row r="54" ht="16" customHeight="1" spans="1:7">
      <c r="A54" s="59">
        <v>66010104</v>
      </c>
      <c r="B54" s="59" t="s">
        <v>452</v>
      </c>
      <c r="C54" s="165"/>
      <c r="D54" s="169"/>
      <c r="E54" s="169"/>
      <c r="F54" s="169"/>
      <c r="G54" s="169"/>
    </row>
    <row r="55" ht="16" customHeight="1" spans="1:7">
      <c r="A55" s="59">
        <v>66010105</v>
      </c>
      <c r="B55" s="59" t="s">
        <v>453</v>
      </c>
      <c r="C55" s="165"/>
      <c r="D55" s="169"/>
      <c r="E55" s="169"/>
      <c r="F55" s="169"/>
      <c r="G55" s="169"/>
    </row>
    <row r="56" ht="16" customHeight="1" spans="1:7">
      <c r="A56" s="59">
        <v>660102</v>
      </c>
      <c r="B56" s="59" t="s">
        <v>454</v>
      </c>
      <c r="C56" s="165"/>
      <c r="D56" s="169">
        <v>0</v>
      </c>
      <c r="E56" s="169">
        <v>0</v>
      </c>
      <c r="F56" s="169">
        <v>0</v>
      </c>
      <c r="G56" s="169"/>
    </row>
    <row r="57" ht="16" customHeight="1" spans="1:7">
      <c r="A57" s="59">
        <v>66010201</v>
      </c>
      <c r="B57" s="59" t="s">
        <v>455</v>
      </c>
      <c r="C57" s="165"/>
      <c r="D57" s="169"/>
      <c r="E57" s="169"/>
      <c r="F57" s="169"/>
      <c r="G57" s="169"/>
    </row>
    <row r="58" ht="16" customHeight="1" spans="1:7">
      <c r="A58" s="59">
        <v>66010202</v>
      </c>
      <c r="B58" s="59" t="s">
        <v>456</v>
      </c>
      <c r="C58" s="165"/>
      <c r="D58" s="169"/>
      <c r="E58" s="169"/>
      <c r="F58" s="169"/>
      <c r="G58" s="169"/>
    </row>
    <row r="59" ht="16" customHeight="1" spans="1:7">
      <c r="A59" s="59">
        <v>66010203</v>
      </c>
      <c r="B59" s="59" t="s">
        <v>457</v>
      </c>
      <c r="C59" s="165"/>
      <c r="D59" s="169"/>
      <c r="E59" s="169"/>
      <c r="F59" s="169"/>
      <c r="G59" s="169"/>
    </row>
    <row r="60" ht="16" customHeight="1" spans="1:7">
      <c r="A60" s="59">
        <v>66010204</v>
      </c>
      <c r="B60" s="59" t="s">
        <v>458</v>
      </c>
      <c r="C60" s="165"/>
      <c r="D60" s="169"/>
      <c r="E60" s="169"/>
      <c r="F60" s="169"/>
      <c r="G60" s="169"/>
    </row>
    <row r="61" ht="16" customHeight="1" spans="1:7">
      <c r="A61" s="59">
        <v>66010205</v>
      </c>
      <c r="B61" s="59" t="s">
        <v>459</v>
      </c>
      <c r="C61" s="165"/>
      <c r="D61" s="169"/>
      <c r="E61" s="169"/>
      <c r="F61" s="169"/>
      <c r="G61" s="169"/>
    </row>
    <row r="62" ht="16" customHeight="1" spans="1:7">
      <c r="A62" s="59">
        <v>66010206</v>
      </c>
      <c r="B62" s="59" t="s">
        <v>460</v>
      </c>
      <c r="C62" s="165"/>
      <c r="D62" s="169"/>
      <c r="E62" s="169"/>
      <c r="F62" s="169"/>
      <c r="G62" s="169"/>
    </row>
    <row r="63" ht="16" customHeight="1" spans="1:7">
      <c r="A63" s="59">
        <v>66010207</v>
      </c>
      <c r="B63" s="59" t="s">
        <v>461</v>
      </c>
      <c r="C63" s="165"/>
      <c r="D63" s="169">
        <v>0</v>
      </c>
      <c r="E63" s="169">
        <v>0</v>
      </c>
      <c r="F63" s="169">
        <v>0</v>
      </c>
      <c r="G63" s="169"/>
    </row>
    <row r="64" ht="16" customHeight="1" spans="1:7">
      <c r="A64" s="59">
        <v>6602</v>
      </c>
      <c r="B64" s="59" t="s">
        <v>462</v>
      </c>
      <c r="C64" s="165"/>
      <c r="D64" s="169"/>
      <c r="E64" s="169"/>
      <c r="F64" s="169"/>
      <c r="G64" s="169"/>
    </row>
    <row r="65" ht="16" customHeight="1" spans="1:7">
      <c r="A65" s="59">
        <v>6700</v>
      </c>
      <c r="B65" s="59" t="s">
        <v>463</v>
      </c>
      <c r="C65" s="177">
        <f>C41+C48</f>
        <v>0</v>
      </c>
      <c r="D65" s="177">
        <f>D41+D48</f>
        <v>0</v>
      </c>
      <c r="E65" s="177">
        <f>E41+E48</f>
        <v>0</v>
      </c>
      <c r="F65" s="177">
        <f>F41+F48</f>
        <v>0</v>
      </c>
      <c r="G65" s="177">
        <f>G41+G48</f>
        <v>0</v>
      </c>
    </row>
    <row r="66" ht="16" customHeight="1" spans="1:7">
      <c r="A66" s="59">
        <v>6701</v>
      </c>
      <c r="B66" s="59" t="s">
        <v>464</v>
      </c>
      <c r="C66" s="181"/>
      <c r="D66" s="174"/>
      <c r="E66" s="174"/>
      <c r="F66" s="174"/>
      <c r="G66" s="174"/>
    </row>
    <row r="67" ht="16" customHeight="1" spans="1:7">
      <c r="A67" s="59">
        <v>6702</v>
      </c>
      <c r="B67" s="59" t="s">
        <v>465</v>
      </c>
      <c r="C67" s="174"/>
      <c r="D67" s="174"/>
      <c r="E67" s="174"/>
      <c r="F67" s="174"/>
      <c r="G67" s="174"/>
    </row>
    <row r="68" ht="16" customHeight="1" spans="1:7">
      <c r="A68" s="59">
        <v>6800</v>
      </c>
      <c r="B68" s="59" t="s">
        <v>466</v>
      </c>
      <c r="C68" s="165"/>
      <c r="D68" s="169"/>
      <c r="E68" s="169"/>
      <c r="F68" s="169"/>
      <c r="G68" s="169"/>
    </row>
    <row r="69" ht="16" customHeight="1" spans="1:7">
      <c r="A69" s="59">
        <v>6801</v>
      </c>
      <c r="B69" s="59" t="s">
        <v>467</v>
      </c>
      <c r="C69" s="165"/>
      <c r="D69" s="169"/>
      <c r="E69" s="169"/>
      <c r="F69" s="169"/>
      <c r="G69" s="169"/>
    </row>
    <row r="70" ht="16" customHeight="1" spans="1:7">
      <c r="A70" s="59">
        <v>6802</v>
      </c>
      <c r="B70" s="59" t="s">
        <v>468</v>
      </c>
      <c r="C70" s="165"/>
      <c r="D70" s="169"/>
      <c r="E70" s="169"/>
      <c r="F70" s="169"/>
      <c r="G70" s="169"/>
    </row>
  </sheetData>
  <pageMargins left="0.75" right="0.75" top="1" bottom="1" header="0.5" footer="0.5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G57"/>
  <sheetViews>
    <sheetView zoomScale="106" zoomScaleNormal="106" topLeftCell="A28" workbookViewId="0">
      <selection activeCell="C57" sqref="C57"/>
    </sheetView>
  </sheetViews>
  <sheetFormatPr defaultColWidth="9" defaultRowHeight="15.2" outlineLevelCol="6"/>
  <cols>
    <col min="1" max="1" width="8.57142857142857" style="159" customWidth="1"/>
    <col min="2" max="2" width="43.5714285714286" customWidth="1"/>
    <col min="3" max="3" width="17.8571428571429" customWidth="1"/>
    <col min="4" max="4" width="16.1428571428571" customWidth="1"/>
    <col min="5" max="5" width="18.5714285714286" customWidth="1"/>
    <col min="6" max="6" width="25.4642857142857" style="160" customWidth="1"/>
    <col min="7" max="7" width="16.2857142857143" style="160" customWidth="1"/>
  </cols>
  <sheetData>
    <row r="1" ht="22.15" customHeight="1" spans="1:7">
      <c r="A1" s="161" t="s">
        <v>290</v>
      </c>
      <c r="B1" s="162" t="s">
        <v>291</v>
      </c>
      <c r="C1" s="163">
        <v>45930</v>
      </c>
      <c r="D1" s="163">
        <v>45657</v>
      </c>
      <c r="E1" s="164">
        <v>45291</v>
      </c>
      <c r="F1" s="164">
        <v>44926</v>
      </c>
      <c r="G1" s="164">
        <v>44561</v>
      </c>
    </row>
    <row r="2" ht="14.1" customHeight="1" spans="1:7">
      <c r="A2" s="43">
        <v>7101</v>
      </c>
      <c r="B2" s="59" t="s">
        <v>469</v>
      </c>
      <c r="C2" s="165"/>
      <c r="D2" s="165"/>
      <c r="E2" s="165"/>
      <c r="F2" s="165"/>
      <c r="G2" s="165"/>
    </row>
    <row r="3" ht="14.1" customHeight="1" spans="1:7">
      <c r="A3" s="43">
        <v>710101</v>
      </c>
      <c r="B3" s="59" t="s">
        <v>470</v>
      </c>
      <c r="C3" s="166">
        <v>757987491.72</v>
      </c>
      <c r="D3" s="166">
        <v>61281050.57</v>
      </c>
      <c r="E3" s="166">
        <v>67634905.01</v>
      </c>
      <c r="F3" s="166">
        <v>108154268.21</v>
      </c>
      <c r="G3" s="166"/>
    </row>
    <row r="4" ht="14.1" customHeight="1" spans="1:7">
      <c r="A4" s="43">
        <v>710102</v>
      </c>
      <c r="B4" s="59" t="s">
        <v>471</v>
      </c>
      <c r="C4" s="167"/>
      <c r="D4" s="167"/>
      <c r="E4" s="167"/>
      <c r="F4" s="167"/>
      <c r="G4" s="167"/>
    </row>
    <row r="5" ht="14.1" customHeight="1" spans="1:7">
      <c r="A5" s="43">
        <v>710103</v>
      </c>
      <c r="B5" s="59" t="s">
        <v>472</v>
      </c>
      <c r="C5" s="165"/>
      <c r="D5" s="165"/>
      <c r="E5" s="165"/>
      <c r="F5" s="165"/>
      <c r="G5" s="165"/>
    </row>
    <row r="6" ht="14.1" customHeight="1" spans="1:7">
      <c r="A6" s="43">
        <v>710104</v>
      </c>
      <c r="B6" s="59" t="s">
        <v>473</v>
      </c>
      <c r="C6" s="165"/>
      <c r="D6" s="165"/>
      <c r="E6" s="165"/>
      <c r="F6" s="165"/>
      <c r="G6" s="165"/>
    </row>
    <row r="7" ht="14.1" customHeight="1" spans="1:7">
      <c r="A7" s="43">
        <v>710105</v>
      </c>
      <c r="B7" s="59" t="s">
        <v>474</v>
      </c>
      <c r="C7" s="165"/>
      <c r="D7" s="165"/>
      <c r="E7" s="165"/>
      <c r="F7" s="165"/>
      <c r="G7" s="165"/>
    </row>
    <row r="8" ht="14.1" customHeight="1" spans="1:7">
      <c r="A8" s="43">
        <v>710106</v>
      </c>
      <c r="B8" s="59" t="s">
        <v>475</v>
      </c>
      <c r="C8" s="165"/>
      <c r="D8" s="165"/>
      <c r="E8" s="165"/>
      <c r="F8" s="165"/>
      <c r="G8" s="165"/>
    </row>
    <row r="9" ht="14.1" customHeight="1" spans="1:7">
      <c r="A9" s="43">
        <v>710107</v>
      </c>
      <c r="B9" s="59" t="s">
        <v>476</v>
      </c>
      <c r="C9" s="165"/>
      <c r="D9" s="165"/>
      <c r="E9" s="165"/>
      <c r="F9" s="165"/>
      <c r="G9" s="165"/>
    </row>
    <row r="10" ht="14.1" customHeight="1" spans="1:7">
      <c r="A10" s="43">
        <v>710108</v>
      </c>
      <c r="B10" s="59" t="s">
        <v>477</v>
      </c>
      <c r="C10" s="165"/>
      <c r="D10" s="165"/>
      <c r="E10" s="165"/>
      <c r="F10" s="165"/>
      <c r="G10" s="165"/>
    </row>
    <row r="11" ht="14.1" customHeight="1" spans="1:7">
      <c r="A11" s="43">
        <v>710109</v>
      </c>
      <c r="B11" s="59" t="s">
        <v>478</v>
      </c>
      <c r="C11" s="165"/>
      <c r="D11" s="165"/>
      <c r="E11" s="165"/>
      <c r="F11" s="165"/>
      <c r="G11" s="165"/>
    </row>
    <row r="12" ht="14.1" customHeight="1" spans="1:7">
      <c r="A12" s="43">
        <v>710110</v>
      </c>
      <c r="B12" s="59" t="s">
        <v>479</v>
      </c>
      <c r="C12" s="165"/>
      <c r="D12" s="165"/>
      <c r="E12" s="165"/>
      <c r="F12" s="165"/>
      <c r="G12" s="165"/>
    </row>
    <row r="13" ht="14.1" customHeight="1" spans="1:7">
      <c r="A13" s="43">
        <v>710111</v>
      </c>
      <c r="B13" s="59" t="s">
        <v>480</v>
      </c>
      <c r="C13" s="167"/>
      <c r="D13" s="167"/>
      <c r="E13" s="167"/>
      <c r="F13" s="167"/>
      <c r="G13" s="167"/>
    </row>
    <row r="14" ht="14.1" customHeight="1" spans="1:7">
      <c r="A14" s="43">
        <v>710112</v>
      </c>
      <c r="B14" s="59" t="s">
        <v>481</v>
      </c>
      <c r="C14" s="168">
        <v>137239.95</v>
      </c>
      <c r="D14" s="168">
        <v>0</v>
      </c>
      <c r="E14" s="168">
        <v>475153.24</v>
      </c>
      <c r="F14" s="168">
        <v>32407791.06</v>
      </c>
      <c r="G14" s="168"/>
    </row>
    <row r="15" ht="14.1" customHeight="1" spans="1:7">
      <c r="A15" s="43">
        <v>710113</v>
      </c>
      <c r="B15" s="59" t="s">
        <v>482</v>
      </c>
      <c r="C15" s="169">
        <v>7624879663.01</v>
      </c>
      <c r="D15" s="169">
        <v>106044.68</v>
      </c>
      <c r="E15" s="169">
        <v>156839.91</v>
      </c>
      <c r="F15" s="169">
        <v>966648.5</v>
      </c>
      <c r="G15" s="169"/>
    </row>
    <row r="16" ht="12.95" customHeight="1" spans="1:7">
      <c r="A16" s="43">
        <v>710149</v>
      </c>
      <c r="B16" s="59" t="s">
        <v>483</v>
      </c>
      <c r="C16" s="170">
        <f>C3+C5+C4+C6+C7+C8+C9+C10+C11+C12+C13+C14+C15</f>
        <v>8383004394.68</v>
      </c>
      <c r="D16" s="170">
        <f>D3+D5+D4+D6+D7+D8+D9+D10+D11+D12+D13+D14+D15</f>
        <v>61387095.25</v>
      </c>
      <c r="E16" s="170">
        <f>E3+E5+E4+E6+E7+E8+E9+E10+E11+E12+E13+E14+E15</f>
        <v>68266898.16</v>
      </c>
      <c r="F16" s="170">
        <f>F3+F5+F4+F6+F7+F8+F9+F10+F11+F12+F13+F14+F15</f>
        <v>141528707.77</v>
      </c>
      <c r="G16" s="170">
        <f>G3+G5+G4+G6+G7+G8+G9+G10+G11+G12+G13+G14+G15</f>
        <v>0</v>
      </c>
    </row>
    <row r="17" ht="14.1" customHeight="1" spans="1:7">
      <c r="A17" s="43">
        <v>710151</v>
      </c>
      <c r="B17" s="43" t="s">
        <v>484</v>
      </c>
      <c r="C17" s="169">
        <v>371428503.09</v>
      </c>
      <c r="D17" s="169">
        <v>4291596.65</v>
      </c>
      <c r="E17" s="169">
        <v>3660074.05</v>
      </c>
      <c r="F17" s="169">
        <v>4526754.99</v>
      </c>
      <c r="G17" s="169"/>
    </row>
    <row r="18" ht="14.1" customHeight="1" spans="1:7">
      <c r="A18" s="43">
        <v>710152</v>
      </c>
      <c r="B18" s="59" t="s">
        <v>485</v>
      </c>
      <c r="C18" s="169"/>
      <c r="D18" s="169"/>
      <c r="E18" s="169"/>
      <c r="F18" s="169"/>
      <c r="G18" s="169"/>
    </row>
    <row r="19" ht="14.1" customHeight="1" spans="1:7">
      <c r="A19" s="43">
        <v>710153</v>
      </c>
      <c r="B19" s="59" t="s">
        <v>486</v>
      </c>
      <c r="C19" s="169"/>
      <c r="D19" s="169"/>
      <c r="E19" s="169"/>
      <c r="F19" s="169"/>
      <c r="G19" s="169"/>
    </row>
    <row r="20" ht="14.1" customHeight="1" spans="1:7">
      <c r="A20" s="43">
        <v>710154</v>
      </c>
      <c r="B20" s="59" t="s">
        <v>487</v>
      </c>
      <c r="C20" s="169"/>
      <c r="D20" s="169"/>
      <c r="E20" s="169"/>
      <c r="F20" s="169"/>
      <c r="G20" s="169"/>
    </row>
    <row r="21" ht="14.1" customHeight="1" spans="1:7">
      <c r="A21" s="43">
        <v>710155</v>
      </c>
      <c r="B21" s="59" t="s">
        <v>488</v>
      </c>
      <c r="C21" s="169"/>
      <c r="D21" s="169"/>
      <c r="E21" s="169"/>
      <c r="F21" s="169"/>
      <c r="G21" s="169"/>
    </row>
    <row r="22" ht="14.1" customHeight="1" spans="1:7">
      <c r="A22" s="43">
        <v>710156</v>
      </c>
      <c r="B22" s="59" t="s">
        <v>489</v>
      </c>
      <c r="C22" s="169"/>
      <c r="D22" s="169"/>
      <c r="E22" s="169"/>
      <c r="F22" s="169"/>
      <c r="G22" s="169"/>
    </row>
    <row r="23" ht="14.1" customHeight="1" spans="1:7">
      <c r="A23" s="43">
        <v>710157</v>
      </c>
      <c r="B23" s="59" t="s">
        <v>490</v>
      </c>
      <c r="C23" s="169"/>
      <c r="D23" s="169"/>
      <c r="E23" s="169"/>
      <c r="F23" s="169"/>
      <c r="G23" s="169"/>
    </row>
    <row r="24" ht="14.1" customHeight="1" spans="1:7">
      <c r="A24" s="43">
        <v>710158</v>
      </c>
      <c r="B24" s="59" t="s">
        <v>491</v>
      </c>
      <c r="C24" s="169">
        <v>432487439.03</v>
      </c>
      <c r="D24" s="169"/>
      <c r="E24" s="171"/>
      <c r="F24" s="169"/>
      <c r="G24" s="169"/>
    </row>
    <row r="25" ht="14.1" customHeight="1" spans="1:7">
      <c r="A25" s="43">
        <v>710159</v>
      </c>
      <c r="B25" s="59" t="s">
        <v>492</v>
      </c>
      <c r="C25" s="169">
        <v>28392154.58</v>
      </c>
      <c r="D25" s="169">
        <v>13986799.11</v>
      </c>
      <c r="E25" s="169">
        <v>11391781.78</v>
      </c>
      <c r="F25" s="169">
        <v>8245733.35</v>
      </c>
      <c r="G25" s="169"/>
    </row>
    <row r="26" ht="14.1" customHeight="1" spans="1:7">
      <c r="A26" s="43">
        <v>710160</v>
      </c>
      <c r="B26" s="59" t="s">
        <v>493</v>
      </c>
      <c r="C26" s="169">
        <v>4342337130.62</v>
      </c>
      <c r="D26" s="169">
        <v>1319374.7</v>
      </c>
      <c r="E26" s="169">
        <v>3441027.43</v>
      </c>
      <c r="F26" s="169">
        <v>5285884.55</v>
      </c>
      <c r="G26" s="169"/>
    </row>
    <row r="27" ht="14.1" customHeight="1" spans="1:7">
      <c r="A27" s="43">
        <v>710189</v>
      </c>
      <c r="B27" s="59" t="s">
        <v>494</v>
      </c>
      <c r="C27" s="170">
        <f>SUM(C17:C26)</f>
        <v>5174645227.32</v>
      </c>
      <c r="D27" s="170">
        <f>SUM(D17:D26)</f>
        <v>19597770.46</v>
      </c>
      <c r="E27" s="170">
        <f>SUM(E17:E26)</f>
        <v>18492883.26</v>
      </c>
      <c r="F27" s="172">
        <f>SUM(F17:F26)</f>
        <v>18058372.89</v>
      </c>
      <c r="G27" s="172">
        <f>SUM(G17:G26)</f>
        <v>0</v>
      </c>
    </row>
    <row r="28" ht="14.1" customHeight="1" spans="1:7">
      <c r="A28" s="43">
        <v>710199</v>
      </c>
      <c r="B28" s="59" t="s">
        <v>495</v>
      </c>
      <c r="C28" s="170">
        <f>C16-C27</f>
        <v>3208359167.36</v>
      </c>
      <c r="D28" s="170">
        <f>D16-D27</f>
        <v>41789324.79</v>
      </c>
      <c r="E28" s="170">
        <f>E16-E27</f>
        <v>49774014.9</v>
      </c>
      <c r="F28" s="172">
        <f>F16-F27</f>
        <v>123470334.88</v>
      </c>
      <c r="G28" s="172">
        <f>G16-G27</f>
        <v>0</v>
      </c>
    </row>
    <row r="29" ht="14.1" customHeight="1" spans="1:7">
      <c r="A29" s="43">
        <v>7201</v>
      </c>
      <c r="B29" s="59" t="s">
        <v>496</v>
      </c>
      <c r="C29" s="165"/>
      <c r="D29" s="165"/>
      <c r="E29" s="165"/>
      <c r="F29" s="165"/>
      <c r="G29" s="165"/>
    </row>
    <row r="30" ht="14.1" customHeight="1" spans="1:7">
      <c r="A30" s="43">
        <v>720101</v>
      </c>
      <c r="B30" s="59" t="s">
        <v>497</v>
      </c>
      <c r="C30" s="169"/>
      <c r="D30" s="169"/>
      <c r="E30" s="169"/>
      <c r="F30" s="169"/>
      <c r="G30" s="169"/>
    </row>
    <row r="31" ht="14.1" customHeight="1" spans="1:7">
      <c r="A31" s="43">
        <v>720102</v>
      </c>
      <c r="B31" s="59" t="s">
        <v>498</v>
      </c>
      <c r="C31" s="169"/>
      <c r="D31" s="169"/>
      <c r="E31" s="169"/>
      <c r="F31" s="169"/>
      <c r="G31" s="169"/>
    </row>
    <row r="32" ht="14.1" customHeight="1" spans="1:7">
      <c r="A32" s="43">
        <v>720103</v>
      </c>
      <c r="B32" s="59" t="s">
        <v>499</v>
      </c>
      <c r="C32" s="169"/>
      <c r="D32" s="169">
        <v>2747.22</v>
      </c>
      <c r="E32" s="169"/>
      <c r="F32" s="169"/>
      <c r="G32" s="169"/>
    </row>
    <row r="33" ht="14.1" customHeight="1" spans="1:7">
      <c r="A33" s="43">
        <v>720104</v>
      </c>
      <c r="B33" s="59" t="s">
        <v>500</v>
      </c>
      <c r="C33" s="169"/>
      <c r="D33" s="169"/>
      <c r="E33" s="169"/>
      <c r="F33" s="169"/>
      <c r="G33" s="169"/>
    </row>
    <row r="34" ht="14.1" customHeight="1" spans="1:7">
      <c r="A34" s="43">
        <v>720105</v>
      </c>
      <c r="B34" s="59" t="s">
        <v>501</v>
      </c>
      <c r="C34" s="169"/>
      <c r="D34" s="169"/>
      <c r="E34" s="169"/>
      <c r="F34" s="169"/>
      <c r="G34" s="169"/>
    </row>
    <row r="35" ht="14.1" customHeight="1" spans="1:7">
      <c r="A35" s="43">
        <v>720149</v>
      </c>
      <c r="B35" s="59" t="s">
        <v>502</v>
      </c>
      <c r="C35" s="170">
        <f>SUM(C30:C34)</f>
        <v>0</v>
      </c>
      <c r="D35" s="170">
        <f>SUM(D30:D34)</f>
        <v>2747.22</v>
      </c>
      <c r="E35" s="170">
        <f>SUM(E30:E34)</f>
        <v>0</v>
      </c>
      <c r="F35" s="170">
        <f>SUM(F30:F34)</f>
        <v>0</v>
      </c>
      <c r="G35" s="170">
        <f>SUM(G30:G34)</f>
        <v>0</v>
      </c>
    </row>
    <row r="36" ht="14.1" customHeight="1" spans="1:7">
      <c r="A36" s="43">
        <v>720151</v>
      </c>
      <c r="B36" s="173" t="s">
        <v>503</v>
      </c>
      <c r="C36" s="169">
        <v>243762820.49</v>
      </c>
      <c r="D36" s="169">
        <v>245833.66</v>
      </c>
      <c r="E36" s="169">
        <v>1897419.39</v>
      </c>
      <c r="F36" s="169">
        <v>676400</v>
      </c>
      <c r="G36" s="169"/>
    </row>
    <row r="37" ht="14.1" customHeight="1" spans="1:7">
      <c r="A37" s="43">
        <v>720152</v>
      </c>
      <c r="B37" s="59" t="s">
        <v>504</v>
      </c>
      <c r="C37" s="169"/>
      <c r="D37" s="169"/>
      <c r="E37" s="169"/>
      <c r="F37" s="169"/>
      <c r="G37" s="169"/>
    </row>
    <row r="38" ht="14.1" customHeight="1" spans="1:7">
      <c r="A38" s="43">
        <v>720153</v>
      </c>
      <c r="B38" s="59" t="s">
        <v>505</v>
      </c>
      <c r="C38" s="169"/>
      <c r="D38" s="169"/>
      <c r="E38" s="169"/>
      <c r="F38" s="169"/>
      <c r="G38" s="169"/>
    </row>
    <row r="39" ht="14.1" customHeight="1" spans="1:7">
      <c r="A39" s="43">
        <v>720154</v>
      </c>
      <c r="B39" s="59" t="s">
        <v>506</v>
      </c>
      <c r="C39" s="169"/>
      <c r="D39" s="169"/>
      <c r="E39" s="169"/>
      <c r="F39" s="169"/>
      <c r="G39" s="169"/>
    </row>
    <row r="40" ht="16" customHeight="1" spans="1:7">
      <c r="A40" s="159">
        <v>720155</v>
      </c>
      <c r="B40" s="20" t="s">
        <v>507</v>
      </c>
      <c r="C40" s="169">
        <v>235000000</v>
      </c>
      <c r="D40" s="169"/>
      <c r="E40" s="169"/>
      <c r="F40" s="169"/>
      <c r="G40" s="169"/>
    </row>
    <row r="41" ht="16" customHeight="1" spans="1:7">
      <c r="A41" s="159">
        <v>720189</v>
      </c>
      <c r="B41" s="20" t="s">
        <v>508</v>
      </c>
      <c r="C41" s="170">
        <f>SUM(C36:C40)</f>
        <v>478762820.49</v>
      </c>
      <c r="D41" s="170">
        <f>SUM(D36:D40)</f>
        <v>245833.66</v>
      </c>
      <c r="E41" s="170">
        <f>SUM(E36:E40)</f>
        <v>1897419.39</v>
      </c>
      <c r="F41" s="172">
        <f>SUM(F36:F40)</f>
        <v>676400</v>
      </c>
      <c r="G41" s="172">
        <f>SUM(G36:G40)</f>
        <v>0</v>
      </c>
    </row>
    <row r="42" spans="1:7">
      <c r="A42" s="159">
        <v>720199</v>
      </c>
      <c r="B42" s="20" t="s">
        <v>509</v>
      </c>
      <c r="C42" s="170">
        <f>C35-C41</f>
        <v>-478762820.49</v>
      </c>
      <c r="D42" s="170">
        <f>D35-D41</f>
        <v>-243086.44</v>
      </c>
      <c r="E42" s="170">
        <f>E35-E41</f>
        <v>-1897419.39</v>
      </c>
      <c r="F42" s="172">
        <f>F35-F41</f>
        <v>-676400</v>
      </c>
      <c r="G42" s="172">
        <f>G35-G41</f>
        <v>0</v>
      </c>
    </row>
    <row r="43" ht="16" customHeight="1" spans="1:7">
      <c r="A43" s="159">
        <v>7301</v>
      </c>
      <c r="B43" s="20" t="s">
        <v>510</v>
      </c>
      <c r="C43" s="165"/>
      <c r="D43" s="165"/>
      <c r="E43" s="165"/>
      <c r="F43" s="165"/>
      <c r="G43" s="165"/>
    </row>
    <row r="44" ht="16" customHeight="1" spans="1:7">
      <c r="A44" s="159">
        <v>730101</v>
      </c>
      <c r="B44" s="20" t="s">
        <v>511</v>
      </c>
      <c r="C44" s="169">
        <v>65000000</v>
      </c>
      <c r="D44" s="169"/>
      <c r="E44" s="169"/>
      <c r="F44" s="169"/>
      <c r="G44" s="169"/>
    </row>
    <row r="45" ht="16" customHeight="1" spans="1:7">
      <c r="A45" s="159">
        <v>730102</v>
      </c>
      <c r="B45" s="20" t="s">
        <v>512</v>
      </c>
      <c r="C45" s="169">
        <v>1836917035.71</v>
      </c>
      <c r="D45" s="169"/>
      <c r="E45" s="169"/>
      <c r="F45" s="169">
        <v>0</v>
      </c>
      <c r="G45" s="169"/>
    </row>
    <row r="46" spans="1:7">
      <c r="A46" s="159">
        <v>730103</v>
      </c>
      <c r="B46" s="20" t="s">
        <v>513</v>
      </c>
      <c r="C46" s="169">
        <v>3921412666.66</v>
      </c>
      <c r="D46" s="169"/>
      <c r="E46" s="169"/>
      <c r="F46" s="169"/>
      <c r="G46" s="169"/>
    </row>
    <row r="47" ht="16" customHeight="1" spans="1:7">
      <c r="A47" s="159">
        <v>730104</v>
      </c>
      <c r="B47" s="20" t="s">
        <v>514</v>
      </c>
      <c r="C47" s="169">
        <v>45719734.23</v>
      </c>
      <c r="D47" s="169">
        <v>16500000</v>
      </c>
      <c r="E47" s="169"/>
      <c r="F47" s="169"/>
      <c r="G47" s="169"/>
    </row>
    <row r="48" ht="16" customHeight="1" spans="1:7">
      <c r="A48" s="159">
        <v>730149</v>
      </c>
      <c r="B48" s="20" t="s">
        <v>515</v>
      </c>
      <c r="C48" s="170">
        <f>SUM(C44:C47)</f>
        <v>5869049436.6</v>
      </c>
      <c r="D48" s="170">
        <f>SUM(D44:D47)</f>
        <v>16500000</v>
      </c>
      <c r="E48" s="170">
        <f>SUM(E44:E47)</f>
        <v>0</v>
      </c>
      <c r="F48" s="172">
        <f>SUM(F44:F47)</f>
        <v>0</v>
      </c>
      <c r="G48" s="172">
        <f>SUM(G44:G47)</f>
        <v>0</v>
      </c>
    </row>
    <row r="49" ht="16" customHeight="1" spans="1:7">
      <c r="A49" s="159">
        <v>730151</v>
      </c>
      <c r="B49" s="20" t="s">
        <v>516</v>
      </c>
      <c r="C49" s="169">
        <v>4481442973.9</v>
      </c>
      <c r="D49" s="169">
        <v>30000000</v>
      </c>
      <c r="E49" s="169">
        <v>70750000</v>
      </c>
      <c r="F49" s="169">
        <v>44000000</v>
      </c>
      <c r="G49" s="169"/>
    </row>
    <row r="50" spans="1:7">
      <c r="A50" s="159">
        <v>730152</v>
      </c>
      <c r="B50" s="20" t="s">
        <v>517</v>
      </c>
      <c r="C50" s="169">
        <v>2612921267</v>
      </c>
      <c r="D50" s="169">
        <v>1058069.44</v>
      </c>
      <c r="E50" s="169">
        <v>1594070.84</v>
      </c>
      <c r="F50" s="169">
        <v>62412381.25</v>
      </c>
      <c r="G50" s="169"/>
    </row>
    <row r="51" ht="16" customHeight="1" spans="1:7">
      <c r="A51" s="159">
        <v>730153</v>
      </c>
      <c r="B51" s="20" t="s">
        <v>518</v>
      </c>
      <c r="C51" s="169">
        <v>1573783045.79</v>
      </c>
      <c r="D51" s="169">
        <v>24352161.4</v>
      </c>
      <c r="E51" s="169"/>
      <c r="F51" s="169">
        <v>0</v>
      </c>
      <c r="G51" s="169"/>
    </row>
    <row r="52" ht="16" customHeight="1" spans="1:7">
      <c r="A52" s="159">
        <v>730189</v>
      </c>
      <c r="B52" s="20" t="s">
        <v>519</v>
      </c>
      <c r="C52" s="170">
        <f>SUM(C49:C51)</f>
        <v>8668147286.69</v>
      </c>
      <c r="D52" s="170">
        <f>SUM(D49:D51)</f>
        <v>55410230.84</v>
      </c>
      <c r="E52" s="170">
        <f>SUM(E49:E51)</f>
        <v>72344070.84</v>
      </c>
      <c r="F52" s="172">
        <f>SUM(F49:F51)</f>
        <v>106412381.25</v>
      </c>
      <c r="G52" s="172">
        <f>SUM(G49:G51)</f>
        <v>0</v>
      </c>
    </row>
    <row r="53" ht="16" customHeight="1" spans="1:7">
      <c r="A53" s="159">
        <v>730199</v>
      </c>
      <c r="B53" s="20" t="s">
        <v>520</v>
      </c>
      <c r="C53" s="170">
        <f>C48-C52</f>
        <v>-2799097850.09</v>
      </c>
      <c r="D53" s="170">
        <f>D48-D52</f>
        <v>-38910230.84</v>
      </c>
      <c r="E53" s="170">
        <f>E48-E52</f>
        <v>-72344070.84</v>
      </c>
      <c r="F53" s="172">
        <f>F48-F52</f>
        <v>-106412381.25</v>
      </c>
      <c r="G53" s="172">
        <f>G48-G52</f>
        <v>0</v>
      </c>
    </row>
    <row r="54" ht="16" customHeight="1" spans="1:7">
      <c r="A54" s="159">
        <v>7401</v>
      </c>
      <c r="B54" s="20" t="s">
        <v>521</v>
      </c>
      <c r="C54" s="169"/>
      <c r="D54" s="169"/>
      <c r="E54" s="171"/>
      <c r="F54" s="174"/>
      <c r="G54" s="174"/>
    </row>
    <row r="55" ht="16" customHeight="1" spans="1:7">
      <c r="A55" s="159">
        <v>7501</v>
      </c>
      <c r="B55" s="20" t="s">
        <v>522</v>
      </c>
      <c r="C55" s="170">
        <f>C28+C42+C53+C54</f>
        <v>-69501503.2199984</v>
      </c>
      <c r="D55" s="170">
        <f>D28+D42+D53+D54</f>
        <v>2636007.51000001</v>
      </c>
      <c r="E55" s="170">
        <f>E28+E42+E53+E54</f>
        <v>-24467475.33</v>
      </c>
      <c r="F55" s="170">
        <f>F28+F42+F53+F54</f>
        <v>16381553.63</v>
      </c>
      <c r="G55" s="170">
        <f>G28+G42+G53+G54</f>
        <v>0</v>
      </c>
    </row>
    <row r="56" ht="16" customHeight="1" spans="1:7">
      <c r="A56" s="159">
        <v>750101</v>
      </c>
      <c r="B56" s="20" t="s">
        <v>523</v>
      </c>
      <c r="C56" s="169">
        <v>111629818.51</v>
      </c>
      <c r="D56" s="169">
        <v>6164685.05</v>
      </c>
      <c r="E56" s="169">
        <v>30632160.38</v>
      </c>
      <c r="F56" s="169">
        <v>14250606.75</v>
      </c>
      <c r="G56" s="169"/>
    </row>
    <row r="57" ht="16" customHeight="1" spans="1:7">
      <c r="A57" s="159">
        <v>7601</v>
      </c>
      <c r="B57" s="20" t="s">
        <v>524</v>
      </c>
      <c r="C57" s="170">
        <f>C55+C56</f>
        <v>42128315.2900016</v>
      </c>
      <c r="D57" s="170">
        <f>D55+D56</f>
        <v>8800692.56000001</v>
      </c>
      <c r="E57" s="170">
        <f>E55+E56</f>
        <v>6164685.04999999</v>
      </c>
      <c r="F57" s="172">
        <f>F55+F56</f>
        <v>30632160.38</v>
      </c>
      <c r="G57" s="172">
        <f>G55+G56</f>
        <v>0</v>
      </c>
    </row>
  </sheetData>
  <pageMargins left="0.75" right="0.75" top="1" bottom="1" header="0.5" footer="0.5"/>
  <pageSetup paperSize="1" orientation="portrait" horizontalDpi="300" verticalDpi="3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O173"/>
  <sheetViews>
    <sheetView tabSelected="1" zoomScale="85" zoomScaleNormal="85" workbookViewId="0">
      <selection activeCell="I16" sqref="I16"/>
    </sheetView>
  </sheetViews>
  <sheetFormatPr defaultColWidth="9.14285714285714" defaultRowHeight="15.2"/>
  <cols>
    <col min="1" max="1" width="32.4285714285714" customWidth="1"/>
    <col min="2" max="2" width="17.4285714285714" customWidth="1"/>
    <col min="3" max="3" width="18.7142857142857" customWidth="1"/>
    <col min="4" max="5" width="17.4285714285714" customWidth="1"/>
    <col min="6" max="6" width="5.42857142857143" customWidth="1"/>
    <col min="7" max="7" width="9.71428571428571" customWidth="1"/>
    <col min="8" max="8" width="24.5714285714286" customWidth="1"/>
    <col min="9" max="9" width="16.2857142857143" customWidth="1"/>
    <col min="10" max="10" width="11.8571428571429" customWidth="1"/>
    <col min="12" max="12" width="9" customWidth="1"/>
    <col min="13" max="15" width="10" customWidth="1"/>
  </cols>
  <sheetData>
    <row r="1" ht="15.75" customHeight="1" spans="1:15">
      <c r="A1" s="131" t="s">
        <v>525</v>
      </c>
    </row>
    <row r="2" ht="15.75" customHeight="1" spans="1:15">
      <c r="A2" s="132" t="s">
        <v>526</v>
      </c>
      <c r="B2" s="93"/>
      <c r="C2" s="93"/>
      <c r="D2" s="93"/>
      <c r="E2" s="93"/>
    </row>
    <row r="3" ht="15.75" customHeight="1" spans="1:15">
      <c r="A3" s="133" t="s">
        <v>527</v>
      </c>
      <c r="B3" s="134">
        <v>45930</v>
      </c>
      <c r="C3" s="134">
        <f>DATE(YEAR(B3)-1,12,31)</f>
        <v>45657</v>
      </c>
      <c r="D3" s="134">
        <f>DATE(YEAR(C3)-1,MONTH(C3),DAY(C3))</f>
        <v>45291</v>
      </c>
      <c r="E3" s="134">
        <f>DATE(YEAR(C3)-2,MONTH(C3),DAY(C3))</f>
        <v>44926</v>
      </c>
      <c r="L3" s="135">
        <f>B3</f>
        <v>45930</v>
      </c>
      <c r="M3" s="135">
        <f>C3</f>
        <v>45657</v>
      </c>
      <c r="N3" s="135">
        <f>D3</f>
        <v>45291</v>
      </c>
      <c r="O3" s="135">
        <f>E3</f>
        <v>44926</v>
      </c>
    </row>
    <row r="4" ht="18.35" customHeight="1" spans="1:15">
      <c r="A4" s="136"/>
      <c r="B4" s="137" t="s">
        <v>528</v>
      </c>
      <c r="C4" s="137" t="s">
        <v>528</v>
      </c>
      <c r="D4" s="137" t="s">
        <v>528</v>
      </c>
      <c r="E4" s="137" t="s">
        <v>528</v>
      </c>
    </row>
    <row r="5" ht="15.75" customHeight="1" spans="1:15">
      <c r="A5" s="138" t="s">
        <v>529</v>
      </c>
      <c r="B5" s="139"/>
      <c r="C5" s="139"/>
      <c r="D5" s="139"/>
      <c r="E5" s="140"/>
      <c r="H5" s="20" t="s">
        <v>530</v>
      </c>
      <c r="L5" s="20" t="s">
        <v>531</v>
      </c>
      <c r="M5" s="20" t="s">
        <v>531</v>
      </c>
      <c r="N5" s="20" t="s">
        <v>531</v>
      </c>
      <c r="O5" s="20" t="s">
        <v>531</v>
      </c>
    </row>
    <row r="6" ht="18.75" customHeight="1" spans="1:15">
      <c r="A6" s="141" t="s">
        <v>294</v>
      </c>
      <c r="B6" s="142">
        <f>ROUND(HLOOKUP($B$3,bs!$C$1:$AB$110,MATCH("*"&amp;A6&amp;"*",bs!$B$1:$B$110,),FALSE),0)/IF(ISNUMBER(SEARCH("亿",$A$2)),100000000,IF(ISNUMBER(SEARCH("万",$A$2)),10000,1))</f>
        <v>0</v>
      </c>
      <c r="C6" s="142" t="e">
        <f>ROUND(HLOOKUP($C$3,bs!$C$1:$AB$110,MATCH("*"&amp;A6&amp;"*",bs!$B$1:$B$110,),FALSE),0)/IF(ISNUMBER(SEARCH("亿",$A$2)),100000000,IF(ISNUMBER(SEARCH("万",$A$2)),10000,1))</f>
        <v>#N/A</v>
      </c>
      <c r="D6" s="142" t="e">
        <f>ROUND(HLOOKUP($D$3,bs!$C$1:$AB$110,MATCH("*"&amp;A6&amp;"*",bs!$B$1:$B$110,),FALSE),0)/IF(ISNUMBER(SEARCH("亿",$A$2)),100000000,IF(ISNUMBER(SEARCH("万",$A$2)),10000,1))</f>
        <v>#N/A</v>
      </c>
      <c r="E6" s="142" t="e">
        <f>ROUND(HLOOKUP($E$3,bs!$C$1:$AB$110,MATCH("*"&amp;A6&amp;"*",bs!$B$1:$B$110,),FALSE),0)/IF(ISNUMBER(SEARCH("亿",$A$2)),100000000,IF(ISNUMBER(SEARCH("万",$A$2)),10000,1))</f>
        <v>#N/A</v>
      </c>
      <c r="H6" s="143" t="e">
        <f t="shared" ref="H6:H69" si="0">B6+C6+D6+E6</f>
        <v>#N/A</v>
      </c>
      <c r="I6" t="str">
        <f>A6</f>
        <v>  货币资金 </v>
      </c>
      <c r="J6" t="e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#N/A</v>
      </c>
      <c r="M6" s="103" t="e">
        <f>(C6-D6)/D6</f>
        <v>#N/A</v>
      </c>
      <c r="N6" s="103" t="e">
        <f>(D6-E6)/E6</f>
        <v>#N/A</v>
      </c>
    </row>
    <row r="7" ht="18.75" customHeight="1" spans="1:15">
      <c r="A7" s="141" t="s">
        <v>295</v>
      </c>
      <c r="B7" s="142">
        <f>ROUND(HLOOKUP($B$3,bs!$C$1:$AB$110,MATCH("*"&amp;A7&amp;"*",bs!$B$1:$B$110,),FALSE),0)/IF(ISNUMBER(SEARCH("亿",$A$2)),100000000,IF(ISNUMBER(SEARCH("万",$A$2)),10000,1))</f>
        <v>0</v>
      </c>
      <c r="C7" s="142" t="e">
        <f>ROUND(HLOOKUP($C$3,bs!$C$1:$AB$110,MATCH("*"&amp;A7&amp;"*",bs!$B$1:$B$110,),FALSE),0)/IF(ISNUMBER(SEARCH("亿",$A$2)),100000000,IF(ISNUMBER(SEARCH("万",$A$2)),10000,1))</f>
        <v>#N/A</v>
      </c>
      <c r="D7" s="142" t="e">
        <f>ROUND(HLOOKUP($D$3,bs!$C$1:$AB$110,MATCH("*"&amp;A7&amp;"*",bs!$B$1:$B$110,),FALSE),0)/IF(ISNUMBER(SEARCH("亿",$A$2)),100000000,IF(ISNUMBER(SEARCH("万",$A$2)),10000,1))</f>
        <v>#N/A</v>
      </c>
      <c r="E7" s="142" t="e">
        <f>ROUND(HLOOKUP($E$3,bs!$C$1:$AB$110,MATCH("*"&amp;A7&amp;"*",bs!$B$1:$B$110,),FALSE),0)/IF(ISNUMBER(SEARCH("亿",$A$2)),100000000,IF(ISNUMBER(SEARCH("万",$A$2)),10000,1))</f>
        <v>#N/A</v>
      </c>
      <c r="H7" s="143" t="e">
        <f t="shared" si="0"/>
        <v>#N/A</v>
      </c>
      <c r="I7" t="str">
        <f t="shared" ref="I7:I38" si="1">A7</f>
        <v>  结算备付金* </v>
      </c>
    </row>
    <row r="8" ht="18.75" customHeight="1" spans="1:15">
      <c r="A8" s="141" t="s">
        <v>296</v>
      </c>
      <c r="B8" s="142">
        <f>ROUND(HLOOKUP($B$3,bs!$C$1:$AB$110,MATCH("*"&amp;A8&amp;"*",bs!$B$1:$B$110,),FALSE),0)/IF(ISNUMBER(SEARCH("亿",$A$2)),100000000,IF(ISNUMBER(SEARCH("万",$A$2)),10000,1))</f>
        <v>0</v>
      </c>
      <c r="C8" s="142" t="e">
        <f>ROUND(HLOOKUP($C$3,bs!$C$1:$AB$110,MATCH("*"&amp;A8&amp;"*",bs!$B$1:$B$110,),FALSE),0)/IF(ISNUMBER(SEARCH("亿",$A$2)),100000000,IF(ISNUMBER(SEARCH("万",$A$2)),10000,1))</f>
        <v>#N/A</v>
      </c>
      <c r="D8" s="142" t="e">
        <f>ROUND(HLOOKUP($D$3,bs!$C$1:$AB$110,MATCH("*"&amp;A8&amp;"*",bs!$B$1:$B$110,),FALSE),0)/IF(ISNUMBER(SEARCH("亿",$A$2)),100000000,IF(ISNUMBER(SEARCH("万",$A$2)),10000,1))</f>
        <v>#N/A</v>
      </c>
      <c r="E8" s="142" t="e">
        <f>ROUND(HLOOKUP($E$3,bs!$C$1:$AB$110,MATCH("*"&amp;A8&amp;"*",bs!$B$1:$B$110,),FALSE),0)/IF(ISNUMBER(SEARCH("亿",$A$2)),100000000,IF(ISNUMBER(SEARCH("万",$A$2)),10000,1))</f>
        <v>#N/A</v>
      </c>
      <c r="H8" s="143" t="e">
        <f t="shared" si="0"/>
        <v>#N/A</v>
      </c>
      <c r="I8" t="str">
        <f t="shared" si="1"/>
        <v>  拆出资金* </v>
      </c>
    </row>
    <row r="9" ht="18.75" customHeight="1" spans="1:15">
      <c r="A9" s="141" t="s">
        <v>297</v>
      </c>
      <c r="B9" s="142">
        <f>ROUND(HLOOKUP($B$3,bs!$C$1:$AB$110,MATCH("*"&amp;A9&amp;"*",bs!$B$1:$B$110,),FALSE),0)/IF(ISNUMBER(SEARCH("亿",$A$2)),100000000,IF(ISNUMBER(SEARCH("万",$A$2)),10000,1))</f>
        <v>0</v>
      </c>
      <c r="C9" s="142" t="e">
        <f>ROUND(HLOOKUP($C$3,bs!$C$1:$AB$110,MATCH("*"&amp;A9&amp;"*",bs!$B$1:$B$110,),FALSE),0)/IF(ISNUMBER(SEARCH("亿",$A$2)),100000000,IF(ISNUMBER(SEARCH("万",$A$2)),10000,1))</f>
        <v>#N/A</v>
      </c>
      <c r="D9" s="142" t="e">
        <f>ROUND(HLOOKUP($D$3,bs!$C$1:$AB$110,MATCH("*"&amp;A9&amp;"*",bs!$B$1:$B$110,),FALSE),0)/IF(ISNUMBER(SEARCH("亿",$A$2)),100000000,IF(ISNUMBER(SEARCH("万",$A$2)),10000,1))</f>
        <v>#N/A</v>
      </c>
      <c r="E9" s="142" t="e">
        <f>ROUND(HLOOKUP($E$3,bs!$C$1:$AB$110,MATCH("*"&amp;A9&amp;"*",bs!$B$1:$B$110,),FALSE),0)/IF(ISNUMBER(SEARCH("亿",$A$2)),100000000,IF(ISNUMBER(SEARCH("万",$A$2)),10000,1))</f>
        <v>#N/A</v>
      </c>
      <c r="H9" s="143" t="e">
        <f t="shared" si="0"/>
        <v>#N/A</v>
      </c>
      <c r="I9" t="str">
        <f t="shared" si="1"/>
        <v>  交易性金融资产 </v>
      </c>
      <c r="J9" t="e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#N/A</v>
      </c>
      <c r="M9" s="103" t="e">
        <f>(C9-D9)/D9</f>
        <v>#N/A</v>
      </c>
      <c r="N9" s="103" t="e">
        <f>(D9-E9)/E9</f>
        <v>#N/A</v>
      </c>
    </row>
    <row r="10" ht="18.75" customHeight="1" spans="1:15">
      <c r="A10" s="141" t="s">
        <v>298</v>
      </c>
      <c r="B10" s="142">
        <f>ROUND(HLOOKUP($B$3,bs!$C$1:$AB$110,MATCH("*"&amp;A10&amp;"*",bs!$B$1:$B$110,),FALSE),0)/IF(ISNUMBER(SEARCH("亿",$A$2)),100000000,IF(ISNUMBER(SEARCH("万",$A$2)),10000,1))</f>
        <v>0</v>
      </c>
      <c r="C10" s="142" t="e">
        <f>ROUND(HLOOKUP($C$3,bs!$C$1:$AB$110,MATCH("*"&amp;A10&amp;"*",bs!$B$1:$B$110,),FALSE),0)/IF(ISNUMBER(SEARCH("亿",$A$2)),100000000,IF(ISNUMBER(SEARCH("万",$A$2)),10000,1))</f>
        <v>#N/A</v>
      </c>
      <c r="D10" s="142" t="e">
        <f>ROUND(HLOOKUP($D$3,bs!$C$1:$AB$110,MATCH("*"&amp;A10&amp;"*",bs!$B$1:$B$110,),FALSE),0)/IF(ISNUMBER(SEARCH("亿",$A$2)),100000000,IF(ISNUMBER(SEARCH("万",$A$2)),10000,1))</f>
        <v>#N/A</v>
      </c>
      <c r="E10" s="142" t="e">
        <f>ROUND(HLOOKUP($E$3,bs!$C$1:$AB$110,MATCH("*"&amp;A10&amp;"*",bs!$B$1:$B$110,),FALSE),0)/IF(ISNUMBER(SEARCH("亿",$A$2)),100000000,IF(ISNUMBER(SEARCH("万",$A$2)),10000,1))</f>
        <v>#N/A</v>
      </c>
      <c r="H10" s="143" t="e">
        <f t="shared" si="0"/>
        <v>#N/A</v>
      </c>
      <c r="I10" t="str">
        <f t="shared" si="1"/>
        <v>  衍生金融资产 </v>
      </c>
    </row>
    <row r="11" ht="18.75" customHeight="1" spans="1:15">
      <c r="A11" s="141" t="s">
        <v>299</v>
      </c>
      <c r="B11" s="142">
        <f>ROUND(HLOOKUP($B$3,bs!$C$1:$AB$110,MATCH("*"&amp;A11&amp;"*",bs!$B$1:$B$110,),FALSE),0)/IF(ISNUMBER(SEARCH("亿",$A$2)),100000000,IF(ISNUMBER(SEARCH("万",$A$2)),10000,1))</f>
        <v>0</v>
      </c>
      <c r="C11" s="142" t="e">
        <f>ROUND(HLOOKUP($C$3,bs!$C$1:$AB$110,MATCH("*"&amp;A11&amp;"*",bs!$B$1:$B$110,),FALSE),0)/IF(ISNUMBER(SEARCH("亿",$A$2)),100000000,IF(ISNUMBER(SEARCH("万",$A$2)),10000,1))</f>
        <v>#N/A</v>
      </c>
      <c r="D11" s="142" t="e">
        <f>ROUND(HLOOKUP($D$3,bs!$C$1:$AB$110,MATCH("*"&amp;A11&amp;"*",bs!$B$1:$B$110,),FALSE),0)/IF(ISNUMBER(SEARCH("亿",$A$2)),100000000,IF(ISNUMBER(SEARCH("万",$A$2)),10000,1))</f>
        <v>#N/A</v>
      </c>
      <c r="E11" s="142" t="e">
        <f>ROUND(HLOOKUP($E$3,bs!$C$1:$AB$110,MATCH("*"&amp;A11&amp;"*",bs!$B$1:$B$110,),FALSE),0)/IF(ISNUMBER(SEARCH("亿",$A$2)),100000000,IF(ISNUMBER(SEARCH("万",$A$2)),10000,1))</f>
        <v>#N/A</v>
      </c>
      <c r="H11" s="143" t="e">
        <f t="shared" si="0"/>
        <v>#N/A</v>
      </c>
      <c r="I11" t="str">
        <f t="shared" si="1"/>
        <v>  应收票据 </v>
      </c>
      <c r="J11" t="e">
        <f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#N/A</v>
      </c>
      <c r="M11" s="103" t="e">
        <f>(C11-D11)/D11</f>
        <v>#N/A</v>
      </c>
      <c r="N11" s="103" t="e">
        <f>(D11-E11)/E11</f>
        <v>#N/A</v>
      </c>
    </row>
    <row r="12" ht="18.75" customHeight="1" spans="1:15">
      <c r="A12" s="141" t="s">
        <v>300</v>
      </c>
      <c r="B12" s="142">
        <f>ROUND(HLOOKUP($B$3,bs!$C$1:$AB$110,MATCH("*"&amp;A12&amp;"*",bs!$B$1:$B$110,),FALSE),0)/IF(ISNUMBER(SEARCH("亿",$A$2)),100000000,IF(ISNUMBER(SEARCH("万",$A$2)),10000,1))</f>
        <v>0</v>
      </c>
      <c r="C12" s="142" t="e">
        <f>ROUND(HLOOKUP($C$3,bs!$C$1:$AB$110,MATCH("*"&amp;A12&amp;"*",bs!$B$1:$B$110,),FALSE),0)/IF(ISNUMBER(SEARCH("亿",$A$2)),100000000,IF(ISNUMBER(SEARCH("万",$A$2)),10000,1))</f>
        <v>#N/A</v>
      </c>
      <c r="D12" s="142" t="e">
        <f>ROUND(HLOOKUP($D$3,bs!$C$1:$AB$110,MATCH("*"&amp;A12&amp;"*",bs!$B$1:$B$110,),FALSE),0)/IF(ISNUMBER(SEARCH("亿",$A$2)),100000000,IF(ISNUMBER(SEARCH("万",$A$2)),10000,1))</f>
        <v>#N/A</v>
      </c>
      <c r="E12" s="142" t="e">
        <f>ROUND(HLOOKUP($E$3,bs!$C$1:$AB$110,MATCH("*"&amp;A12&amp;"*",bs!$B$1:$B$110,),FALSE),0)/IF(ISNUMBER(SEARCH("亿",$A$2)),100000000,IF(ISNUMBER(SEARCH("万",$A$2)),10000,1))</f>
        <v>#N/A</v>
      </c>
      <c r="H12" s="143" t="e">
        <f t="shared" si="0"/>
        <v>#N/A</v>
      </c>
      <c r="I12" t="str">
        <f t="shared" si="1"/>
        <v>  应收账款 </v>
      </c>
      <c r="J12" t="e">
        <f>_xlfn.CONCAT(TEXT($E$3,"YYYY"),"年-",TEXT($C$3,"YYYY"),"年及",TEXT($B$3,"YYYY年MM月"),"，","拟承租人",I12,"分别为",TEXT(E12/10000,"0.00"),"亿元、",TEXT(D12/10000,"0.00"),"亿元、",TEXT(C12/10000,"0.00"),"亿元及",TEXT(B12/10000,"0.00"),"亿元。")</f>
        <v>#N/A</v>
      </c>
      <c r="M12" s="103" t="e">
        <f>(C12-D12)/D12</f>
        <v>#N/A</v>
      </c>
      <c r="N12" s="103" t="e">
        <f>(D12-E12)/E12</f>
        <v>#N/A</v>
      </c>
    </row>
    <row r="13" ht="18.75" customHeight="1" spans="1:15">
      <c r="A13" s="141" t="s">
        <v>301</v>
      </c>
      <c r="B13" s="142">
        <f>ROUND(HLOOKUP($B$3,bs!$C$1:$AB$110,MATCH("*"&amp;A13&amp;"*",bs!$B$1:$B$110,),FALSE),0)/IF(ISNUMBER(SEARCH("亿",$A$2)),100000000,IF(ISNUMBER(SEARCH("万",$A$2)),10000,1))</f>
        <v>0</v>
      </c>
      <c r="C13" s="142" t="e">
        <f>ROUND(HLOOKUP($C$3,bs!$C$1:$AB$110,MATCH("*"&amp;A13&amp;"*",bs!$B$1:$B$110,),FALSE),0)/IF(ISNUMBER(SEARCH("亿",$A$2)),100000000,IF(ISNUMBER(SEARCH("万",$A$2)),10000,1))</f>
        <v>#N/A</v>
      </c>
      <c r="D13" s="142" t="e">
        <f>ROUND(HLOOKUP($D$3,bs!$C$1:$AB$110,MATCH("*"&amp;A13&amp;"*",bs!$B$1:$B$110,),FALSE),0)/IF(ISNUMBER(SEARCH("亿",$A$2)),100000000,IF(ISNUMBER(SEARCH("万",$A$2)),10000,1))</f>
        <v>#N/A</v>
      </c>
      <c r="E13" s="142" t="e">
        <f>ROUND(HLOOKUP($E$3,bs!$C$1:$AB$110,MATCH("*"&amp;A13&amp;"*",bs!$B$1:$B$110,),FALSE),0)/IF(ISNUMBER(SEARCH("亿",$A$2)),100000000,IF(ISNUMBER(SEARCH("万",$A$2)),10000,1))</f>
        <v>#N/A</v>
      </c>
      <c r="H13" s="143" t="e">
        <f t="shared" si="0"/>
        <v>#N/A</v>
      </c>
      <c r="I13" t="str">
        <f t="shared" si="1"/>
        <v>  应收款项融资 </v>
      </c>
      <c r="J13" t="e">
        <f>_xlfn.CONCAT(TEXT($E$3,"YYYY"),"年-",TEXT($C$3,"YYYY"),"年及",TEXT($B$3,"YYYY年MM月"),"，","拟承租人",I13,"分别为",TEXT(E13/10000,"0.00"),"亿元、",TEXT(D13/10000,"0.00"),"亿元、",TEXT(C13/10000,"0.00"),"亿元及",TEXT(B13/10000,"0.00"),"亿元。")</f>
        <v>#N/A</v>
      </c>
      <c r="M13" s="103" t="e">
        <f>(C13-D13)/D13</f>
        <v>#N/A</v>
      </c>
      <c r="N13" s="103" t="e">
        <f>(D13-E13)/E13</f>
        <v>#N/A</v>
      </c>
    </row>
    <row r="14" ht="18.75" customHeight="1" spans="1:15">
      <c r="A14" s="141" t="s">
        <v>302</v>
      </c>
      <c r="B14" s="142">
        <f>ROUND(HLOOKUP($B$3,bs!$C$1:$AB$110,MATCH("*"&amp;A14&amp;"*",bs!$B$1:$B$110,),FALSE),0)/IF(ISNUMBER(SEARCH("亿",$A$2)),100000000,IF(ISNUMBER(SEARCH("万",$A$2)),10000,1))</f>
        <v>0</v>
      </c>
      <c r="C14" s="142" t="e">
        <f>ROUND(HLOOKUP($C$3,bs!$C$1:$AB$110,MATCH("*"&amp;A14&amp;"*",bs!$B$1:$B$110,),FALSE),0)/IF(ISNUMBER(SEARCH("亿",$A$2)),100000000,IF(ISNUMBER(SEARCH("万",$A$2)),10000,1))</f>
        <v>#N/A</v>
      </c>
      <c r="D14" s="142" t="e">
        <f>ROUND(HLOOKUP($D$3,bs!$C$1:$AB$110,MATCH("*"&amp;A14&amp;"*",bs!$B$1:$B$110,),FALSE),0)/IF(ISNUMBER(SEARCH("亿",$A$2)),100000000,IF(ISNUMBER(SEARCH("万",$A$2)),10000,1))</f>
        <v>#N/A</v>
      </c>
      <c r="E14" s="142" t="e">
        <f>ROUND(HLOOKUP($E$3,bs!$C$1:$AB$110,MATCH("*"&amp;A14&amp;"*",bs!$B$1:$B$110,),FALSE),0)/IF(ISNUMBER(SEARCH("亿",$A$2)),100000000,IF(ISNUMBER(SEARCH("万",$A$2)),10000,1))</f>
        <v>#N/A</v>
      </c>
      <c r="H14" s="143" t="e">
        <f t="shared" si="0"/>
        <v>#N/A</v>
      </c>
      <c r="I14" t="str">
        <f t="shared" si="1"/>
        <v>  预付款项 </v>
      </c>
      <c r="J14" t="e">
        <f>_xlfn.CONCAT(TEXT($E$3,"YYYY"),"年-",TEXT($C$3,"YYYY"),"年及",TEXT($B$3,"YYYY年MM月"),"，","拟承租人",I14,"分别为",TEXT(E14/10000,"0.00"),"亿元、",TEXT(D14/10000,"0.00"),"亿元、",TEXT(C14/10000,"0.00"),"亿元及",TEXT(B14/10000,"0.00"),"亿元。")</f>
        <v>#N/A</v>
      </c>
      <c r="M14" s="103" t="e">
        <f>(C14-D14)/D14</f>
        <v>#N/A</v>
      </c>
      <c r="N14" s="103" t="e">
        <f>(D14-E14)/E14</f>
        <v>#N/A</v>
      </c>
    </row>
    <row r="15" ht="18.75" customHeight="1" spans="1:15">
      <c r="A15" s="141" t="s">
        <v>303</v>
      </c>
      <c r="B15" s="142">
        <f>ROUND(HLOOKUP($B$3,bs!$C$1:$AB$110,MATCH("*"&amp;A15&amp;"*",bs!$B$1:$B$110,),FALSE),0)/IF(ISNUMBER(SEARCH("亿",$A$2)),100000000,IF(ISNUMBER(SEARCH("万",$A$2)),10000,1))</f>
        <v>0</v>
      </c>
      <c r="C15" s="142" t="e">
        <f>ROUND(HLOOKUP($C$3,bs!$C$1:$AB$110,MATCH("*"&amp;A15&amp;"*",bs!$B$1:$B$110,),FALSE),0)/IF(ISNUMBER(SEARCH("亿",$A$2)),100000000,IF(ISNUMBER(SEARCH("万",$A$2)),10000,1))</f>
        <v>#N/A</v>
      </c>
      <c r="D15" s="142" t="e">
        <f>ROUND(HLOOKUP($D$3,bs!$C$1:$AB$110,MATCH("*"&amp;A15&amp;"*",bs!$B$1:$B$110,),FALSE),0)/IF(ISNUMBER(SEARCH("亿",$A$2)),100000000,IF(ISNUMBER(SEARCH("万",$A$2)),10000,1))</f>
        <v>#N/A</v>
      </c>
      <c r="E15" s="142" t="e">
        <f>ROUND(HLOOKUP($E$3,bs!$C$1:$AB$110,MATCH("*"&amp;A15&amp;"*",bs!$B$1:$B$110,),FALSE),0)/IF(ISNUMBER(SEARCH("亿",$A$2)),100000000,IF(ISNUMBER(SEARCH("万",$A$2)),10000,1))</f>
        <v>#N/A</v>
      </c>
      <c r="H15" s="143" t="e">
        <f t="shared" si="0"/>
        <v>#N/A</v>
      </c>
      <c r="I15" t="str">
        <f t="shared" si="1"/>
        <v>  应收保费* </v>
      </c>
    </row>
    <row r="16" ht="18.75" customHeight="1" spans="1:15">
      <c r="A16" s="141" t="s">
        <v>304</v>
      </c>
      <c r="B16" s="142">
        <f>ROUND(HLOOKUP($B$3,bs!$C$1:$AB$110,MATCH("*"&amp;A16&amp;"*",bs!$B$1:$B$110,),FALSE),0)/IF(ISNUMBER(SEARCH("亿",$A$2)),100000000,IF(ISNUMBER(SEARCH("万",$A$2)),10000,1))</f>
        <v>0</v>
      </c>
      <c r="C16" s="142" t="e">
        <f>ROUND(HLOOKUP($C$3,bs!$C$1:$AB$110,MATCH("*"&amp;A16&amp;"*",bs!$B$1:$B$110,),FALSE),0)/IF(ISNUMBER(SEARCH("亿",$A$2)),100000000,IF(ISNUMBER(SEARCH("万",$A$2)),10000,1))</f>
        <v>#N/A</v>
      </c>
      <c r="D16" s="142" t="e">
        <f>ROUND(HLOOKUP($D$3,bs!$C$1:$AB$110,MATCH("*"&amp;A16&amp;"*",bs!$B$1:$B$110,),FALSE),0)/IF(ISNUMBER(SEARCH("亿",$A$2)),100000000,IF(ISNUMBER(SEARCH("万",$A$2)),10000,1))</f>
        <v>#N/A</v>
      </c>
      <c r="E16" s="142" t="e">
        <f>ROUND(HLOOKUP($E$3,bs!$C$1:$AB$110,MATCH("*"&amp;A16&amp;"*",bs!$B$1:$B$110,),FALSE),0)/IF(ISNUMBER(SEARCH("亿",$A$2)),100000000,IF(ISNUMBER(SEARCH("万",$A$2)),10000,1))</f>
        <v>#N/A</v>
      </c>
      <c r="H16" s="143" t="e">
        <f t="shared" si="0"/>
        <v>#N/A</v>
      </c>
      <c r="I16" t="str">
        <f t="shared" si="1"/>
        <v>  应收分保账款* </v>
      </c>
    </row>
    <row r="17" ht="18.75" customHeight="1" spans="1:14">
      <c r="A17" s="141" t="s">
        <v>305</v>
      </c>
      <c r="B17" s="142">
        <f>ROUND(HLOOKUP($B$3,bs!$C$1:$AB$110,MATCH("*"&amp;A17&amp;"*",bs!$B$1:$B$110,),FALSE),0)/IF(ISNUMBER(SEARCH("亿",$A$2)),100000000,IF(ISNUMBER(SEARCH("万",$A$2)),10000,1))</f>
        <v>0</v>
      </c>
      <c r="C17" s="142" t="e">
        <f>ROUND(HLOOKUP($C$3,bs!$C$1:$AB$110,MATCH("*"&amp;A17&amp;"*",bs!$B$1:$B$110,),FALSE),0)/IF(ISNUMBER(SEARCH("亿",$A$2)),100000000,IF(ISNUMBER(SEARCH("万",$A$2)),10000,1))</f>
        <v>#N/A</v>
      </c>
      <c r="D17" s="142" t="e">
        <f>ROUND(HLOOKUP($D$3,bs!$C$1:$AB$110,MATCH("*"&amp;A17&amp;"*",bs!$B$1:$B$110,),FALSE),0)/IF(ISNUMBER(SEARCH("亿",$A$2)),100000000,IF(ISNUMBER(SEARCH("万",$A$2)),10000,1))</f>
        <v>#N/A</v>
      </c>
      <c r="E17" s="142" t="e">
        <f>ROUND(HLOOKUP($E$3,bs!$C$1:$AB$110,MATCH("*"&amp;A17&amp;"*",bs!$B$1:$B$110,),FALSE),0)/IF(ISNUMBER(SEARCH("亿",$A$2)),100000000,IF(ISNUMBER(SEARCH("万",$A$2)),10000,1))</f>
        <v>#N/A</v>
      </c>
      <c r="H17" s="143" t="e">
        <f t="shared" si="0"/>
        <v>#N/A</v>
      </c>
      <c r="I17" t="str">
        <f t="shared" si="1"/>
        <v>  应收分保合同准备金* </v>
      </c>
    </row>
    <row r="18" ht="18.75" customHeight="1" spans="1:14">
      <c r="A18" s="141" t="s">
        <v>306</v>
      </c>
      <c r="B18" s="142">
        <f>ROUND(HLOOKUP($B$3,bs!$C$1:$AB$110,MATCH("*"&amp;A18&amp;"*",bs!$B$1:$B$110,),FALSE),0)/IF(ISNUMBER(SEARCH("亿",$A$2)),100000000,IF(ISNUMBER(SEARCH("万",$A$2)),10000,1))</f>
        <v>0</v>
      </c>
      <c r="C18" s="142" t="e">
        <f>ROUND(HLOOKUP($C$3,bs!$C$1:$AB$110,MATCH("*"&amp;A18&amp;"*",bs!$B$1:$B$110,),FALSE),0)/IF(ISNUMBER(SEARCH("亿",$A$2)),100000000,IF(ISNUMBER(SEARCH("万",$A$2)),10000,1))</f>
        <v>#N/A</v>
      </c>
      <c r="D18" s="142" t="e">
        <f>ROUND(HLOOKUP($D$3,bs!$C$1:$AB$110,MATCH("*"&amp;A18&amp;"*",bs!$B$1:$B$110,),FALSE),0)/IF(ISNUMBER(SEARCH("亿",$A$2)),100000000,IF(ISNUMBER(SEARCH("万",$A$2)),10000,1))</f>
        <v>#N/A</v>
      </c>
      <c r="E18" s="142" t="e">
        <f>ROUND(HLOOKUP($E$3,bs!$C$1:$AB$110,MATCH("*"&amp;A18&amp;"*",bs!$B$1:$B$110,),FALSE),0)/IF(ISNUMBER(SEARCH("亿",$A$2)),100000000,IF(ISNUMBER(SEARCH("万",$A$2)),10000,1))</f>
        <v>#N/A</v>
      </c>
      <c r="H18" s="143" t="e">
        <f t="shared" si="0"/>
        <v>#N/A</v>
      </c>
      <c r="I18" t="str">
        <f t="shared" si="1"/>
        <v>  其他应收款 </v>
      </c>
      <c r="J18" t="e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#N/A</v>
      </c>
      <c r="M18" s="103" t="e">
        <f>(C18-D18)/D18</f>
        <v>#N/A</v>
      </c>
      <c r="N18" s="103" t="e">
        <f>(D18-E18)/E18</f>
        <v>#N/A</v>
      </c>
    </row>
    <row r="19" ht="18.75" customHeight="1" spans="1:14">
      <c r="A19" s="141" t="s">
        <v>307</v>
      </c>
      <c r="B19" s="142">
        <f>ROUND(HLOOKUP($B$3,bs!$C$1:$AB$110,MATCH("*"&amp;A19&amp;"*",bs!$B$1:$B$110,),FALSE),0)/IF(ISNUMBER(SEARCH("亿",$A$2)),100000000,IF(ISNUMBER(SEARCH("万",$A$2)),10000,1))</f>
        <v>0</v>
      </c>
      <c r="C19" s="142" t="e">
        <f>ROUND(HLOOKUP($C$3,bs!$C$1:$AB$110,MATCH("*"&amp;A19&amp;"*",bs!$B$1:$B$110,),FALSE),0)/IF(ISNUMBER(SEARCH("亿",$A$2)),100000000,IF(ISNUMBER(SEARCH("万",$A$2)),10000,1))</f>
        <v>#N/A</v>
      </c>
      <c r="D19" s="142" t="e">
        <f>ROUND(HLOOKUP($D$3,bs!$C$1:$AB$110,MATCH("*"&amp;A19&amp;"*",bs!$B$1:$B$110,),FALSE),0)/IF(ISNUMBER(SEARCH("亿",$A$2)),100000000,IF(ISNUMBER(SEARCH("万",$A$2)),10000,1))</f>
        <v>#N/A</v>
      </c>
      <c r="E19" s="142" t="e">
        <f>ROUND(HLOOKUP($E$3,bs!$C$1:$AB$110,MATCH("*"&amp;A19&amp;"*",bs!$B$1:$B$110,),FALSE),0)/IF(ISNUMBER(SEARCH("亿",$A$2)),100000000,IF(ISNUMBER(SEARCH("万",$A$2)),10000,1))</f>
        <v>#N/A</v>
      </c>
      <c r="H19" s="143" t="e">
        <f t="shared" si="0"/>
        <v>#N/A</v>
      </c>
      <c r="I19" t="str">
        <f t="shared" si="1"/>
        <v>    其中：应收利息</v>
      </c>
    </row>
    <row r="20" ht="18.75" customHeight="1" spans="1:14">
      <c r="A20" s="141" t="s">
        <v>532</v>
      </c>
      <c r="B20" s="142">
        <f>ROUND(HLOOKUP($B$3,bs!$C$1:$AB$110,MATCH("*"&amp;A20&amp;"*",bs!$B$1:$B$110,),FALSE),0)/IF(ISNUMBER(SEARCH("亿",$A$2)),100000000,IF(ISNUMBER(SEARCH("万",$A$2)),10000,1))</f>
        <v>0</v>
      </c>
      <c r="C20" s="142" t="e">
        <f>ROUND(HLOOKUP($C$3,bs!$C$1:$AB$110,MATCH("*"&amp;A20&amp;"*",bs!$B$1:$B$110,),FALSE),0)/IF(ISNUMBER(SEARCH("亿",$A$2)),100000000,IF(ISNUMBER(SEARCH("万",$A$2)),10000,1))</f>
        <v>#N/A</v>
      </c>
      <c r="D20" s="142" t="e">
        <f>ROUND(HLOOKUP($D$3,bs!$C$1:$AB$110,MATCH("*"&amp;A20&amp;"*",bs!$B$1:$B$110,),FALSE),0)/IF(ISNUMBER(SEARCH("亿",$A$2)),100000000,IF(ISNUMBER(SEARCH("万",$A$2)),10000,1))</f>
        <v>#N/A</v>
      </c>
      <c r="E20" s="142" t="e">
        <f>ROUND(HLOOKUP($E$3,bs!$C$1:$AB$110,MATCH("*"&amp;A20&amp;"*",bs!$B$1:$B$110,),FALSE),0)/IF(ISNUMBER(SEARCH("亿",$A$2)),100000000,IF(ISNUMBER(SEARCH("万",$A$2)),10000,1))</f>
        <v>#N/A</v>
      </c>
      <c r="H20" s="143" t="e">
        <f t="shared" si="0"/>
        <v>#N/A</v>
      </c>
      <c r="I20" t="str">
        <f t="shared" si="1"/>
        <v>  应收股利</v>
      </c>
    </row>
    <row r="21" ht="18.75" customHeight="1" spans="1:14">
      <c r="A21" s="141" t="s">
        <v>309</v>
      </c>
      <c r="B21" s="142">
        <f>ROUND(HLOOKUP($B$3,bs!$C$1:$AB$110,MATCH("*"&amp;A21&amp;"*",bs!$B$1:$B$110,),FALSE),0)/IF(ISNUMBER(SEARCH("亿",$A$2)),100000000,IF(ISNUMBER(SEARCH("万",$A$2)),10000,1))</f>
        <v>0</v>
      </c>
      <c r="C21" s="142" t="e">
        <f>ROUND(HLOOKUP($C$3,bs!$C$1:$AB$110,MATCH("*"&amp;A21&amp;"*",bs!$B$1:$B$110,),FALSE),0)/IF(ISNUMBER(SEARCH("亿",$A$2)),100000000,IF(ISNUMBER(SEARCH("万",$A$2)),10000,1))</f>
        <v>#N/A</v>
      </c>
      <c r="D21" s="142" t="e">
        <f>ROUND(HLOOKUP($D$3,bs!$C$1:$AB$110,MATCH("*"&amp;A21&amp;"*",bs!$B$1:$B$110,),FALSE),0)/IF(ISNUMBER(SEARCH("亿",$A$2)),100000000,IF(ISNUMBER(SEARCH("万",$A$2)),10000,1))</f>
        <v>#N/A</v>
      </c>
      <c r="E21" s="142" t="e">
        <f>ROUND(HLOOKUP($E$3,bs!$C$1:$AB$110,MATCH("*"&amp;A21&amp;"*",bs!$B$1:$B$110,),FALSE),0)/IF(ISNUMBER(SEARCH("亿",$A$2)),100000000,IF(ISNUMBER(SEARCH("万",$A$2)),10000,1))</f>
        <v>#N/A</v>
      </c>
      <c r="H21" s="143" t="e">
        <f t="shared" si="0"/>
        <v>#N/A</v>
      </c>
      <c r="I21" t="str">
        <f t="shared" si="1"/>
        <v>  买入返售金融资产* </v>
      </c>
    </row>
    <row r="22" ht="18.75" customHeight="1" spans="1:14">
      <c r="A22" s="141" t="s">
        <v>310</v>
      </c>
      <c r="B22" s="142">
        <f>ROUND(HLOOKUP($B$3,bs!$C$1:$AB$110,MATCH("*"&amp;A22&amp;"*",bs!$B$1:$B$110,),FALSE),0)/IF(ISNUMBER(SEARCH("亿",$A$2)),100000000,IF(ISNUMBER(SEARCH("万",$A$2)),10000,1))</f>
        <v>0</v>
      </c>
      <c r="C22" s="142" t="e">
        <f>ROUND(HLOOKUP($C$3,bs!$C$1:$AB$110,MATCH("*"&amp;A22&amp;"*",bs!$B$1:$B$110,),FALSE),0)/IF(ISNUMBER(SEARCH("亿",$A$2)),100000000,IF(ISNUMBER(SEARCH("万",$A$2)),10000,1))</f>
        <v>#N/A</v>
      </c>
      <c r="D22" s="142" t="e">
        <f>ROUND(HLOOKUP($D$3,bs!$C$1:$AB$110,MATCH("*"&amp;A22&amp;"*",bs!$B$1:$B$110,),FALSE),0)/IF(ISNUMBER(SEARCH("亿",$A$2)),100000000,IF(ISNUMBER(SEARCH("万",$A$2)),10000,1))</f>
        <v>#N/A</v>
      </c>
      <c r="E22" s="142" t="e">
        <f>ROUND(HLOOKUP($E$3,bs!$C$1:$AB$110,MATCH("*"&amp;A22&amp;"*",bs!$B$1:$B$110,),FALSE),0)/IF(ISNUMBER(SEARCH("亿",$A$2)),100000000,IF(ISNUMBER(SEARCH("万",$A$2)),10000,1))</f>
        <v>#N/A</v>
      </c>
      <c r="H22" s="143" t="e">
        <f t="shared" si="0"/>
        <v>#N/A</v>
      </c>
      <c r="I22" t="str">
        <f t="shared" si="1"/>
        <v>  存货 </v>
      </c>
      <c r="J22" t="e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#N/A</v>
      </c>
      <c r="M22" s="103" t="e">
        <f>(C22-D22)/D22</f>
        <v>#N/A</v>
      </c>
      <c r="N22" s="103" t="e">
        <f>(D22-E22)/E22</f>
        <v>#N/A</v>
      </c>
    </row>
    <row r="23" ht="18.75" customHeight="1" spans="1:14">
      <c r="A23" s="141" t="s">
        <v>311</v>
      </c>
      <c r="B23" s="142">
        <f>ROUND(HLOOKUP($B$3,bs!$C$1:$AB$110,MATCH("*"&amp;A23&amp;"*",bs!$B$1:$B$110,),FALSE),0)/IF(ISNUMBER(SEARCH("亿",$A$2)),100000000,IF(ISNUMBER(SEARCH("万",$A$2)),10000,1))</f>
        <v>0</v>
      </c>
      <c r="C23" s="142" t="e">
        <f>ROUND(HLOOKUP($C$3,bs!$C$1:$AB$110,MATCH("*"&amp;A23&amp;"*",bs!$B$1:$B$110,),FALSE),0)/IF(ISNUMBER(SEARCH("亿",$A$2)),100000000,IF(ISNUMBER(SEARCH("万",$A$2)),10000,1))</f>
        <v>#N/A</v>
      </c>
      <c r="D23" s="142" t="e">
        <f>ROUND(HLOOKUP($D$3,bs!$C$1:$AB$110,MATCH("*"&amp;A23&amp;"*",bs!$B$1:$B$110,),FALSE),0)/IF(ISNUMBER(SEARCH("亿",$A$2)),100000000,IF(ISNUMBER(SEARCH("万",$A$2)),10000,1))</f>
        <v>#N/A</v>
      </c>
      <c r="E23" s="142" t="e">
        <f>ROUND(HLOOKUP($E$3,bs!$C$1:$AB$110,MATCH("*"&amp;A23&amp;"*",bs!$B$1:$B$110,),FALSE),0)/IF(ISNUMBER(SEARCH("亿",$A$2)),100000000,IF(ISNUMBER(SEARCH("万",$A$2)),10000,1))</f>
        <v>#N/A</v>
      </c>
      <c r="H23" s="143" t="e">
        <f t="shared" si="0"/>
        <v>#N/A</v>
      </c>
      <c r="I23" t="str">
        <f t="shared" si="1"/>
        <v>  合同资产 </v>
      </c>
    </row>
    <row r="24" ht="18.75" customHeight="1" spans="1:14">
      <c r="A24" s="141" t="s">
        <v>312</v>
      </c>
      <c r="B24" s="142">
        <f>ROUND(HLOOKUP($B$3,bs!$C$1:$AB$110,MATCH("*"&amp;A24&amp;"*",bs!$B$1:$B$110,),FALSE),0)/IF(ISNUMBER(SEARCH("亿",$A$2)),100000000,IF(ISNUMBER(SEARCH("万",$A$2)),10000,1))</f>
        <v>0</v>
      </c>
      <c r="C24" s="142" t="e">
        <f>ROUND(HLOOKUP($C$3,bs!$C$1:$AB$110,MATCH("*"&amp;A24&amp;"*",bs!$B$1:$B$110,),FALSE),0)/IF(ISNUMBER(SEARCH("亿",$A$2)),100000000,IF(ISNUMBER(SEARCH("万",$A$2)),10000,1))</f>
        <v>#N/A</v>
      </c>
      <c r="D24" s="142" t="e">
        <f>ROUND(HLOOKUP($D$3,bs!$C$1:$AB$110,MATCH("*"&amp;A24&amp;"*",bs!$B$1:$B$110,),FALSE),0)/IF(ISNUMBER(SEARCH("亿",$A$2)),100000000,IF(ISNUMBER(SEARCH("万",$A$2)),10000,1))</f>
        <v>#N/A</v>
      </c>
      <c r="E24" s="142" t="e">
        <f>ROUND(HLOOKUP($E$3,bs!$C$1:$AB$110,MATCH("*"&amp;A24&amp;"*",bs!$B$1:$B$110,),FALSE),0)/IF(ISNUMBER(SEARCH("亿",$A$2)),100000000,IF(ISNUMBER(SEARCH("万",$A$2)),10000,1))</f>
        <v>#N/A</v>
      </c>
      <c r="H24" s="143" t="e">
        <f t="shared" si="0"/>
        <v>#N/A</v>
      </c>
      <c r="I24" t="str">
        <f t="shared" si="1"/>
        <v>  持有待售资产 </v>
      </c>
    </row>
    <row r="25" ht="18.75" customHeight="1" spans="1:14">
      <c r="A25" s="141" t="s">
        <v>313</v>
      </c>
      <c r="B25" s="142">
        <f>ROUND(HLOOKUP($B$3,bs!$C$1:$AB$110,MATCH("*"&amp;A25&amp;"*",bs!$B$1:$B$110,),FALSE),0)/IF(ISNUMBER(SEARCH("亿",$A$2)),100000000,IF(ISNUMBER(SEARCH("万",$A$2)),10000,1))</f>
        <v>0</v>
      </c>
      <c r="C25" s="142" t="e">
        <f>ROUND(HLOOKUP($C$3,bs!$C$1:$AB$110,MATCH("*"&amp;A25&amp;"*",bs!$B$1:$B$110,),FALSE),0)/IF(ISNUMBER(SEARCH("亿",$A$2)),100000000,IF(ISNUMBER(SEARCH("万",$A$2)),10000,1))</f>
        <v>#N/A</v>
      </c>
      <c r="D25" s="142" t="e">
        <f>ROUND(HLOOKUP($D$3,bs!$C$1:$AB$110,MATCH("*"&amp;A25&amp;"*",bs!$B$1:$B$110,),FALSE),0)/IF(ISNUMBER(SEARCH("亿",$A$2)),100000000,IF(ISNUMBER(SEARCH("万",$A$2)),10000,1))</f>
        <v>#N/A</v>
      </c>
      <c r="E25" s="142" t="e">
        <f>ROUND(HLOOKUP($E$3,bs!$C$1:$AB$110,MATCH("*"&amp;A25&amp;"*",bs!$B$1:$B$110,),FALSE),0)/IF(ISNUMBER(SEARCH("亿",$A$2)),100000000,IF(ISNUMBER(SEARCH("万",$A$2)),10000,1))</f>
        <v>#N/A</v>
      </c>
      <c r="H25" s="143" t="e">
        <f t="shared" si="0"/>
        <v>#N/A</v>
      </c>
      <c r="I25" t="str">
        <f t="shared" si="1"/>
        <v>  一年内到期的非流动资产 </v>
      </c>
      <c r="J25" t="e">
        <f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#N/A</v>
      </c>
      <c r="M25" s="103" t="e">
        <f>(C25-D25)/D25</f>
        <v>#N/A</v>
      </c>
      <c r="N25" s="103" t="e">
        <f>(D25-E25)/E25</f>
        <v>#N/A</v>
      </c>
    </row>
    <row r="26" ht="18.75" customHeight="1" spans="1:14">
      <c r="A26" s="141" t="s">
        <v>314</v>
      </c>
      <c r="B26" s="142">
        <f>ROUND(HLOOKUP($B$3,bs!$C$1:$AB$110,MATCH("*"&amp;A26&amp;"*",bs!$B$1:$B$110,),FALSE),0)/IF(ISNUMBER(SEARCH("亿",$A$2)),100000000,IF(ISNUMBER(SEARCH("万",$A$2)),10000,1))</f>
        <v>0</v>
      </c>
      <c r="C26" s="142" t="e">
        <f>ROUND(HLOOKUP($C$3,bs!$C$1:$AB$110,MATCH("*"&amp;A26&amp;"*",bs!$B$1:$B$110,),FALSE),0)/IF(ISNUMBER(SEARCH("亿",$A$2)),100000000,IF(ISNUMBER(SEARCH("万",$A$2)),10000,1))</f>
        <v>#N/A</v>
      </c>
      <c r="D26" s="142" t="e">
        <f>ROUND(HLOOKUP($D$3,bs!$C$1:$AB$110,MATCH("*"&amp;A26&amp;"*",bs!$B$1:$B$110,),FALSE),0)/IF(ISNUMBER(SEARCH("亿",$A$2)),100000000,IF(ISNUMBER(SEARCH("万",$A$2)),10000,1))</f>
        <v>#N/A</v>
      </c>
      <c r="E26" s="142" t="e">
        <f>ROUND(HLOOKUP($E$3,bs!$C$1:$AB$110,MATCH("*"&amp;A26&amp;"*",bs!$B$1:$B$110,),FALSE),0)/IF(ISNUMBER(SEARCH("亿",$A$2)),100000000,IF(ISNUMBER(SEARCH("万",$A$2)),10000,1))</f>
        <v>#N/A</v>
      </c>
      <c r="H26" s="143" t="e">
        <f t="shared" si="0"/>
        <v>#N/A</v>
      </c>
      <c r="I26" t="str">
        <f t="shared" si="1"/>
        <v>  其他流动资产 </v>
      </c>
      <c r="J26" t="e">
        <f>_xlfn.CONCAT(TEXT($E$3,"YYYY"),"年-",TEXT($C$3,"YYYY"),"年及",TEXT($B$3,"YYYY年MM月"),"，","拟承租人",I26,"分别为",TEXT(E26/10000,"0.00"),"亿元、",TEXT(D26/10000,"0.00"),"亿元、",TEXT(C26/10000,"0.00"),"亿元及",TEXT(B26/10000,"0.00"),"亿元。")</f>
        <v>#N/A</v>
      </c>
      <c r="M26" s="103" t="e">
        <f>(C26-D26)/D26</f>
        <v>#N/A</v>
      </c>
      <c r="N26" s="103" t="e">
        <f>(D26-E26)/E26</f>
        <v>#N/A</v>
      </c>
    </row>
    <row r="27" ht="18.75" customHeight="1" spans="1:14">
      <c r="A27" s="144" t="s">
        <v>533</v>
      </c>
      <c r="B27" s="142">
        <f>ROUND(HLOOKUP($B$3,bs!$C$1:$AB$110,MATCH("*"&amp;A27&amp;"*",bs!$B$1:$B$110,),FALSE),0)/IF(ISNUMBER(SEARCH("亿",$A$2)),100000000,IF(ISNUMBER(SEARCH("万",$A$2)),10000,1))</f>
        <v>0</v>
      </c>
      <c r="C27" s="142" t="e">
        <f>ROUND(HLOOKUP($C$3,bs!$C$1:$AB$110,MATCH("*"&amp;A27&amp;"*",bs!$B$1:$B$110,),FALSE),0)/IF(ISNUMBER(SEARCH("亿",$A$2)),100000000,IF(ISNUMBER(SEARCH("万",$A$2)),10000,1))</f>
        <v>#N/A</v>
      </c>
      <c r="D27" s="142" t="e">
        <f>ROUND(HLOOKUP($D$3,bs!$C$1:$AB$110,MATCH("*"&amp;A27&amp;"*",bs!$B$1:$B$110,),FALSE),0)/IF(ISNUMBER(SEARCH("亿",$A$2)),100000000,IF(ISNUMBER(SEARCH("万",$A$2)),10000,1))</f>
        <v>#N/A</v>
      </c>
      <c r="E27" s="142" t="e">
        <f>ROUND(HLOOKUP($E$3,bs!$C$1:$AB$110,MATCH("*"&amp;A27&amp;"*",bs!$B$1:$B$110,),FALSE),0)/IF(ISNUMBER(SEARCH("亿",$A$2)),100000000,IF(ISNUMBER(SEARCH("万",$A$2)),10000,1))</f>
        <v>#N/A</v>
      </c>
      <c r="H27" s="143" t="e">
        <f t="shared" si="0"/>
        <v>#N/A</v>
      </c>
      <c r="I27" t="str">
        <f t="shared" si="1"/>
        <v>流动资产合计</v>
      </c>
      <c r="J27" t="e">
        <f>_xlfn.CONCAT(TEXT($E$3,"YYYY"),"年-",TEXT($C$3,"YYYY"),"年及",TEXT($B$3,"YYYY年MM月"),"，","拟承租人",I27,"分别为",TEXT(E27/10000,"0.00"),"亿元、",TEXT(D27/10000,"0.00"),"亿元、",TEXT(C27/10000,"0.00"),"亿元及",TEXT(B27/10000,"0.00"),"亿元。")</f>
        <v>#N/A</v>
      </c>
      <c r="M27" s="103" t="e">
        <f>(C27-D27)/D27</f>
        <v>#N/A</v>
      </c>
      <c r="N27" s="103" t="e">
        <f>(D27-E27)/E27</f>
        <v>#N/A</v>
      </c>
    </row>
    <row r="28" ht="18.75" customHeight="1" spans="1:14">
      <c r="A28" s="141" t="s">
        <v>317</v>
      </c>
      <c r="B28" s="142">
        <f>ROUND(HLOOKUP($B$3,bs!$C$1:$AB$110,MATCH("*"&amp;A28&amp;"*",bs!$B$1:$B$110,),FALSE),0)/IF(ISNUMBER(SEARCH("亿",$A$2)),100000000,IF(ISNUMBER(SEARCH("万",$A$2)),10000,1))</f>
        <v>0</v>
      </c>
      <c r="C28" s="142" t="e">
        <f>ROUND(HLOOKUP($C$3,bs!$C$1:$AB$110,MATCH("*"&amp;A28&amp;"*",bs!$B$1:$B$110,),FALSE),0)/IF(ISNUMBER(SEARCH("亿",$A$2)),100000000,IF(ISNUMBER(SEARCH("万",$A$2)),10000,1))</f>
        <v>#N/A</v>
      </c>
      <c r="D28" s="142" t="e">
        <f>ROUND(HLOOKUP($D$3,bs!$C$1:$AB$110,MATCH("*"&amp;A28&amp;"*",bs!$B$1:$B$110,),FALSE),0)/IF(ISNUMBER(SEARCH("亿",$A$2)),100000000,IF(ISNUMBER(SEARCH("万",$A$2)),10000,1))</f>
        <v>#N/A</v>
      </c>
      <c r="E28" s="142" t="e">
        <f>ROUND(HLOOKUP($E$3,bs!$C$1:$AB$110,MATCH("*"&amp;A28&amp;"*",bs!$B$1:$B$110,),FALSE),0)/IF(ISNUMBER(SEARCH("亿",$A$2)),100000000,IF(ISNUMBER(SEARCH("万",$A$2)),10000,1))</f>
        <v>#N/A</v>
      </c>
      <c r="H28" s="143" t="e">
        <f t="shared" si="0"/>
        <v>#N/A</v>
      </c>
      <c r="I28" t="str">
        <f t="shared" si="1"/>
        <v>  发放贷款和垫款* </v>
      </c>
    </row>
    <row r="29" ht="18.75" customHeight="1" spans="1:14">
      <c r="A29" s="141" t="s">
        <v>318</v>
      </c>
      <c r="B29" s="142">
        <f>ROUND(HLOOKUP($B$3,bs!$C$1:$AB$110,MATCH("*"&amp;A29&amp;"*",bs!$B$1:$B$110,),FALSE),0)/IF(ISNUMBER(SEARCH("亿",$A$2)),100000000,IF(ISNUMBER(SEARCH("万",$A$2)),10000,1))</f>
        <v>0</v>
      </c>
      <c r="C29" s="142" t="e">
        <f>ROUND(HLOOKUP($C$3,bs!$C$1:$AB$110,MATCH("*"&amp;A29&amp;"*",bs!$B$1:$B$110,),FALSE),0)/IF(ISNUMBER(SEARCH("亿",$A$2)),100000000,IF(ISNUMBER(SEARCH("万",$A$2)),10000,1))</f>
        <v>#N/A</v>
      </c>
      <c r="D29" s="142" t="e">
        <f>ROUND(HLOOKUP($D$3,bs!$C$1:$AB$110,MATCH("*"&amp;A29&amp;"*",bs!$B$1:$B$110,),FALSE),0)/IF(ISNUMBER(SEARCH("亿",$A$2)),100000000,IF(ISNUMBER(SEARCH("万",$A$2)),10000,1))</f>
        <v>#N/A</v>
      </c>
      <c r="E29" s="142" t="e">
        <f>ROUND(HLOOKUP($E$3,bs!$C$1:$AB$110,MATCH("*"&amp;A29&amp;"*",bs!$B$1:$B$110,),FALSE),0)/IF(ISNUMBER(SEARCH("亿",$A$2)),100000000,IF(ISNUMBER(SEARCH("万",$A$2)),10000,1))</f>
        <v>#N/A</v>
      </c>
      <c r="H29" s="143" t="e">
        <f t="shared" si="0"/>
        <v>#N/A</v>
      </c>
      <c r="I29" t="str">
        <f t="shared" si="1"/>
        <v>  债权投资 </v>
      </c>
    </row>
    <row r="30" ht="18.75" customHeight="1" spans="1:14">
      <c r="A30" s="141" t="s">
        <v>319</v>
      </c>
      <c r="B30" s="142">
        <f>ROUND(HLOOKUP($B$3,bs!$C$1:$AB$110,MATCH("*"&amp;A30&amp;"*",bs!$B$1:$B$110,),FALSE),0)/IF(ISNUMBER(SEARCH("亿",$A$2)),100000000,IF(ISNUMBER(SEARCH("万",$A$2)),10000,1))</f>
        <v>0</v>
      </c>
      <c r="C30" s="142" t="e">
        <f>ROUND(HLOOKUP($C$3,bs!$C$1:$AB$110,MATCH("*"&amp;A30&amp;"*",bs!$B$1:$B$110,),FALSE),0)/IF(ISNUMBER(SEARCH("亿",$A$2)),100000000,IF(ISNUMBER(SEARCH("万",$A$2)),10000,1))</f>
        <v>#N/A</v>
      </c>
      <c r="D30" s="142" t="e">
        <f>ROUND(HLOOKUP($D$3,bs!$C$1:$AB$110,MATCH("*"&amp;A30&amp;"*",bs!$B$1:$B$110,),FALSE),0)/IF(ISNUMBER(SEARCH("亿",$A$2)),100000000,IF(ISNUMBER(SEARCH("万",$A$2)),10000,1))</f>
        <v>#N/A</v>
      </c>
      <c r="E30" s="142" t="e">
        <f>ROUND(HLOOKUP($E$3,bs!$C$1:$AB$110,MATCH("*"&amp;A30&amp;"*",bs!$B$1:$B$110,),FALSE),0)/IF(ISNUMBER(SEARCH("亿",$A$2)),100000000,IF(ISNUMBER(SEARCH("万",$A$2)),10000,1))</f>
        <v>#N/A</v>
      </c>
      <c r="H30" s="143" t="e">
        <f t="shared" si="0"/>
        <v>#N/A</v>
      </c>
      <c r="I30" t="str">
        <f t="shared" si="1"/>
        <v>  其他债权投资 </v>
      </c>
    </row>
    <row r="31" ht="18.75" customHeight="1" spans="1:14">
      <c r="A31" s="141" t="s">
        <v>320</v>
      </c>
      <c r="B31" s="142">
        <f>ROUND(HLOOKUP($B$3,bs!$C$1:$AB$110,MATCH("*"&amp;A31&amp;"*",bs!$B$1:$B$110,),FALSE),0)/IF(ISNUMBER(SEARCH("亿",$A$2)),100000000,IF(ISNUMBER(SEARCH("万",$A$2)),10000,1))</f>
        <v>0</v>
      </c>
      <c r="C31" s="142" t="e">
        <f>ROUND(HLOOKUP($C$3,bs!$C$1:$AB$110,MATCH("*"&amp;A31&amp;"*",bs!$B$1:$B$110,),FALSE),0)/IF(ISNUMBER(SEARCH("亿",$A$2)),100000000,IF(ISNUMBER(SEARCH("万",$A$2)),10000,1))</f>
        <v>#N/A</v>
      </c>
      <c r="D31" s="142" t="e">
        <f>ROUND(HLOOKUP($D$3,bs!$C$1:$AB$110,MATCH("*"&amp;A31&amp;"*",bs!$B$1:$B$110,),FALSE),0)/IF(ISNUMBER(SEARCH("亿",$A$2)),100000000,IF(ISNUMBER(SEARCH("万",$A$2)),10000,1))</f>
        <v>#N/A</v>
      </c>
      <c r="E31" s="142" t="e">
        <f>ROUND(HLOOKUP($E$3,bs!$C$1:$AB$110,MATCH("*"&amp;A31&amp;"*",bs!$B$1:$B$110,),FALSE),0)/IF(ISNUMBER(SEARCH("亿",$A$2)),100000000,IF(ISNUMBER(SEARCH("万",$A$2)),10000,1))</f>
        <v>#N/A</v>
      </c>
      <c r="H31" s="143" t="e">
        <f t="shared" si="0"/>
        <v>#N/A</v>
      </c>
      <c r="I31" t="str">
        <f t="shared" si="1"/>
        <v>  长期应收款 </v>
      </c>
      <c r="J31" t="e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#N/A</v>
      </c>
      <c r="M31" s="103" t="e">
        <f>(C31-D31)/D31</f>
        <v>#N/A</v>
      </c>
      <c r="N31" s="103" t="e">
        <f>(D31-E31)/E31</f>
        <v>#N/A</v>
      </c>
    </row>
    <row r="32" ht="18.75" customHeight="1" spans="1:14">
      <c r="A32" s="141" t="s">
        <v>321</v>
      </c>
      <c r="B32" s="142">
        <f>ROUND(HLOOKUP($B$3,bs!$C$1:$AB$110,MATCH("*"&amp;A32&amp;"*",bs!$B$1:$B$110,),FALSE),0)/IF(ISNUMBER(SEARCH("亿",$A$2)),100000000,IF(ISNUMBER(SEARCH("万",$A$2)),10000,1))</f>
        <v>0</v>
      </c>
      <c r="C32" s="142" t="e">
        <f>ROUND(HLOOKUP($C$3,bs!$C$1:$AB$110,MATCH("*"&amp;A32&amp;"*",bs!$B$1:$B$110,),FALSE),0)/IF(ISNUMBER(SEARCH("亿",$A$2)),100000000,IF(ISNUMBER(SEARCH("万",$A$2)),10000,1))</f>
        <v>#N/A</v>
      </c>
      <c r="D32" s="142" t="e">
        <f>ROUND(HLOOKUP($D$3,bs!$C$1:$AB$110,MATCH("*"&amp;A32&amp;"*",bs!$B$1:$B$110,),FALSE),0)/IF(ISNUMBER(SEARCH("亿",$A$2)),100000000,IF(ISNUMBER(SEARCH("万",$A$2)),10000,1))</f>
        <v>#N/A</v>
      </c>
      <c r="E32" s="142" t="e">
        <f>ROUND(HLOOKUP($E$3,bs!$C$1:$AB$110,MATCH("*"&amp;A32&amp;"*",bs!$B$1:$B$110,),FALSE),0)/IF(ISNUMBER(SEARCH("亿",$A$2)),100000000,IF(ISNUMBER(SEARCH("万",$A$2)),10000,1))</f>
        <v>#N/A</v>
      </c>
      <c r="H32" s="143" t="e">
        <f t="shared" si="0"/>
        <v>#N/A</v>
      </c>
      <c r="I32" t="str">
        <f t="shared" si="1"/>
        <v>  长期股权投资 </v>
      </c>
    </row>
    <row r="33" ht="18.75" customHeight="1" spans="1:14">
      <c r="A33" s="141" t="s">
        <v>322</v>
      </c>
      <c r="B33" s="142">
        <f>ROUND(HLOOKUP($B$3,bs!$C$1:$AB$110,MATCH("*"&amp;A33&amp;"*",bs!$B$1:$B$110,),FALSE),0)/IF(ISNUMBER(SEARCH("亿",$A$2)),100000000,IF(ISNUMBER(SEARCH("万",$A$2)),10000,1))</f>
        <v>0</v>
      </c>
      <c r="C33" s="142" t="e">
        <f>ROUND(HLOOKUP($C$3,bs!$C$1:$AB$110,MATCH("*"&amp;A33&amp;"*",bs!$B$1:$B$110,),FALSE),0)/IF(ISNUMBER(SEARCH("亿",$A$2)),100000000,IF(ISNUMBER(SEARCH("万",$A$2)),10000,1))</f>
        <v>#N/A</v>
      </c>
      <c r="D33" s="142" t="e">
        <f>ROUND(HLOOKUP($D$3,bs!$C$1:$AB$110,MATCH("*"&amp;A33&amp;"*",bs!$B$1:$B$110,),FALSE),0)/IF(ISNUMBER(SEARCH("亿",$A$2)),100000000,IF(ISNUMBER(SEARCH("万",$A$2)),10000,1))</f>
        <v>#N/A</v>
      </c>
      <c r="E33" s="142" t="e">
        <f>ROUND(HLOOKUP($E$3,bs!$C$1:$AB$110,MATCH("*"&amp;A33&amp;"*",bs!$B$1:$B$110,),FALSE),0)/IF(ISNUMBER(SEARCH("亿",$A$2)),100000000,IF(ISNUMBER(SEARCH("万",$A$2)),10000,1))</f>
        <v>#N/A</v>
      </c>
      <c r="H33" s="143" t="e">
        <f t="shared" si="0"/>
        <v>#N/A</v>
      </c>
      <c r="I33" t="str">
        <f t="shared" si="1"/>
        <v>  可供出售金融资产 </v>
      </c>
    </row>
    <row r="34" ht="18.75" customHeight="1" spans="1:14">
      <c r="A34" s="141" t="s">
        <v>323</v>
      </c>
      <c r="B34" s="142">
        <f>ROUND(HLOOKUP($B$3,bs!$C$1:$AB$110,MATCH("*"&amp;A34&amp;"*",bs!$B$1:$B$110,),FALSE),0)/IF(ISNUMBER(SEARCH("亿",$A$2)),100000000,IF(ISNUMBER(SEARCH("万",$A$2)),10000,1))</f>
        <v>0</v>
      </c>
      <c r="C34" s="142" t="e">
        <f>ROUND(HLOOKUP($C$3,bs!$C$1:$AB$110,MATCH("*"&amp;A34&amp;"*",bs!$B$1:$B$110,),FALSE),0)/IF(ISNUMBER(SEARCH("亿",$A$2)),100000000,IF(ISNUMBER(SEARCH("万",$A$2)),10000,1))</f>
        <v>#N/A</v>
      </c>
      <c r="D34" s="142" t="e">
        <f>ROUND(HLOOKUP($D$3,bs!$C$1:$AB$110,MATCH("*"&amp;A34&amp;"*",bs!$B$1:$B$110,),FALSE),0)/IF(ISNUMBER(SEARCH("亿",$A$2)),100000000,IF(ISNUMBER(SEARCH("万",$A$2)),10000,1))</f>
        <v>#N/A</v>
      </c>
      <c r="E34" s="142" t="e">
        <f>ROUND(HLOOKUP($E$3,bs!$C$1:$AB$110,MATCH("*"&amp;A34&amp;"*",bs!$B$1:$B$110,),FALSE),0)/IF(ISNUMBER(SEARCH("亿",$A$2)),100000000,IF(ISNUMBER(SEARCH("万",$A$2)),10000,1))</f>
        <v>#N/A</v>
      </c>
      <c r="H34" s="143" t="e">
        <f t="shared" si="0"/>
        <v>#N/A</v>
      </c>
      <c r="I34" t="str">
        <f t="shared" si="1"/>
        <v>  持有至到期投资 </v>
      </c>
    </row>
    <row r="35" ht="18.75" customHeight="1" spans="1:14">
      <c r="A35" s="141" t="s">
        <v>324</v>
      </c>
      <c r="B35" s="142">
        <f>ROUND(HLOOKUP($B$3,bs!$C$1:$AB$110,MATCH("*"&amp;A35&amp;"*",bs!$B$1:$B$110,),FALSE),0)/IF(ISNUMBER(SEARCH("亿",$A$2)),100000000,IF(ISNUMBER(SEARCH("万",$A$2)),10000,1))</f>
        <v>0</v>
      </c>
      <c r="C35" s="142" t="e">
        <f>ROUND(HLOOKUP($C$3,bs!$C$1:$AB$110,MATCH("*"&amp;A35&amp;"*",bs!$B$1:$B$110,),FALSE),0)/IF(ISNUMBER(SEARCH("亿",$A$2)),100000000,IF(ISNUMBER(SEARCH("万",$A$2)),10000,1))</f>
        <v>#N/A</v>
      </c>
      <c r="D35" s="142" t="e">
        <f>ROUND(HLOOKUP($D$3,bs!$C$1:$AB$110,MATCH("*"&amp;A35&amp;"*",bs!$B$1:$B$110,),FALSE),0)/IF(ISNUMBER(SEARCH("亿",$A$2)),100000000,IF(ISNUMBER(SEARCH("万",$A$2)),10000,1))</f>
        <v>#N/A</v>
      </c>
      <c r="E35" s="142" t="e">
        <f>ROUND(HLOOKUP($E$3,bs!$C$1:$AB$110,MATCH("*"&amp;A35&amp;"*",bs!$B$1:$B$110,),FALSE),0)/IF(ISNUMBER(SEARCH("亿",$A$2)),100000000,IF(ISNUMBER(SEARCH("万",$A$2)),10000,1))</f>
        <v>#N/A</v>
      </c>
      <c r="H35" s="143" t="e">
        <f t="shared" si="0"/>
        <v>#N/A</v>
      </c>
      <c r="I35" t="str">
        <f t="shared" si="1"/>
        <v>  其他权益工具投资 </v>
      </c>
    </row>
    <row r="36" ht="18.75" customHeight="1" spans="1:14">
      <c r="A36" s="141" t="s">
        <v>325</v>
      </c>
      <c r="B36" s="142">
        <f>ROUND(HLOOKUP($B$3,bs!$C$1:$AB$110,MATCH("*"&amp;A36&amp;"*",bs!$B$1:$B$110,),FALSE),0)/IF(ISNUMBER(SEARCH("亿",$A$2)),100000000,IF(ISNUMBER(SEARCH("万",$A$2)),10000,1))</f>
        <v>0</v>
      </c>
      <c r="C36" s="142" t="e">
        <f>ROUND(HLOOKUP($C$3,bs!$C$1:$AB$110,MATCH("*"&amp;A36&amp;"*",bs!$B$1:$B$110,),FALSE),0)/IF(ISNUMBER(SEARCH("亿",$A$2)),100000000,IF(ISNUMBER(SEARCH("万",$A$2)),10000,1))</f>
        <v>#N/A</v>
      </c>
      <c r="D36" s="142" t="e">
        <f>ROUND(HLOOKUP($D$3,bs!$C$1:$AB$110,MATCH("*"&amp;A36&amp;"*",bs!$B$1:$B$110,),FALSE),0)/IF(ISNUMBER(SEARCH("亿",$A$2)),100000000,IF(ISNUMBER(SEARCH("万",$A$2)),10000,1))</f>
        <v>#N/A</v>
      </c>
      <c r="E36" s="142" t="e">
        <f>ROUND(HLOOKUP($E$3,bs!$C$1:$AB$110,MATCH("*"&amp;A36&amp;"*",bs!$B$1:$B$110,),FALSE),0)/IF(ISNUMBER(SEARCH("亿",$A$2)),100000000,IF(ISNUMBER(SEARCH("万",$A$2)),10000,1))</f>
        <v>#N/A</v>
      </c>
      <c r="H36" s="143" t="e">
        <f t="shared" si="0"/>
        <v>#N/A</v>
      </c>
      <c r="I36" t="str">
        <f t="shared" si="1"/>
        <v>  其他非流动金融资产 </v>
      </c>
    </row>
    <row r="37" ht="18.75" customHeight="1" spans="1:14">
      <c r="A37" s="141" t="s">
        <v>326</v>
      </c>
      <c r="B37" s="142">
        <f>ROUND(HLOOKUP($B$3,bs!$C$1:$AB$110,MATCH("*"&amp;A37&amp;"*",bs!$B$1:$B$110,),FALSE),0)/IF(ISNUMBER(SEARCH("亿",$A$2)),100000000,IF(ISNUMBER(SEARCH("万",$A$2)),10000,1))</f>
        <v>0</v>
      </c>
      <c r="C37" s="142" t="e">
        <f>ROUND(HLOOKUP($C$3,bs!$C$1:$AB$110,MATCH("*"&amp;A37&amp;"*",bs!$B$1:$B$110,),FALSE),0)/IF(ISNUMBER(SEARCH("亿",$A$2)),100000000,IF(ISNUMBER(SEARCH("万",$A$2)),10000,1))</f>
        <v>#N/A</v>
      </c>
      <c r="D37" s="142" t="e">
        <f>ROUND(HLOOKUP($D$3,bs!$C$1:$AB$110,MATCH("*"&amp;A37&amp;"*",bs!$B$1:$B$110,),FALSE),0)/IF(ISNUMBER(SEARCH("亿",$A$2)),100000000,IF(ISNUMBER(SEARCH("万",$A$2)),10000,1))</f>
        <v>#N/A</v>
      </c>
      <c r="E37" s="142" t="e">
        <f>ROUND(HLOOKUP($E$3,bs!$C$1:$AB$110,MATCH("*"&amp;A37&amp;"*",bs!$B$1:$B$110,),FALSE),0)/IF(ISNUMBER(SEARCH("亿",$A$2)),100000000,IF(ISNUMBER(SEARCH("万",$A$2)),10000,1))</f>
        <v>#N/A</v>
      </c>
      <c r="H37" s="143" t="e">
        <f t="shared" si="0"/>
        <v>#N/A</v>
      </c>
      <c r="I37" t="str">
        <f t="shared" si="1"/>
        <v>  投资性房地产 </v>
      </c>
    </row>
    <row r="38" ht="18.75" customHeight="1" spans="1:14">
      <c r="A38" s="141" t="s">
        <v>327</v>
      </c>
      <c r="B38" s="142">
        <f>ROUND(HLOOKUP($B$3,bs!$C$1:$AB$110,MATCH("*"&amp;A38&amp;"*",bs!$B$1:$B$110,),FALSE),0)/IF(ISNUMBER(SEARCH("亿",$A$2)),100000000,IF(ISNUMBER(SEARCH("万",$A$2)),10000,1))</f>
        <v>0</v>
      </c>
      <c r="C38" s="142" t="e">
        <f>ROUND(HLOOKUP($C$3,bs!$C$1:$AB$110,MATCH("*"&amp;A38&amp;"*",bs!$B$1:$B$110,),FALSE),0)/IF(ISNUMBER(SEARCH("亿",$A$2)),100000000,IF(ISNUMBER(SEARCH("万",$A$2)),10000,1))</f>
        <v>#N/A</v>
      </c>
      <c r="D38" s="142" t="e">
        <f>ROUND(HLOOKUP($D$3,bs!$C$1:$AB$110,MATCH("*"&amp;A38&amp;"*",bs!$B$1:$B$110,),FALSE),0)/IF(ISNUMBER(SEARCH("亿",$A$2)),100000000,IF(ISNUMBER(SEARCH("万",$A$2)),10000,1))</f>
        <v>#N/A</v>
      </c>
      <c r="E38" s="142" t="e">
        <f>ROUND(HLOOKUP($E$3,bs!$C$1:$AB$110,MATCH("*"&amp;A38&amp;"*",bs!$B$1:$B$110,),FALSE),0)/IF(ISNUMBER(SEARCH("亿",$A$2)),100000000,IF(ISNUMBER(SEARCH("万",$A$2)),10000,1))</f>
        <v>#N/A</v>
      </c>
      <c r="H38" s="143" t="e">
        <f t="shared" si="0"/>
        <v>#N/A</v>
      </c>
      <c r="I38" t="str">
        <f t="shared" si="1"/>
        <v>  固定资产 </v>
      </c>
      <c r="J38" t="e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#N/A</v>
      </c>
      <c r="M38" s="103" t="e">
        <f>(C38-D38)/D38</f>
        <v>#N/A</v>
      </c>
      <c r="N38" s="103" t="e">
        <f>(D38-E38)/E38</f>
        <v>#N/A</v>
      </c>
    </row>
    <row r="39" ht="18.75" customHeight="1" spans="1:14">
      <c r="A39" s="141" t="s">
        <v>328</v>
      </c>
      <c r="B39" s="142">
        <f>ROUND(HLOOKUP($B$3,bs!$C$1:$AB$110,MATCH("*"&amp;A39&amp;"*",bs!$B$1:$B$110,),FALSE),0)/IF(ISNUMBER(SEARCH("亿",$A$2)),100000000,IF(ISNUMBER(SEARCH("万",$A$2)),10000,1))</f>
        <v>0</v>
      </c>
      <c r="C39" s="142" t="e">
        <f>ROUND(HLOOKUP($C$3,bs!$C$1:$AB$110,MATCH("*"&amp;A39&amp;"*",bs!$B$1:$B$110,),FALSE),0)/IF(ISNUMBER(SEARCH("亿",$A$2)),100000000,IF(ISNUMBER(SEARCH("万",$A$2)),10000,1))</f>
        <v>#N/A</v>
      </c>
      <c r="D39" s="142" t="e">
        <f>ROUND(HLOOKUP($D$3,bs!$C$1:$AB$110,MATCH("*"&amp;A39&amp;"*",bs!$B$1:$B$110,),FALSE),0)/IF(ISNUMBER(SEARCH("亿",$A$2)),100000000,IF(ISNUMBER(SEARCH("万",$A$2)),10000,1))</f>
        <v>#N/A</v>
      </c>
      <c r="E39" s="142" t="e">
        <f>ROUND(HLOOKUP($E$3,bs!$C$1:$AB$110,MATCH("*"&amp;A39&amp;"*",bs!$B$1:$B$110,),FALSE),0)/IF(ISNUMBER(SEARCH("亿",$A$2)),100000000,IF(ISNUMBER(SEARCH("万",$A$2)),10000,1))</f>
        <v>#N/A</v>
      </c>
      <c r="H39" s="143" t="e">
        <f t="shared" si="0"/>
        <v>#N/A</v>
      </c>
      <c r="I39" t="str">
        <f t="shared" ref="I39:I70" si="2">A39</f>
        <v>  累计折旧</v>
      </c>
    </row>
    <row r="40" ht="18.75" customHeight="1" spans="1:14">
      <c r="A40" s="141" t="s">
        <v>329</v>
      </c>
      <c r="B40" s="142">
        <f>ROUND(HLOOKUP($B$3,bs!$C$1:$AB$110,MATCH("*"&amp;A40&amp;"*",bs!$B$1:$B$110,),FALSE),0)/IF(ISNUMBER(SEARCH("亿",$A$2)),100000000,IF(ISNUMBER(SEARCH("万",$A$2)),10000,1))</f>
        <v>0</v>
      </c>
      <c r="C40" s="142" t="e">
        <f>ROUND(HLOOKUP($C$3,bs!$C$1:$AB$110,MATCH("*"&amp;A40&amp;"*",bs!$B$1:$B$110,),FALSE),0)/IF(ISNUMBER(SEARCH("亿",$A$2)),100000000,IF(ISNUMBER(SEARCH("万",$A$2)),10000,1))</f>
        <v>#N/A</v>
      </c>
      <c r="D40" s="142" t="e">
        <f>ROUND(HLOOKUP($D$3,bs!$C$1:$AB$110,MATCH("*"&amp;A40&amp;"*",bs!$B$1:$B$110,),FALSE),0)/IF(ISNUMBER(SEARCH("亿",$A$2)),100000000,IF(ISNUMBER(SEARCH("万",$A$2)),10000,1))</f>
        <v>#N/A</v>
      </c>
      <c r="E40" s="142" t="e">
        <f>ROUND(HLOOKUP($E$3,bs!$C$1:$AB$110,MATCH("*"&amp;A40&amp;"*",bs!$B$1:$B$110,),FALSE),0)/IF(ISNUMBER(SEARCH("亿",$A$2)),100000000,IF(ISNUMBER(SEARCH("万",$A$2)),10000,1))</f>
        <v>#N/A</v>
      </c>
      <c r="H40" s="143" t="e">
        <f t="shared" si="0"/>
        <v>#N/A</v>
      </c>
      <c r="I40" t="str">
        <f t="shared" si="2"/>
        <v>  固定资产减值准备 </v>
      </c>
    </row>
    <row r="41" ht="18.75" customHeight="1" spans="1:14">
      <c r="A41" s="141" t="s">
        <v>330</v>
      </c>
      <c r="B41" s="142">
        <f>ROUND(HLOOKUP($B$3,bs!$C$1:$AB$110,MATCH("*"&amp;A41&amp;"*",bs!$B$1:$B$110,),FALSE),0)/IF(ISNUMBER(SEARCH("亿",$A$2)),100000000,IF(ISNUMBER(SEARCH("万",$A$2)),10000,1))</f>
        <v>0</v>
      </c>
      <c r="C41" s="142" t="e">
        <f>ROUND(HLOOKUP($C$3,bs!$C$1:$AB$110,MATCH("*"&amp;A41&amp;"*",bs!$B$1:$B$110,),FALSE),0)/IF(ISNUMBER(SEARCH("亿",$A$2)),100000000,IF(ISNUMBER(SEARCH("万",$A$2)),10000,1))</f>
        <v>#N/A</v>
      </c>
      <c r="D41" s="142" t="e">
        <f>ROUND(HLOOKUP($D$3,bs!$C$1:$AB$110,MATCH("*"&amp;A41&amp;"*",bs!$B$1:$B$110,),FALSE),0)/IF(ISNUMBER(SEARCH("亿",$A$2)),100000000,IF(ISNUMBER(SEARCH("万",$A$2)),10000,1))</f>
        <v>#N/A</v>
      </c>
      <c r="E41" s="142" t="e">
        <f>ROUND(HLOOKUP($E$3,bs!$C$1:$AB$110,MATCH("*"&amp;A41&amp;"*",bs!$B$1:$B$110,),FALSE),0)/IF(ISNUMBER(SEARCH("亿",$A$2)),100000000,IF(ISNUMBER(SEARCH("万",$A$2)),10000,1))</f>
        <v>#N/A</v>
      </c>
      <c r="H41" s="143" t="e">
        <f t="shared" si="0"/>
        <v>#N/A</v>
      </c>
      <c r="I41" t="str">
        <f t="shared" si="2"/>
        <v>  固定资产净额</v>
      </c>
      <c r="J41" t="e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#N/A</v>
      </c>
      <c r="M41" s="103" t="e">
        <f>(C41-D41)/D41</f>
        <v>#N/A</v>
      </c>
      <c r="N41" s="103" t="e">
        <f>(D41-E41)/E41</f>
        <v>#N/A</v>
      </c>
    </row>
    <row r="42" ht="18.75" customHeight="1" spans="1:14">
      <c r="A42" s="141" t="s">
        <v>331</v>
      </c>
      <c r="B42" s="142">
        <f>ROUND(HLOOKUP($B$3,bs!$C$1:$AB$110,MATCH("*"&amp;A42&amp;"*",bs!$B$1:$B$110,),FALSE),0)/IF(ISNUMBER(SEARCH("亿",$A$2)),100000000,IF(ISNUMBER(SEARCH("万",$A$2)),10000,1))</f>
        <v>0</v>
      </c>
      <c r="C42" s="142" t="e">
        <f>ROUND(HLOOKUP($C$3,bs!$C$1:$AB$110,MATCH("*"&amp;A42&amp;"*",bs!$B$1:$B$110,),FALSE),0)/IF(ISNUMBER(SEARCH("亿",$A$2)),100000000,IF(ISNUMBER(SEARCH("万",$A$2)),10000,1))</f>
        <v>#N/A</v>
      </c>
      <c r="D42" s="142" t="e">
        <f>ROUND(HLOOKUP($D$3,bs!$C$1:$AB$110,MATCH("*"&amp;A42&amp;"*",bs!$B$1:$B$110,),FALSE),0)/IF(ISNUMBER(SEARCH("亿",$A$2)),100000000,IF(ISNUMBER(SEARCH("万",$A$2)),10000,1))</f>
        <v>#N/A</v>
      </c>
      <c r="E42" s="142" t="e">
        <f>ROUND(HLOOKUP($E$3,bs!$C$1:$AB$110,MATCH("*"&amp;A42&amp;"*",bs!$B$1:$B$110,),FALSE),0)/IF(ISNUMBER(SEARCH("亿",$A$2)),100000000,IF(ISNUMBER(SEARCH("万",$A$2)),10000,1))</f>
        <v>#N/A</v>
      </c>
      <c r="H42" s="143" t="e">
        <f t="shared" si="0"/>
        <v>#N/A</v>
      </c>
      <c r="I42" t="str">
        <f t="shared" si="2"/>
        <v>  固定资产清理</v>
      </c>
    </row>
    <row r="43" ht="18.75" customHeight="1" spans="1:14">
      <c r="A43" s="141" t="s">
        <v>332</v>
      </c>
      <c r="B43" s="142">
        <f>ROUND(HLOOKUP($B$3,bs!$C$1:$AB$110,MATCH("*"&amp;A43&amp;"*",bs!$B$1:$B$110,),FALSE),0)/IF(ISNUMBER(SEARCH("亿",$A$2)),100000000,IF(ISNUMBER(SEARCH("万",$A$2)),10000,1))</f>
        <v>0</v>
      </c>
      <c r="C43" s="142" t="e">
        <f>ROUND(HLOOKUP($C$3,bs!$C$1:$AB$110,MATCH("*"&amp;A43&amp;"*",bs!$B$1:$B$110,),FALSE),0)/IF(ISNUMBER(SEARCH("亿",$A$2)),100000000,IF(ISNUMBER(SEARCH("万",$A$2)),10000,1))</f>
        <v>#N/A</v>
      </c>
      <c r="D43" s="142" t="e">
        <f>ROUND(HLOOKUP($D$3,bs!$C$1:$AB$110,MATCH("*"&amp;A43&amp;"*",bs!$B$1:$B$110,),FALSE),0)/IF(ISNUMBER(SEARCH("亿",$A$2)),100000000,IF(ISNUMBER(SEARCH("万",$A$2)),10000,1))</f>
        <v>#N/A</v>
      </c>
      <c r="E43" s="142" t="e">
        <f>ROUND(HLOOKUP($E$3,bs!$C$1:$AB$110,MATCH("*"&amp;A43&amp;"*",bs!$B$1:$B$110,),FALSE),0)/IF(ISNUMBER(SEARCH("亿",$A$2)),100000000,IF(ISNUMBER(SEARCH("万",$A$2)),10000,1))</f>
        <v>#N/A</v>
      </c>
      <c r="H43" s="143" t="e">
        <f t="shared" si="0"/>
        <v>#N/A</v>
      </c>
      <c r="I43" t="str">
        <f t="shared" si="2"/>
        <v>  工程物资</v>
      </c>
    </row>
    <row r="44" ht="18.75" customHeight="1" spans="1:14">
      <c r="A44" s="141" t="s">
        <v>333</v>
      </c>
      <c r="B44" s="142">
        <f>ROUND(HLOOKUP($B$3,bs!$C$1:$AB$110,MATCH("*"&amp;A44&amp;"*",bs!$B$1:$B$110,),FALSE),0)/IF(ISNUMBER(SEARCH("亿",$A$2)),100000000,IF(ISNUMBER(SEARCH("万",$A$2)),10000,1))</f>
        <v>0</v>
      </c>
      <c r="C44" s="142" t="e">
        <f>ROUND(HLOOKUP($C$3,bs!$C$1:$AB$110,MATCH("*"&amp;A44&amp;"*",bs!$B$1:$B$110,),FALSE),0)/IF(ISNUMBER(SEARCH("亿",$A$2)),100000000,IF(ISNUMBER(SEARCH("万",$A$2)),10000,1))</f>
        <v>#N/A</v>
      </c>
      <c r="D44" s="142" t="e">
        <f>ROUND(HLOOKUP($D$3,bs!$C$1:$AB$110,MATCH("*"&amp;A44&amp;"*",bs!$B$1:$B$110,),FALSE),0)/IF(ISNUMBER(SEARCH("亿",$A$2)),100000000,IF(ISNUMBER(SEARCH("万",$A$2)),10000,1))</f>
        <v>#N/A</v>
      </c>
      <c r="E44" s="142" t="e">
        <f>ROUND(HLOOKUP($E$3,bs!$C$1:$AB$110,MATCH("*"&amp;A44&amp;"*",bs!$B$1:$B$110,),FALSE),0)/IF(ISNUMBER(SEARCH("亿",$A$2)),100000000,IF(ISNUMBER(SEARCH("万",$A$2)),10000,1))</f>
        <v>#N/A</v>
      </c>
      <c r="H44" s="143" t="e">
        <f t="shared" si="0"/>
        <v>#N/A</v>
      </c>
      <c r="I44" t="str">
        <f t="shared" si="2"/>
        <v>  在建工程 </v>
      </c>
      <c r="J44" t="e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#N/A</v>
      </c>
      <c r="M44" s="103" t="e">
        <f>(C44-D44)/D44</f>
        <v>#N/A</v>
      </c>
      <c r="N44" s="103" t="e">
        <f>(D44-E44)/E44</f>
        <v>#N/A</v>
      </c>
    </row>
    <row r="45" ht="18.75" customHeight="1" spans="1:14">
      <c r="A45" s="141" t="s">
        <v>334</v>
      </c>
      <c r="B45" s="142">
        <f>ROUND(HLOOKUP($B$3,bs!$C$1:$AB$110,MATCH("*"&amp;A45&amp;"*",bs!$B$1:$B$110,),FALSE),0)/IF(ISNUMBER(SEARCH("亿",$A$2)),100000000,IF(ISNUMBER(SEARCH("万",$A$2)),10000,1))</f>
        <v>0</v>
      </c>
      <c r="C45" s="142" t="e">
        <f>ROUND(HLOOKUP($C$3,bs!$C$1:$AB$110,MATCH("*"&amp;A45&amp;"*",bs!$B$1:$B$110,),FALSE),0)/IF(ISNUMBER(SEARCH("亿",$A$2)),100000000,IF(ISNUMBER(SEARCH("万",$A$2)),10000,1))</f>
        <v>#N/A</v>
      </c>
      <c r="D45" s="142" t="e">
        <f>ROUND(HLOOKUP($D$3,bs!$C$1:$AB$110,MATCH("*"&amp;A45&amp;"*",bs!$B$1:$B$110,),FALSE),0)/IF(ISNUMBER(SEARCH("亿",$A$2)),100000000,IF(ISNUMBER(SEARCH("万",$A$2)),10000,1))</f>
        <v>#N/A</v>
      </c>
      <c r="E45" s="142" t="e">
        <f>ROUND(HLOOKUP($E$3,bs!$C$1:$AB$110,MATCH("*"&amp;A45&amp;"*",bs!$B$1:$B$110,),FALSE),0)/IF(ISNUMBER(SEARCH("亿",$A$2)),100000000,IF(ISNUMBER(SEARCH("万",$A$2)),10000,1))</f>
        <v>#N/A</v>
      </c>
      <c r="H45" s="143" t="e">
        <f t="shared" si="0"/>
        <v>#N/A</v>
      </c>
      <c r="I45" t="str">
        <f t="shared" si="2"/>
        <v>  生产性生物资产 </v>
      </c>
    </row>
    <row r="46" ht="18.75" customHeight="1" spans="1:14">
      <c r="A46" s="141" t="s">
        <v>335</v>
      </c>
      <c r="B46" s="142">
        <f>ROUND(HLOOKUP($B$3,bs!$C$1:$AB$110,MATCH("*"&amp;A46&amp;"*",bs!$B$1:$B$110,),FALSE),0)/IF(ISNUMBER(SEARCH("亿",$A$2)),100000000,IF(ISNUMBER(SEARCH("万",$A$2)),10000,1))</f>
        <v>0</v>
      </c>
      <c r="C46" s="142" t="e">
        <f>ROUND(HLOOKUP($C$3,bs!$C$1:$AB$110,MATCH("*"&amp;A46&amp;"*",bs!$B$1:$B$110,),FALSE),0)/IF(ISNUMBER(SEARCH("亿",$A$2)),100000000,IF(ISNUMBER(SEARCH("万",$A$2)),10000,1))</f>
        <v>#N/A</v>
      </c>
      <c r="D46" s="142" t="e">
        <f>ROUND(HLOOKUP($D$3,bs!$C$1:$AB$110,MATCH("*"&amp;A46&amp;"*",bs!$B$1:$B$110,),FALSE),0)/IF(ISNUMBER(SEARCH("亿",$A$2)),100000000,IF(ISNUMBER(SEARCH("万",$A$2)),10000,1))</f>
        <v>#N/A</v>
      </c>
      <c r="E46" s="142" t="e">
        <f>ROUND(HLOOKUP($E$3,bs!$C$1:$AB$110,MATCH("*"&amp;A46&amp;"*",bs!$B$1:$B$110,),FALSE),0)/IF(ISNUMBER(SEARCH("亿",$A$2)),100000000,IF(ISNUMBER(SEARCH("万",$A$2)),10000,1))</f>
        <v>#N/A</v>
      </c>
      <c r="H46" s="143" t="e">
        <f t="shared" si="0"/>
        <v>#N/A</v>
      </c>
      <c r="I46" t="str">
        <f t="shared" si="2"/>
        <v>  油气资产 </v>
      </c>
    </row>
    <row r="47" ht="18.75" customHeight="1" spans="1:14">
      <c r="A47" s="141" t="s">
        <v>336</v>
      </c>
      <c r="B47" s="142">
        <f>ROUND(HLOOKUP($B$3,bs!$C$1:$AB$110,MATCH("*"&amp;A47&amp;"*",bs!$B$1:$B$110,),FALSE),0)/IF(ISNUMBER(SEARCH("亿",$A$2)),100000000,IF(ISNUMBER(SEARCH("万",$A$2)),10000,1))</f>
        <v>0</v>
      </c>
      <c r="C47" s="142" t="e">
        <f>ROUND(HLOOKUP($C$3,bs!$C$1:$AB$110,MATCH("*"&amp;A47&amp;"*",bs!$B$1:$B$110,),FALSE),0)/IF(ISNUMBER(SEARCH("亿",$A$2)),100000000,IF(ISNUMBER(SEARCH("万",$A$2)),10000,1))</f>
        <v>#N/A</v>
      </c>
      <c r="D47" s="142" t="e">
        <f>ROUND(HLOOKUP($D$3,bs!$C$1:$AB$110,MATCH("*"&amp;A47&amp;"*",bs!$B$1:$B$110,),FALSE),0)/IF(ISNUMBER(SEARCH("亿",$A$2)),100000000,IF(ISNUMBER(SEARCH("万",$A$2)),10000,1))</f>
        <v>#N/A</v>
      </c>
      <c r="E47" s="142" t="e">
        <f>ROUND(HLOOKUP($E$3,bs!$C$1:$AB$110,MATCH("*"&amp;A47&amp;"*",bs!$B$1:$B$110,),FALSE),0)/IF(ISNUMBER(SEARCH("亿",$A$2)),100000000,IF(ISNUMBER(SEARCH("万",$A$2)),10000,1))</f>
        <v>#N/A</v>
      </c>
      <c r="H47" s="143" t="e">
        <f t="shared" si="0"/>
        <v>#N/A</v>
      </c>
      <c r="I47" t="str">
        <f t="shared" si="2"/>
        <v>  使用权资产 </v>
      </c>
      <c r="J47" t="e">
        <f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#N/A</v>
      </c>
      <c r="M47" s="103" t="e">
        <f>(C47-D47)/D47</f>
        <v>#N/A</v>
      </c>
      <c r="N47" s="103" t="e">
        <f>(D47-E47)/E47</f>
        <v>#N/A</v>
      </c>
    </row>
    <row r="48" ht="18.75" customHeight="1" spans="1:14">
      <c r="A48" s="141" t="s">
        <v>337</v>
      </c>
      <c r="B48" s="142">
        <f>ROUND(HLOOKUP($B$3,bs!$C$1:$AB$110,MATCH("*"&amp;A48&amp;"*",bs!$B$1:$B$110,),FALSE),0)/IF(ISNUMBER(SEARCH("亿",$A$2)),100000000,IF(ISNUMBER(SEARCH("万",$A$2)),10000,1))</f>
        <v>0</v>
      </c>
      <c r="C48" s="142" t="e">
        <f>ROUND(HLOOKUP($C$3,bs!$C$1:$AB$110,MATCH("*"&amp;A48&amp;"*",bs!$B$1:$B$110,),FALSE),0)/IF(ISNUMBER(SEARCH("亿",$A$2)),100000000,IF(ISNUMBER(SEARCH("万",$A$2)),10000,1))</f>
        <v>#N/A</v>
      </c>
      <c r="D48" s="142" t="e">
        <f>ROUND(HLOOKUP($D$3,bs!$C$1:$AB$110,MATCH("*"&amp;A48&amp;"*",bs!$B$1:$B$110,),FALSE),0)/IF(ISNUMBER(SEARCH("亿",$A$2)),100000000,IF(ISNUMBER(SEARCH("万",$A$2)),10000,1))</f>
        <v>#N/A</v>
      </c>
      <c r="E48" s="142" t="e">
        <f>ROUND(HLOOKUP($E$3,bs!$C$1:$AB$110,MATCH("*"&amp;A48&amp;"*",bs!$B$1:$B$110,),FALSE),0)/IF(ISNUMBER(SEARCH("亿",$A$2)),100000000,IF(ISNUMBER(SEARCH("万",$A$2)),10000,1))</f>
        <v>#N/A</v>
      </c>
      <c r="H48" s="143" t="e">
        <f t="shared" si="0"/>
        <v>#N/A</v>
      </c>
      <c r="I48" t="str">
        <f t="shared" si="2"/>
        <v>  无形资产 </v>
      </c>
      <c r="J48" t="e">
        <f>_xlfn.CONCAT(TEXT($E$3,"YYYY"),"年-",TEXT($C$3,"YYYY"),"年及",TEXT($B$3,"YYYY年MM月"),"，","拟承租人",I48,"分别为",TEXT(E48/10000,"0.00"),"亿元、",TEXT(D48/10000,"0.00"),"亿元、",TEXT(C48/10000,"0.00"),"亿元及",TEXT(B48/10000,"0.00"),"亿元。")</f>
        <v>#N/A</v>
      </c>
      <c r="M48" s="103" t="e">
        <f>(C48-D48)/D48</f>
        <v>#N/A</v>
      </c>
      <c r="N48" s="103" t="e">
        <f>(D48-E48)/E48</f>
        <v>#N/A</v>
      </c>
    </row>
    <row r="49" ht="18.75" customHeight="1" spans="1:14">
      <c r="A49" s="141" t="s">
        <v>338</v>
      </c>
      <c r="B49" s="142">
        <f>ROUND(HLOOKUP($B$3,bs!$C$1:$AB$110,MATCH("*"&amp;A49&amp;"*",bs!$B$1:$B$110,),FALSE),0)/IF(ISNUMBER(SEARCH("亿",$A$2)),100000000,IF(ISNUMBER(SEARCH("万",$A$2)),10000,1))</f>
        <v>0</v>
      </c>
      <c r="C49" s="142" t="e">
        <f>ROUND(HLOOKUP($C$3,bs!$C$1:$AB$110,MATCH("*"&amp;A49&amp;"*",bs!$B$1:$B$110,),FALSE),0)/IF(ISNUMBER(SEARCH("亿",$A$2)),100000000,IF(ISNUMBER(SEARCH("万",$A$2)),10000,1))</f>
        <v>#N/A</v>
      </c>
      <c r="D49" s="142" t="e">
        <f>ROUND(HLOOKUP($D$3,bs!$C$1:$AB$110,MATCH("*"&amp;A49&amp;"*",bs!$B$1:$B$110,),FALSE),0)/IF(ISNUMBER(SEARCH("亿",$A$2)),100000000,IF(ISNUMBER(SEARCH("万",$A$2)),10000,1))</f>
        <v>#N/A</v>
      </c>
      <c r="E49" s="142" t="e">
        <f>ROUND(HLOOKUP($E$3,bs!$C$1:$AB$110,MATCH("*"&amp;A49&amp;"*",bs!$B$1:$B$110,),FALSE),0)/IF(ISNUMBER(SEARCH("亿",$A$2)),100000000,IF(ISNUMBER(SEARCH("万",$A$2)),10000,1))</f>
        <v>#N/A</v>
      </c>
      <c r="H49" s="143" t="e">
        <f t="shared" si="0"/>
        <v>#N/A</v>
      </c>
      <c r="I49" t="str">
        <f t="shared" si="2"/>
        <v>  开发支出 </v>
      </c>
    </row>
    <row r="50" ht="18.75" customHeight="1" spans="1:14">
      <c r="A50" s="141" t="s">
        <v>339</v>
      </c>
      <c r="B50" s="142">
        <f>ROUND(HLOOKUP($B$3,bs!$C$1:$AB$110,MATCH("*"&amp;A50&amp;"*",bs!$B$1:$B$110,),FALSE),0)/IF(ISNUMBER(SEARCH("亿",$A$2)),100000000,IF(ISNUMBER(SEARCH("万",$A$2)),10000,1))</f>
        <v>0</v>
      </c>
      <c r="C50" s="142" t="e">
        <f>ROUND(HLOOKUP($C$3,bs!$C$1:$AB$110,MATCH("*"&amp;A50&amp;"*",bs!$B$1:$B$110,),FALSE),0)/IF(ISNUMBER(SEARCH("亿",$A$2)),100000000,IF(ISNUMBER(SEARCH("万",$A$2)),10000,1))</f>
        <v>#N/A</v>
      </c>
      <c r="D50" s="142" t="e">
        <f>ROUND(HLOOKUP($D$3,bs!$C$1:$AB$110,MATCH("*"&amp;A50&amp;"*",bs!$B$1:$B$110,),FALSE),0)/IF(ISNUMBER(SEARCH("亿",$A$2)),100000000,IF(ISNUMBER(SEARCH("万",$A$2)),10000,1))</f>
        <v>#N/A</v>
      </c>
      <c r="E50" s="142" t="e">
        <f>ROUND(HLOOKUP($E$3,bs!$C$1:$AB$110,MATCH("*"&amp;A50&amp;"*",bs!$B$1:$B$110,),FALSE),0)/IF(ISNUMBER(SEARCH("亿",$A$2)),100000000,IF(ISNUMBER(SEARCH("万",$A$2)),10000,1))</f>
        <v>#N/A</v>
      </c>
      <c r="H50" s="143" t="e">
        <f t="shared" si="0"/>
        <v>#N/A</v>
      </c>
      <c r="I50" t="str">
        <f t="shared" si="2"/>
        <v>  商誉 </v>
      </c>
    </row>
    <row r="51" ht="18.75" customHeight="1" spans="1:14">
      <c r="A51" s="141" t="s">
        <v>340</v>
      </c>
      <c r="B51" s="142">
        <f>ROUND(HLOOKUP($B$3,bs!$C$1:$AB$110,MATCH("*"&amp;A51&amp;"*",bs!$B$1:$B$110,),FALSE),0)/IF(ISNUMBER(SEARCH("亿",$A$2)),100000000,IF(ISNUMBER(SEARCH("万",$A$2)),10000,1))</f>
        <v>0</v>
      </c>
      <c r="C51" s="142" t="e">
        <f>ROUND(HLOOKUP($C$3,bs!$C$1:$AB$110,MATCH("*"&amp;A51&amp;"*",bs!$B$1:$B$110,),FALSE),0)/IF(ISNUMBER(SEARCH("亿",$A$2)),100000000,IF(ISNUMBER(SEARCH("万",$A$2)),10000,1))</f>
        <v>#N/A</v>
      </c>
      <c r="D51" s="142" t="e">
        <f>ROUND(HLOOKUP($D$3,bs!$C$1:$AB$110,MATCH("*"&amp;A51&amp;"*",bs!$B$1:$B$110,),FALSE),0)/IF(ISNUMBER(SEARCH("亿",$A$2)),100000000,IF(ISNUMBER(SEARCH("万",$A$2)),10000,1))</f>
        <v>#N/A</v>
      </c>
      <c r="E51" s="142" t="e">
        <f>ROUND(HLOOKUP($E$3,bs!$C$1:$AB$110,MATCH("*"&amp;A51&amp;"*",bs!$B$1:$B$110,),FALSE),0)/IF(ISNUMBER(SEARCH("亿",$A$2)),100000000,IF(ISNUMBER(SEARCH("万",$A$2)),10000,1))</f>
        <v>#N/A</v>
      </c>
      <c r="H51" s="143" t="e">
        <f t="shared" si="0"/>
        <v>#N/A</v>
      </c>
      <c r="I51" t="str">
        <f t="shared" si="2"/>
        <v>  长期待摊费用 </v>
      </c>
      <c r="J51" t="e">
        <f t="shared" ref="J51:J56" si="3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#N/A</v>
      </c>
      <c r="M51" s="103" t="e">
        <f t="shared" ref="M51:M56" si="4">(C51-D51)/D51</f>
        <v>#N/A</v>
      </c>
      <c r="N51" s="103" t="e">
        <f t="shared" ref="N51:N56" si="5">(D51-E51)/E51</f>
        <v>#N/A</v>
      </c>
    </row>
    <row r="52" ht="18.75" customHeight="1" spans="1:14">
      <c r="A52" s="141" t="s">
        <v>341</v>
      </c>
      <c r="B52" s="142">
        <f>ROUND(HLOOKUP($B$3,bs!$C$1:$AB$110,MATCH("*"&amp;A52&amp;"*",bs!$B$1:$B$110,),FALSE),0)/IF(ISNUMBER(SEARCH("亿",$A$2)),100000000,IF(ISNUMBER(SEARCH("万",$A$2)),10000,1))</f>
        <v>0</v>
      </c>
      <c r="C52" s="142" t="e">
        <f>ROUND(HLOOKUP($C$3,bs!$C$1:$AB$110,MATCH("*"&amp;A52&amp;"*",bs!$B$1:$B$110,),FALSE),0)/IF(ISNUMBER(SEARCH("亿",$A$2)),100000000,IF(ISNUMBER(SEARCH("万",$A$2)),10000,1))</f>
        <v>#N/A</v>
      </c>
      <c r="D52" s="142" t="e">
        <f>ROUND(HLOOKUP($D$3,bs!$C$1:$AB$110,MATCH("*"&amp;A52&amp;"*",bs!$B$1:$B$110,),FALSE),0)/IF(ISNUMBER(SEARCH("亿",$A$2)),100000000,IF(ISNUMBER(SEARCH("万",$A$2)),10000,1))</f>
        <v>#N/A</v>
      </c>
      <c r="E52" s="142" t="e">
        <f>ROUND(HLOOKUP($E$3,bs!$C$1:$AB$110,MATCH("*"&amp;A52&amp;"*",bs!$B$1:$B$110,),FALSE),0)/IF(ISNUMBER(SEARCH("亿",$A$2)),100000000,IF(ISNUMBER(SEARCH("万",$A$2)),10000,1))</f>
        <v>#N/A</v>
      </c>
      <c r="H52" s="143" t="e">
        <f t="shared" si="0"/>
        <v>#N/A</v>
      </c>
      <c r="I52" t="str">
        <f t="shared" si="2"/>
        <v>  递延所得税资产 </v>
      </c>
      <c r="J52" t="e">
        <f t="shared" si="3"/>
        <v>#N/A</v>
      </c>
      <c r="M52" s="103" t="e">
        <f t="shared" si="4"/>
        <v>#N/A</v>
      </c>
      <c r="N52" s="103" t="e">
        <f t="shared" si="5"/>
        <v>#N/A</v>
      </c>
    </row>
    <row r="53" ht="18.75" customHeight="1" spans="1:14">
      <c r="A53" s="141" t="s">
        <v>342</v>
      </c>
      <c r="B53" s="142">
        <f>ROUND(HLOOKUP($B$3,bs!$C$1:$AB$110,MATCH("*"&amp;A53&amp;"*",bs!$B$1:$B$110,),FALSE),0)/IF(ISNUMBER(SEARCH("亿",$A$2)),100000000,IF(ISNUMBER(SEARCH("万",$A$2)),10000,1))</f>
        <v>0</v>
      </c>
      <c r="C53" s="142" t="e">
        <f>ROUND(HLOOKUP($C$3,bs!$C$1:$AB$110,MATCH("*"&amp;A53&amp;"*",bs!$B$1:$B$110,),FALSE),0)/IF(ISNUMBER(SEARCH("亿",$A$2)),100000000,IF(ISNUMBER(SEARCH("万",$A$2)),10000,1))</f>
        <v>#N/A</v>
      </c>
      <c r="D53" s="142" t="e">
        <f>ROUND(HLOOKUP($D$3,bs!$C$1:$AB$110,MATCH("*"&amp;A53&amp;"*",bs!$B$1:$B$110,),FALSE),0)/IF(ISNUMBER(SEARCH("亿",$A$2)),100000000,IF(ISNUMBER(SEARCH("万",$A$2)),10000,1))</f>
        <v>#N/A</v>
      </c>
      <c r="E53" s="142" t="e">
        <f>ROUND(HLOOKUP($E$3,bs!$C$1:$AB$110,MATCH("*"&amp;A53&amp;"*",bs!$B$1:$B$110,),FALSE),0)/IF(ISNUMBER(SEARCH("亿",$A$2)),100000000,IF(ISNUMBER(SEARCH("万",$A$2)),10000,1))</f>
        <v>#N/A</v>
      </c>
      <c r="H53" s="143" t="e">
        <f t="shared" si="0"/>
        <v>#N/A</v>
      </c>
      <c r="I53" t="str">
        <f t="shared" si="2"/>
        <v>  其他非流动资产 </v>
      </c>
      <c r="J53" t="e">
        <f t="shared" si="3"/>
        <v>#N/A</v>
      </c>
      <c r="M53" s="103" t="e">
        <f t="shared" si="4"/>
        <v>#N/A</v>
      </c>
      <c r="N53" s="103" t="e">
        <f t="shared" si="5"/>
        <v>#N/A</v>
      </c>
    </row>
    <row r="54" ht="18.75" customHeight="1" spans="1:14">
      <c r="A54" s="144" t="s">
        <v>534</v>
      </c>
      <c r="B54" s="142">
        <f>ROUND(HLOOKUP($B$3,bs!$C$1:$AB$110,MATCH("*"&amp;A54&amp;"*",bs!$B$1:$B$110,),FALSE),0)/IF(ISNUMBER(SEARCH("亿",$A$2)),100000000,IF(ISNUMBER(SEARCH("万",$A$2)),10000,1))</f>
        <v>0</v>
      </c>
      <c r="C54" s="142" t="e">
        <f>ROUND(HLOOKUP($C$3,bs!$C$1:$AB$110,MATCH("*"&amp;A54&amp;"*",bs!$B$1:$B$110,),FALSE),0)/IF(ISNUMBER(SEARCH("亿",$A$2)),100000000,IF(ISNUMBER(SEARCH("万",$A$2)),10000,1))</f>
        <v>#N/A</v>
      </c>
      <c r="D54" s="142" t="e">
        <f>ROUND(HLOOKUP($D$3,bs!$C$1:$AB$110,MATCH("*"&amp;A54&amp;"*",bs!$B$1:$B$110,),FALSE),0)/IF(ISNUMBER(SEARCH("亿",$A$2)),100000000,IF(ISNUMBER(SEARCH("万",$A$2)),10000,1))</f>
        <v>#N/A</v>
      </c>
      <c r="E54" s="142" t="e">
        <f>ROUND(HLOOKUP($E$3,bs!$C$1:$AB$110,MATCH("*"&amp;A54&amp;"*",bs!$B$1:$B$110,),FALSE),0)/IF(ISNUMBER(SEARCH("亿",$A$2)),100000000,IF(ISNUMBER(SEARCH("万",$A$2)),10000,1))</f>
        <v>#N/A</v>
      </c>
      <c r="H54" s="143" t="e">
        <f t="shared" si="0"/>
        <v>#N/A</v>
      </c>
      <c r="I54" t="str">
        <f t="shared" si="2"/>
        <v>非流动资产合计</v>
      </c>
      <c r="J54" t="e">
        <f t="shared" si="3"/>
        <v>#N/A</v>
      </c>
      <c r="M54" s="103" t="e">
        <f t="shared" si="4"/>
        <v>#N/A</v>
      </c>
      <c r="N54" s="103" t="e">
        <f t="shared" si="5"/>
        <v>#N/A</v>
      </c>
    </row>
    <row r="55" ht="18.75" customHeight="1" spans="1:14">
      <c r="A55" s="144" t="s">
        <v>63</v>
      </c>
      <c r="B55" s="142">
        <f>ROUND(HLOOKUP($B$3,bs!$C$1:$AB$110,MATCH("*"&amp;A55&amp;"*",bs!$B$1:$B$110,),FALSE),0)/IF(ISNUMBER(SEARCH("亿",$A$2)),100000000,IF(ISNUMBER(SEARCH("万",$A$2)),10000,1))</f>
        <v>0</v>
      </c>
      <c r="C55" s="142" t="e">
        <f>ROUND(HLOOKUP($C$3,bs!$C$1:$AB$110,MATCH("*"&amp;A55&amp;"*",bs!$B$1:$B$110,),FALSE),0)/IF(ISNUMBER(SEARCH("亿",$A$2)),100000000,IF(ISNUMBER(SEARCH("万",$A$2)),10000,1))</f>
        <v>#N/A</v>
      </c>
      <c r="D55" s="142" t="e">
        <f>ROUND(HLOOKUP($D$3,bs!$C$1:$AB$110,MATCH("*"&amp;A55&amp;"*",bs!$B$1:$B$110,),FALSE),0)/IF(ISNUMBER(SEARCH("亿",$A$2)),100000000,IF(ISNUMBER(SEARCH("万",$A$2)),10000,1))</f>
        <v>#N/A</v>
      </c>
      <c r="E55" s="142" t="e">
        <f>ROUND(HLOOKUP($E$3,bs!$C$1:$AB$110,MATCH("*"&amp;A55&amp;"*",bs!$B$1:$B$110,),FALSE),0)/IF(ISNUMBER(SEARCH("亿",$A$2)),100000000,IF(ISNUMBER(SEARCH("万",$A$2)),10000,1))</f>
        <v>#N/A</v>
      </c>
      <c r="H55" s="143" t="e">
        <f t="shared" si="0"/>
        <v>#N/A</v>
      </c>
      <c r="I55" t="str">
        <f t="shared" si="2"/>
        <v>资产总计</v>
      </c>
      <c r="J55" t="e">
        <f t="shared" si="3"/>
        <v>#N/A</v>
      </c>
      <c r="M55" s="103" t="e">
        <f t="shared" si="4"/>
        <v>#N/A</v>
      </c>
      <c r="N55" s="103" t="e">
        <f t="shared" si="5"/>
        <v>#N/A</v>
      </c>
    </row>
    <row r="56" ht="18.75" customHeight="1" spans="1:14">
      <c r="A56" s="141" t="s">
        <v>346</v>
      </c>
      <c r="B56" s="142">
        <f>ROUND(HLOOKUP($B$3,bs!$C$1:$AB$110,MATCH("*"&amp;A56&amp;"*",bs!$B$1:$B$110,),FALSE),0)/IF(ISNUMBER(SEARCH("亿",$A$2)),100000000,IF(ISNUMBER(SEARCH("万",$A$2)),10000,1))</f>
        <v>0</v>
      </c>
      <c r="C56" s="142" t="e">
        <f>ROUND(HLOOKUP($C$3,bs!$C$1:$AB$110,MATCH("*"&amp;A56&amp;"*",bs!$B$1:$B$110,),FALSE),0)/IF(ISNUMBER(SEARCH("亿",$A$2)),100000000,IF(ISNUMBER(SEARCH("万",$A$2)),10000,1))</f>
        <v>#N/A</v>
      </c>
      <c r="D56" s="142" t="e">
        <f>ROUND(HLOOKUP($D$3,bs!$C$1:$AB$110,MATCH("*"&amp;A56&amp;"*",bs!$B$1:$B$110,),FALSE),0)/IF(ISNUMBER(SEARCH("亿",$A$2)),100000000,IF(ISNUMBER(SEARCH("万",$A$2)),10000,1))</f>
        <v>#N/A</v>
      </c>
      <c r="E56" s="142" t="e">
        <f>ROUND(HLOOKUP($E$3,bs!$C$1:$AB$110,MATCH("*"&amp;A56&amp;"*",bs!$B$1:$B$110,),FALSE),0)/IF(ISNUMBER(SEARCH("亿",$A$2)),100000000,IF(ISNUMBER(SEARCH("万",$A$2)),10000,1))</f>
        <v>#N/A</v>
      </c>
      <c r="H56" s="143" t="e">
        <f t="shared" si="0"/>
        <v>#N/A</v>
      </c>
      <c r="I56" t="str">
        <f t="shared" si="2"/>
        <v>  短期借款 </v>
      </c>
      <c r="J56" t="e">
        <f t="shared" si="3"/>
        <v>#N/A</v>
      </c>
      <c r="M56" s="103" t="e">
        <f t="shared" si="4"/>
        <v>#N/A</v>
      </c>
      <c r="N56" s="103" t="e">
        <f t="shared" si="5"/>
        <v>#N/A</v>
      </c>
    </row>
    <row r="57" ht="18.75" customHeight="1" spans="1:14">
      <c r="A57" s="141" t="s">
        <v>347</v>
      </c>
      <c r="B57" s="142">
        <f>ROUND(HLOOKUP($B$3,bs!$C$1:$AB$110,MATCH("*"&amp;A57&amp;"*",bs!$B$1:$B$110,),FALSE),0)/IF(ISNUMBER(SEARCH("亿",$A$2)),100000000,IF(ISNUMBER(SEARCH("万",$A$2)),10000,1))</f>
        <v>0</v>
      </c>
      <c r="C57" s="142" t="e">
        <f>ROUND(HLOOKUP($C$3,bs!$C$1:$AB$110,MATCH("*"&amp;A57&amp;"*",bs!$B$1:$B$110,),FALSE),0)/IF(ISNUMBER(SEARCH("亿",$A$2)),100000000,IF(ISNUMBER(SEARCH("万",$A$2)),10000,1))</f>
        <v>#N/A</v>
      </c>
      <c r="D57" s="142" t="e">
        <f>ROUND(HLOOKUP($D$3,bs!$C$1:$AB$110,MATCH("*"&amp;A57&amp;"*",bs!$B$1:$B$110,),FALSE),0)/IF(ISNUMBER(SEARCH("亿",$A$2)),100000000,IF(ISNUMBER(SEARCH("万",$A$2)),10000,1))</f>
        <v>#N/A</v>
      </c>
      <c r="E57" s="142" t="e">
        <f>ROUND(HLOOKUP($E$3,bs!$C$1:$AB$110,MATCH("*"&amp;A57&amp;"*",bs!$B$1:$B$110,),FALSE),0)/IF(ISNUMBER(SEARCH("亿",$A$2)),100000000,IF(ISNUMBER(SEARCH("万",$A$2)),10000,1))</f>
        <v>#N/A</v>
      </c>
      <c r="H57" s="143" t="e">
        <f t="shared" si="0"/>
        <v>#N/A</v>
      </c>
      <c r="I57" t="str">
        <f t="shared" si="2"/>
        <v>  向中央银行借款* </v>
      </c>
    </row>
    <row r="58" ht="18.75" customHeight="1" spans="1:14">
      <c r="A58" s="141" t="s">
        <v>348</v>
      </c>
      <c r="B58" s="142">
        <f>ROUND(HLOOKUP($B$3,bs!$C$1:$AB$110,MATCH("*"&amp;A58&amp;"*",bs!$B$1:$B$110,),FALSE),0)/IF(ISNUMBER(SEARCH("亿",$A$2)),100000000,IF(ISNUMBER(SEARCH("万",$A$2)),10000,1))</f>
        <v>0</v>
      </c>
      <c r="C58" s="142" t="e">
        <f>ROUND(HLOOKUP($C$3,bs!$C$1:$AB$110,MATCH("*"&amp;A58&amp;"*",bs!$B$1:$B$110,),FALSE),0)/IF(ISNUMBER(SEARCH("亿",$A$2)),100000000,IF(ISNUMBER(SEARCH("万",$A$2)),10000,1))</f>
        <v>#N/A</v>
      </c>
      <c r="D58" s="142" t="e">
        <f>ROUND(HLOOKUP($D$3,bs!$C$1:$AB$110,MATCH("*"&amp;A58&amp;"*",bs!$B$1:$B$110,),FALSE),0)/IF(ISNUMBER(SEARCH("亿",$A$2)),100000000,IF(ISNUMBER(SEARCH("万",$A$2)),10000,1))</f>
        <v>#N/A</v>
      </c>
      <c r="E58" s="142" t="e">
        <f>ROUND(HLOOKUP($E$3,bs!$C$1:$AB$110,MATCH("*"&amp;A58&amp;"*",bs!$B$1:$B$110,),FALSE),0)/IF(ISNUMBER(SEARCH("亿",$A$2)),100000000,IF(ISNUMBER(SEARCH("万",$A$2)),10000,1))</f>
        <v>#N/A</v>
      </c>
      <c r="H58" s="143" t="e">
        <f t="shared" si="0"/>
        <v>#N/A</v>
      </c>
      <c r="I58" t="str">
        <f t="shared" si="2"/>
        <v>  拆入资金* </v>
      </c>
    </row>
    <row r="59" ht="18.75" customHeight="1" spans="1:14">
      <c r="A59" s="141" t="s">
        <v>349</v>
      </c>
      <c r="B59" s="142">
        <f>ROUND(HLOOKUP($B$3,bs!$C$1:$AB$110,MATCH("*"&amp;A59&amp;"*",bs!$B$1:$B$110,),FALSE),0)/IF(ISNUMBER(SEARCH("亿",$A$2)),100000000,IF(ISNUMBER(SEARCH("万",$A$2)),10000,1))</f>
        <v>0</v>
      </c>
      <c r="C59" s="142" t="e">
        <f>ROUND(HLOOKUP($C$3,bs!$C$1:$AB$110,MATCH("*"&amp;A59&amp;"*",bs!$B$1:$B$110,),FALSE),0)/IF(ISNUMBER(SEARCH("亿",$A$2)),100000000,IF(ISNUMBER(SEARCH("万",$A$2)),10000,1))</f>
        <v>#N/A</v>
      </c>
      <c r="D59" s="142" t="e">
        <f>ROUND(HLOOKUP($D$3,bs!$C$1:$AB$110,MATCH("*"&amp;A59&amp;"*",bs!$B$1:$B$110,),FALSE),0)/IF(ISNUMBER(SEARCH("亿",$A$2)),100000000,IF(ISNUMBER(SEARCH("万",$A$2)),10000,1))</f>
        <v>#N/A</v>
      </c>
      <c r="E59" s="142" t="e">
        <f>ROUND(HLOOKUP($E$3,bs!$C$1:$AB$110,MATCH("*"&amp;A59&amp;"*",bs!$B$1:$B$110,),FALSE),0)/IF(ISNUMBER(SEARCH("亿",$A$2)),100000000,IF(ISNUMBER(SEARCH("万",$A$2)),10000,1))</f>
        <v>#N/A</v>
      </c>
      <c r="H59" s="143" t="e">
        <f t="shared" si="0"/>
        <v>#N/A</v>
      </c>
      <c r="I59" t="str">
        <f t="shared" si="2"/>
        <v>  交易性金融负债 </v>
      </c>
      <c r="J59" t="e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#N/A</v>
      </c>
      <c r="M59" s="103" t="e">
        <f>(C59-D59)/D59</f>
        <v>#N/A</v>
      </c>
      <c r="N59" s="103" t="e">
        <f>(D59-E59)/E59</f>
        <v>#N/A</v>
      </c>
    </row>
    <row r="60" ht="18.75" customHeight="1" spans="1:14">
      <c r="A60" s="141" t="s">
        <v>350</v>
      </c>
      <c r="B60" s="142">
        <f>ROUND(HLOOKUP($B$3,bs!$C$1:$AB$110,MATCH("*"&amp;A60&amp;"*",bs!$B$1:$B$110,),FALSE),0)/IF(ISNUMBER(SEARCH("亿",$A$2)),100000000,IF(ISNUMBER(SEARCH("万",$A$2)),10000,1))</f>
        <v>0</v>
      </c>
      <c r="C60" s="142" t="e">
        <f>ROUND(HLOOKUP($C$3,bs!$C$1:$AB$110,MATCH("*"&amp;A60&amp;"*",bs!$B$1:$B$110,),FALSE),0)/IF(ISNUMBER(SEARCH("亿",$A$2)),100000000,IF(ISNUMBER(SEARCH("万",$A$2)),10000,1))</f>
        <v>#N/A</v>
      </c>
      <c r="D60" s="142" t="e">
        <f>ROUND(HLOOKUP($D$3,bs!$C$1:$AB$110,MATCH("*"&amp;A60&amp;"*",bs!$B$1:$B$110,),FALSE),0)/IF(ISNUMBER(SEARCH("亿",$A$2)),100000000,IF(ISNUMBER(SEARCH("万",$A$2)),10000,1))</f>
        <v>#N/A</v>
      </c>
      <c r="E60" s="142" t="e">
        <f>ROUND(HLOOKUP($E$3,bs!$C$1:$AB$110,MATCH("*"&amp;A60&amp;"*",bs!$B$1:$B$110,),FALSE),0)/IF(ISNUMBER(SEARCH("亿",$A$2)),100000000,IF(ISNUMBER(SEARCH("万",$A$2)),10000,1))</f>
        <v>#N/A</v>
      </c>
      <c r="H60" s="143" t="e">
        <f t="shared" si="0"/>
        <v>#N/A</v>
      </c>
      <c r="I60" t="str">
        <f t="shared" si="2"/>
        <v>  衍生金融负债 </v>
      </c>
    </row>
    <row r="61" ht="18.75" customHeight="1" spans="1:14">
      <c r="A61" s="141" t="s">
        <v>351</v>
      </c>
      <c r="B61" s="142">
        <f>ROUND(HLOOKUP($B$3,bs!$C$1:$AB$110,MATCH("*"&amp;A61&amp;"*",bs!$B$1:$B$110,),FALSE),0)/IF(ISNUMBER(SEARCH("亿",$A$2)),100000000,IF(ISNUMBER(SEARCH("万",$A$2)),10000,1))</f>
        <v>0</v>
      </c>
      <c r="C61" s="142" t="e">
        <f>ROUND(HLOOKUP($C$3,bs!$C$1:$AB$110,MATCH("*"&amp;A61&amp;"*",bs!$B$1:$B$110,),FALSE),0)/IF(ISNUMBER(SEARCH("亿",$A$2)),100000000,IF(ISNUMBER(SEARCH("万",$A$2)),10000,1))</f>
        <v>#N/A</v>
      </c>
      <c r="D61" s="142" t="e">
        <f>ROUND(HLOOKUP($D$3,bs!$C$1:$AB$110,MATCH("*"&amp;A61&amp;"*",bs!$B$1:$B$110,),FALSE),0)/IF(ISNUMBER(SEARCH("亿",$A$2)),100000000,IF(ISNUMBER(SEARCH("万",$A$2)),10000,1))</f>
        <v>#N/A</v>
      </c>
      <c r="E61" s="142" t="e">
        <f>ROUND(HLOOKUP($E$3,bs!$C$1:$AB$110,MATCH("*"&amp;A61&amp;"*",bs!$B$1:$B$110,),FALSE),0)/IF(ISNUMBER(SEARCH("亿",$A$2)),100000000,IF(ISNUMBER(SEARCH("万",$A$2)),10000,1))</f>
        <v>#N/A</v>
      </c>
      <c r="H61" s="143" t="e">
        <f t="shared" si="0"/>
        <v>#N/A</v>
      </c>
      <c r="I61" t="str">
        <f t="shared" si="2"/>
        <v>  应付票据 </v>
      </c>
      <c r="J61" t="e">
        <f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#N/A</v>
      </c>
      <c r="M61" s="103" t="e">
        <f>(C61-D61)/D61</f>
        <v>#N/A</v>
      </c>
      <c r="N61" s="103" t="e">
        <f>(D61-E61)/E61</f>
        <v>#N/A</v>
      </c>
    </row>
    <row r="62" ht="18.75" customHeight="1" spans="1:14">
      <c r="A62" s="141" t="s">
        <v>352</v>
      </c>
      <c r="B62" s="142">
        <f>ROUND(HLOOKUP($B$3,bs!$C$1:$AB$110,MATCH("*"&amp;A62&amp;"*",bs!$B$1:$B$110,),FALSE),0)/IF(ISNUMBER(SEARCH("亿",$A$2)),100000000,IF(ISNUMBER(SEARCH("万",$A$2)),10000,1))</f>
        <v>0</v>
      </c>
      <c r="C62" s="142" t="e">
        <f>ROUND(HLOOKUP($C$3,bs!$C$1:$AB$110,MATCH("*"&amp;A62&amp;"*",bs!$B$1:$B$110,),FALSE),0)/IF(ISNUMBER(SEARCH("亿",$A$2)),100000000,IF(ISNUMBER(SEARCH("万",$A$2)),10000,1))</f>
        <v>#N/A</v>
      </c>
      <c r="D62" s="142" t="e">
        <f>ROUND(HLOOKUP($D$3,bs!$C$1:$AB$110,MATCH("*"&amp;A62&amp;"*",bs!$B$1:$B$110,),FALSE),0)/IF(ISNUMBER(SEARCH("亿",$A$2)),100000000,IF(ISNUMBER(SEARCH("万",$A$2)),10000,1))</f>
        <v>#N/A</v>
      </c>
      <c r="E62" s="142" t="e">
        <f>ROUND(HLOOKUP($E$3,bs!$C$1:$AB$110,MATCH("*"&amp;A62&amp;"*",bs!$B$1:$B$110,),FALSE),0)/IF(ISNUMBER(SEARCH("亿",$A$2)),100000000,IF(ISNUMBER(SEARCH("万",$A$2)),10000,1))</f>
        <v>#N/A</v>
      </c>
      <c r="H62" s="143" t="e">
        <f t="shared" si="0"/>
        <v>#N/A</v>
      </c>
      <c r="I62" t="str">
        <f t="shared" si="2"/>
        <v>  应付账款 </v>
      </c>
      <c r="J62" t="e">
        <f>_xlfn.CONCAT(TEXT($E$3,"YYYY"),"年-",TEXT($C$3,"YYYY"),"年及",TEXT($B$3,"YYYY年MM月"),"，","拟承租人",I62,"分别为",TEXT(E62/10000,"0.00"),"亿元、",TEXT(D62/10000,"0.00"),"亿元、",TEXT(C62/10000,"0.00"),"亿元及",TEXT(B62/10000,"0.00"),"亿元。")</f>
        <v>#N/A</v>
      </c>
      <c r="M62" s="103" t="e">
        <f>(C62-D62)/D62</f>
        <v>#N/A</v>
      </c>
      <c r="N62" s="103" t="e">
        <f>(D62-E62)/E62</f>
        <v>#N/A</v>
      </c>
    </row>
    <row r="63" ht="18.75" customHeight="1" spans="1:14">
      <c r="A63" s="141" t="s">
        <v>353</v>
      </c>
      <c r="B63" s="142">
        <f>ROUND(HLOOKUP($B$3,bs!$C$1:$AB$110,MATCH("*"&amp;A63&amp;"*",bs!$B$1:$B$110,),FALSE),0)/IF(ISNUMBER(SEARCH("亿",$A$2)),100000000,IF(ISNUMBER(SEARCH("万",$A$2)),10000,1))</f>
        <v>0</v>
      </c>
      <c r="C63" s="142" t="e">
        <f>ROUND(HLOOKUP($C$3,bs!$C$1:$AB$110,MATCH("*"&amp;A63&amp;"*",bs!$B$1:$B$110,),FALSE),0)/IF(ISNUMBER(SEARCH("亿",$A$2)),100000000,IF(ISNUMBER(SEARCH("万",$A$2)),10000,1))</f>
        <v>#N/A</v>
      </c>
      <c r="D63" s="142" t="e">
        <f>ROUND(HLOOKUP($D$3,bs!$C$1:$AB$110,MATCH("*"&amp;A63&amp;"*",bs!$B$1:$B$110,),FALSE),0)/IF(ISNUMBER(SEARCH("亿",$A$2)),100000000,IF(ISNUMBER(SEARCH("万",$A$2)),10000,1))</f>
        <v>#N/A</v>
      </c>
      <c r="E63" s="142" t="e">
        <f>ROUND(HLOOKUP($E$3,bs!$C$1:$AB$110,MATCH("*"&amp;A63&amp;"*",bs!$B$1:$B$110,),FALSE),0)/IF(ISNUMBER(SEARCH("亿",$A$2)),100000000,IF(ISNUMBER(SEARCH("万",$A$2)),10000,1))</f>
        <v>#N/A</v>
      </c>
      <c r="H63" s="143" t="e">
        <f t="shared" si="0"/>
        <v>#N/A</v>
      </c>
      <c r="I63" t="str">
        <f t="shared" si="2"/>
        <v>  预收款项 </v>
      </c>
      <c r="J63" t="e">
        <f>_xlfn.CONCAT(TEXT($E$3,"YYYY"),"年-",TEXT($C$3,"YYYY"),"年及",TEXT($B$3,"YYYY年MM月"),"，","拟承租人",I63,"分别为",TEXT(E63/10000,"0.00"),"亿元、",TEXT(D63/10000,"0.00"),"亿元、",TEXT(C63/10000,"0.00"),"亿元及",TEXT(B63/10000,"0.00"),"亿元。")</f>
        <v>#N/A</v>
      </c>
      <c r="M63" s="103" t="e">
        <f>(C63-D63)/D63</f>
        <v>#N/A</v>
      </c>
      <c r="N63" s="103" t="e">
        <f>(D63-E63)/E63</f>
        <v>#N/A</v>
      </c>
    </row>
    <row r="64" ht="18.75" customHeight="1" spans="1:14">
      <c r="A64" s="141" t="s">
        <v>354</v>
      </c>
      <c r="B64" s="142">
        <f>ROUND(HLOOKUP($B$3,bs!$C$1:$AB$110,MATCH("*"&amp;A64&amp;"*",bs!$B$1:$B$110,),FALSE),0)/IF(ISNUMBER(SEARCH("亿",$A$2)),100000000,IF(ISNUMBER(SEARCH("万",$A$2)),10000,1))</f>
        <v>0</v>
      </c>
      <c r="C64" s="142" t="e">
        <f>ROUND(HLOOKUP($C$3,bs!$C$1:$AB$110,MATCH("*"&amp;A64&amp;"*",bs!$B$1:$B$110,),FALSE),0)/IF(ISNUMBER(SEARCH("亿",$A$2)),100000000,IF(ISNUMBER(SEARCH("万",$A$2)),10000,1))</f>
        <v>#N/A</v>
      </c>
      <c r="D64" s="142" t="e">
        <f>ROUND(HLOOKUP($D$3,bs!$C$1:$AB$110,MATCH("*"&amp;A64&amp;"*",bs!$B$1:$B$110,),FALSE),0)/IF(ISNUMBER(SEARCH("亿",$A$2)),100000000,IF(ISNUMBER(SEARCH("万",$A$2)),10000,1))</f>
        <v>#N/A</v>
      </c>
      <c r="E64" s="142" t="e">
        <f>ROUND(HLOOKUP($E$3,bs!$C$1:$AB$110,MATCH("*"&amp;A64&amp;"*",bs!$B$1:$B$110,),FALSE),0)/IF(ISNUMBER(SEARCH("亿",$A$2)),100000000,IF(ISNUMBER(SEARCH("万",$A$2)),10000,1))</f>
        <v>#N/A</v>
      </c>
      <c r="H64" s="143" t="e">
        <f t="shared" si="0"/>
        <v>#N/A</v>
      </c>
      <c r="I64" t="str">
        <f t="shared" si="2"/>
        <v>  合同负债 </v>
      </c>
      <c r="J64" t="e">
        <f>_xlfn.CONCAT(TEXT($E$3,"YYYY"),"年-",TEXT($C$3,"YYYY"),"年及",TEXT($B$3,"YYYY年MM月"),"，","拟承租人",I64,"分别为",TEXT(E64/10000,"0.00"),"亿元、",TEXT(D64/10000,"0.00"),"亿元、",TEXT(C64/10000,"0.00"),"亿元及",TEXT(B64/10000,"0.00"),"亿元。")</f>
        <v>#N/A</v>
      </c>
      <c r="M64" s="103" t="e">
        <f>(C64-D64)/D64</f>
        <v>#N/A</v>
      </c>
      <c r="N64" s="103" t="e">
        <f>(D64-E64)/E64</f>
        <v>#N/A</v>
      </c>
    </row>
    <row r="65" ht="18.75" customHeight="1" spans="1:14">
      <c r="A65" s="141" t="s">
        <v>355</v>
      </c>
      <c r="B65" s="142">
        <f>ROUND(HLOOKUP($B$3,bs!$C$1:$AB$110,MATCH("*"&amp;A65&amp;"*",bs!$B$1:$B$110,),FALSE),0)/IF(ISNUMBER(SEARCH("亿",$A$2)),100000000,IF(ISNUMBER(SEARCH("万",$A$2)),10000,1))</f>
        <v>0</v>
      </c>
      <c r="C65" s="142" t="e">
        <f>ROUND(HLOOKUP($C$3,bs!$C$1:$AB$110,MATCH("*"&amp;A65&amp;"*",bs!$B$1:$B$110,),FALSE),0)/IF(ISNUMBER(SEARCH("亿",$A$2)),100000000,IF(ISNUMBER(SEARCH("万",$A$2)),10000,1))</f>
        <v>#N/A</v>
      </c>
      <c r="D65" s="142" t="e">
        <f>ROUND(HLOOKUP($D$3,bs!$C$1:$AB$110,MATCH("*"&amp;A65&amp;"*",bs!$B$1:$B$110,),FALSE),0)/IF(ISNUMBER(SEARCH("亿",$A$2)),100000000,IF(ISNUMBER(SEARCH("万",$A$2)),10000,1))</f>
        <v>#N/A</v>
      </c>
      <c r="E65" s="142" t="e">
        <f>ROUND(HLOOKUP($E$3,bs!$C$1:$AB$110,MATCH("*"&amp;A65&amp;"*",bs!$B$1:$B$110,),FALSE),0)/IF(ISNUMBER(SEARCH("亿",$A$2)),100000000,IF(ISNUMBER(SEARCH("万",$A$2)),10000,1))</f>
        <v>#N/A</v>
      </c>
      <c r="H65" s="143" t="e">
        <f t="shared" si="0"/>
        <v>#N/A</v>
      </c>
      <c r="I65" t="str">
        <f t="shared" si="2"/>
        <v>  卖出回购金融资产款* </v>
      </c>
    </row>
    <row r="66" ht="18.75" customHeight="1" spans="1:14">
      <c r="A66" s="141" t="s">
        <v>356</v>
      </c>
      <c r="B66" s="142">
        <f>ROUND(HLOOKUP($B$3,bs!$C$1:$AB$110,MATCH("*"&amp;A66&amp;"*",bs!$B$1:$B$110,),FALSE),0)/IF(ISNUMBER(SEARCH("亿",$A$2)),100000000,IF(ISNUMBER(SEARCH("万",$A$2)),10000,1))</f>
        <v>0</v>
      </c>
      <c r="C66" s="142" t="e">
        <f>ROUND(HLOOKUP($C$3,bs!$C$1:$AB$110,MATCH("*"&amp;A66&amp;"*",bs!$B$1:$B$110,),FALSE),0)/IF(ISNUMBER(SEARCH("亿",$A$2)),100000000,IF(ISNUMBER(SEARCH("万",$A$2)),10000,1))</f>
        <v>#N/A</v>
      </c>
      <c r="D66" s="142" t="e">
        <f>ROUND(HLOOKUP($D$3,bs!$C$1:$AB$110,MATCH("*"&amp;A66&amp;"*",bs!$B$1:$B$110,),FALSE),0)/IF(ISNUMBER(SEARCH("亿",$A$2)),100000000,IF(ISNUMBER(SEARCH("万",$A$2)),10000,1))</f>
        <v>#N/A</v>
      </c>
      <c r="E66" s="142" t="e">
        <f>ROUND(HLOOKUP($E$3,bs!$C$1:$AB$110,MATCH("*"&amp;A66&amp;"*",bs!$B$1:$B$110,),FALSE),0)/IF(ISNUMBER(SEARCH("亿",$A$2)),100000000,IF(ISNUMBER(SEARCH("万",$A$2)),10000,1))</f>
        <v>#N/A</v>
      </c>
      <c r="H66" s="143" t="e">
        <f t="shared" si="0"/>
        <v>#N/A</v>
      </c>
      <c r="I66" t="str">
        <f t="shared" si="2"/>
        <v>  吸收存款及同业存放* </v>
      </c>
    </row>
    <row r="67" ht="18.75" customHeight="1" spans="1:14">
      <c r="A67" s="141" t="s">
        <v>357</v>
      </c>
      <c r="B67" s="142">
        <f>ROUND(HLOOKUP($B$3,bs!$C$1:$AB$110,MATCH("*"&amp;A67&amp;"*",bs!$B$1:$B$110,),FALSE),0)/IF(ISNUMBER(SEARCH("亿",$A$2)),100000000,IF(ISNUMBER(SEARCH("万",$A$2)),10000,1))</f>
        <v>0</v>
      </c>
      <c r="C67" s="142" t="e">
        <f>ROUND(HLOOKUP($C$3,bs!$C$1:$AB$110,MATCH("*"&amp;A67&amp;"*",bs!$B$1:$B$110,),FALSE),0)/IF(ISNUMBER(SEARCH("亿",$A$2)),100000000,IF(ISNUMBER(SEARCH("万",$A$2)),10000,1))</f>
        <v>#N/A</v>
      </c>
      <c r="D67" s="142" t="e">
        <f>ROUND(HLOOKUP($D$3,bs!$C$1:$AB$110,MATCH("*"&amp;A67&amp;"*",bs!$B$1:$B$110,),FALSE),0)/IF(ISNUMBER(SEARCH("亿",$A$2)),100000000,IF(ISNUMBER(SEARCH("万",$A$2)),10000,1))</f>
        <v>#N/A</v>
      </c>
      <c r="E67" s="142" t="e">
        <f>ROUND(HLOOKUP($E$3,bs!$C$1:$AB$110,MATCH("*"&amp;A67&amp;"*",bs!$B$1:$B$110,),FALSE),0)/IF(ISNUMBER(SEARCH("亿",$A$2)),100000000,IF(ISNUMBER(SEARCH("万",$A$2)),10000,1))</f>
        <v>#N/A</v>
      </c>
      <c r="H67" s="143" t="e">
        <f t="shared" si="0"/>
        <v>#N/A</v>
      </c>
      <c r="I67" t="str">
        <f t="shared" si="2"/>
        <v>  代理买卖证券款* </v>
      </c>
    </row>
    <row r="68" ht="18.75" customHeight="1" spans="1:14">
      <c r="A68" s="141" t="s">
        <v>358</v>
      </c>
      <c r="B68" s="142">
        <f>ROUND(HLOOKUP($B$3,bs!$C$1:$AB$110,MATCH("*"&amp;A68&amp;"*",bs!$B$1:$B$110,),FALSE),0)/IF(ISNUMBER(SEARCH("亿",$A$2)),100000000,IF(ISNUMBER(SEARCH("万",$A$2)),10000,1))</f>
        <v>0</v>
      </c>
      <c r="C68" s="142" t="e">
        <f>ROUND(HLOOKUP($C$3,bs!$C$1:$AB$110,MATCH("*"&amp;A68&amp;"*",bs!$B$1:$B$110,),FALSE),0)/IF(ISNUMBER(SEARCH("亿",$A$2)),100000000,IF(ISNUMBER(SEARCH("万",$A$2)),10000,1))</f>
        <v>#N/A</v>
      </c>
      <c r="D68" s="142" t="e">
        <f>ROUND(HLOOKUP($D$3,bs!$C$1:$AB$110,MATCH("*"&amp;A68&amp;"*",bs!$B$1:$B$110,),FALSE),0)/IF(ISNUMBER(SEARCH("亿",$A$2)),100000000,IF(ISNUMBER(SEARCH("万",$A$2)),10000,1))</f>
        <v>#N/A</v>
      </c>
      <c r="E68" s="142" t="e">
        <f>ROUND(HLOOKUP($E$3,bs!$C$1:$AB$110,MATCH("*"&amp;A68&amp;"*",bs!$B$1:$B$110,),FALSE),0)/IF(ISNUMBER(SEARCH("亿",$A$2)),100000000,IF(ISNUMBER(SEARCH("万",$A$2)),10000,1))</f>
        <v>#N/A</v>
      </c>
      <c r="H68" s="143" t="e">
        <f t="shared" si="0"/>
        <v>#N/A</v>
      </c>
      <c r="I68" t="str">
        <f t="shared" si="2"/>
        <v>  代理承销证券款* </v>
      </c>
    </row>
    <row r="69" ht="18.75" customHeight="1" spans="1:14">
      <c r="A69" s="141" t="s">
        <v>359</v>
      </c>
      <c r="B69" s="142">
        <f>ROUND(HLOOKUP($B$3,bs!$C$1:$AB$110,MATCH("*"&amp;A69&amp;"*",bs!$B$1:$B$110,),FALSE),0)/IF(ISNUMBER(SEARCH("亿",$A$2)),100000000,IF(ISNUMBER(SEARCH("万",$A$2)),10000,1))</f>
        <v>0</v>
      </c>
      <c r="C69" s="142" t="e">
        <f>ROUND(HLOOKUP($C$3,bs!$C$1:$AB$110,MATCH("*"&amp;A69&amp;"*",bs!$B$1:$B$110,),FALSE),0)/IF(ISNUMBER(SEARCH("亿",$A$2)),100000000,IF(ISNUMBER(SEARCH("万",$A$2)),10000,1))</f>
        <v>#N/A</v>
      </c>
      <c r="D69" s="142" t="e">
        <f>ROUND(HLOOKUP($D$3,bs!$C$1:$AB$110,MATCH("*"&amp;A69&amp;"*",bs!$B$1:$B$110,),FALSE),0)/IF(ISNUMBER(SEARCH("亿",$A$2)),100000000,IF(ISNUMBER(SEARCH("万",$A$2)),10000,1))</f>
        <v>#N/A</v>
      </c>
      <c r="E69" s="142" t="e">
        <f>ROUND(HLOOKUP($E$3,bs!$C$1:$AB$110,MATCH("*"&amp;A69&amp;"*",bs!$B$1:$B$110,),FALSE),0)/IF(ISNUMBER(SEARCH("亿",$A$2)),100000000,IF(ISNUMBER(SEARCH("万",$A$2)),10000,1))</f>
        <v>#N/A</v>
      </c>
      <c r="H69" s="143" t="e">
        <f t="shared" si="0"/>
        <v>#N/A</v>
      </c>
      <c r="I69" t="str">
        <f t="shared" si="2"/>
        <v>  应付职工薪酬 </v>
      </c>
      <c r="J69" t="e">
        <f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#N/A</v>
      </c>
      <c r="M69" s="103" t="e">
        <f>(C69-D69)/D69</f>
        <v>#N/A</v>
      </c>
      <c r="N69" s="103" t="e">
        <f>(D69-E69)/E69</f>
        <v>#N/A</v>
      </c>
    </row>
    <row r="70" ht="18.75" customHeight="1" spans="1:14">
      <c r="A70" s="141" t="s">
        <v>360</v>
      </c>
      <c r="B70" s="142">
        <f>ROUND(HLOOKUP($B$3,bs!$C$1:$AB$110,MATCH("*"&amp;A70&amp;"*",bs!$B$1:$B$110,),FALSE),0)/IF(ISNUMBER(SEARCH("亿",$A$2)),100000000,IF(ISNUMBER(SEARCH("万",$A$2)),10000,1))</f>
        <v>0</v>
      </c>
      <c r="C70" s="142" t="e">
        <f>ROUND(HLOOKUP($C$3,bs!$C$1:$AB$110,MATCH("*"&amp;A70&amp;"*",bs!$B$1:$B$110,),FALSE),0)/IF(ISNUMBER(SEARCH("亿",$A$2)),100000000,IF(ISNUMBER(SEARCH("万",$A$2)),10000,1))</f>
        <v>#N/A</v>
      </c>
      <c r="D70" s="142" t="e">
        <f>ROUND(HLOOKUP($D$3,bs!$C$1:$AB$110,MATCH("*"&amp;A70&amp;"*",bs!$B$1:$B$110,),FALSE),0)/IF(ISNUMBER(SEARCH("亿",$A$2)),100000000,IF(ISNUMBER(SEARCH("万",$A$2)),10000,1))</f>
        <v>#N/A</v>
      </c>
      <c r="E70" s="142" t="e">
        <f>ROUND(HLOOKUP($E$3,bs!$C$1:$AB$110,MATCH("*"&amp;A70&amp;"*",bs!$B$1:$B$110,),FALSE),0)/IF(ISNUMBER(SEARCH("亿",$A$2)),100000000,IF(ISNUMBER(SEARCH("万",$A$2)),10000,1))</f>
        <v>#N/A</v>
      </c>
      <c r="H70" s="143" t="e">
        <f t="shared" ref="H70:H108" si="6">B70+C70+D70+E70</f>
        <v>#N/A</v>
      </c>
      <c r="I70" t="str">
        <f t="shared" si="2"/>
        <v>  应交税费 </v>
      </c>
      <c r="J70" t="e">
        <f>_xlfn.CONCAT(TEXT($E$3,"YYYY"),"年-",TEXT($C$3,"YYYY"),"年及",TEXT($B$3,"YYYY年MM月"),"，","拟承租人",I70,"分别为",TEXT(E70/10000,"0.00"),"亿元、",TEXT(D70/10000,"0.00"),"亿元、",TEXT(C70/10000,"0.00"),"亿元及",TEXT(B70/10000,"0.00"),"亿元。")</f>
        <v>#N/A</v>
      </c>
      <c r="M70" s="103" t="e">
        <f>(C70-D70)/D70</f>
        <v>#N/A</v>
      </c>
      <c r="N70" s="103" t="e">
        <f>(D70-E70)/E70</f>
        <v>#N/A</v>
      </c>
    </row>
    <row r="71" ht="18.75" customHeight="1" spans="1:14">
      <c r="A71" s="141" t="s">
        <v>361</v>
      </c>
      <c r="B71" s="142">
        <f>ROUND(HLOOKUP($B$3,bs!$C$1:$AB$110,MATCH("*"&amp;A71&amp;"*",bs!$B$1:$B$110,),FALSE),0)/IF(ISNUMBER(SEARCH("亿",$A$2)),100000000,IF(ISNUMBER(SEARCH("万",$A$2)),10000,1))</f>
        <v>0</v>
      </c>
      <c r="C71" s="142" t="e">
        <f>ROUND(HLOOKUP($C$3,bs!$C$1:$AB$110,MATCH("*"&amp;A71&amp;"*",bs!$B$1:$B$110,),FALSE),0)/IF(ISNUMBER(SEARCH("亿",$A$2)),100000000,IF(ISNUMBER(SEARCH("万",$A$2)),10000,1))</f>
        <v>#N/A</v>
      </c>
      <c r="D71" s="142" t="e">
        <f>ROUND(HLOOKUP($D$3,bs!$C$1:$AB$110,MATCH("*"&amp;A71&amp;"*",bs!$B$1:$B$110,),FALSE),0)/IF(ISNUMBER(SEARCH("亿",$A$2)),100000000,IF(ISNUMBER(SEARCH("万",$A$2)),10000,1))</f>
        <v>#N/A</v>
      </c>
      <c r="E71" s="142" t="e">
        <f>ROUND(HLOOKUP($E$3,bs!$C$1:$AB$110,MATCH("*"&amp;A71&amp;"*",bs!$B$1:$B$110,),FALSE),0)/IF(ISNUMBER(SEARCH("亿",$A$2)),100000000,IF(ISNUMBER(SEARCH("万",$A$2)),10000,1))</f>
        <v>#N/A</v>
      </c>
      <c r="H71" s="143" t="e">
        <f t="shared" si="6"/>
        <v>#N/A</v>
      </c>
      <c r="I71" t="str">
        <f t="shared" ref="I71:I102" si="7">A71</f>
        <v>  其他应付款 </v>
      </c>
      <c r="J71" t="e">
        <f>_xlfn.CONCAT(TEXT($E$3,"YYYY"),"年-",TEXT($C$3,"YYYY"),"年及",TEXT($B$3,"YYYY年MM月"),"，","拟承租人",I71,"分别为",TEXT(E71/10000,"0.00"),"亿元、",TEXT(D71/10000,"0.00"),"亿元、",TEXT(C71/10000,"0.00"),"亿元及",TEXT(B71/10000,"0.00"),"亿元。")</f>
        <v>#N/A</v>
      </c>
      <c r="M71" s="103" t="e">
        <f>(C71-D71)/D71</f>
        <v>#N/A</v>
      </c>
      <c r="N71" s="103" t="e">
        <f>(D71-E71)/E71</f>
        <v>#N/A</v>
      </c>
    </row>
    <row r="72" ht="18.75" customHeight="1" spans="1:14">
      <c r="A72" s="141" t="s">
        <v>362</v>
      </c>
      <c r="B72" s="142">
        <f>ROUND(HLOOKUP($B$3,bs!$C$1:$AB$110,MATCH("*"&amp;A72&amp;"*",bs!$B$1:$B$110,),FALSE),0)/IF(ISNUMBER(SEARCH("亿",$A$2)),100000000,IF(ISNUMBER(SEARCH("万",$A$2)),10000,1))</f>
        <v>0</v>
      </c>
      <c r="C72" s="142" t="e">
        <f>ROUND(HLOOKUP($C$3,bs!$C$1:$AB$110,MATCH("*"&amp;A72&amp;"*",bs!$B$1:$B$110,),FALSE),0)/IF(ISNUMBER(SEARCH("亿",$A$2)),100000000,IF(ISNUMBER(SEARCH("万",$A$2)),10000,1))</f>
        <v>#N/A</v>
      </c>
      <c r="D72" s="142" t="e">
        <f>ROUND(HLOOKUP($D$3,bs!$C$1:$AB$110,MATCH("*"&amp;A72&amp;"*",bs!$B$1:$B$110,),FALSE),0)/IF(ISNUMBER(SEARCH("亿",$A$2)),100000000,IF(ISNUMBER(SEARCH("万",$A$2)),10000,1))</f>
        <v>#N/A</v>
      </c>
      <c r="E72" s="142" t="e">
        <f>ROUND(HLOOKUP($E$3,bs!$C$1:$AB$110,MATCH("*"&amp;A72&amp;"*",bs!$B$1:$B$110,),FALSE),0)/IF(ISNUMBER(SEARCH("亿",$A$2)),100000000,IF(ISNUMBER(SEARCH("万",$A$2)),10000,1))</f>
        <v>#N/A</v>
      </c>
      <c r="H72" s="143" t="e">
        <f t="shared" si="6"/>
        <v>#N/A</v>
      </c>
      <c r="I72" t="str">
        <f t="shared" si="7"/>
        <v>   其中：应付利息</v>
      </c>
    </row>
    <row r="73" ht="18.75" customHeight="1" spans="1:14">
      <c r="A73" s="141" t="s">
        <v>363</v>
      </c>
      <c r="B73" s="142">
        <f>ROUND(HLOOKUP($B$3,bs!$C$1:$AB$110,MATCH("*"&amp;A73&amp;"*",bs!$B$1:$B$110,),FALSE),0)/IF(ISNUMBER(SEARCH("亿",$A$2)),100000000,IF(ISNUMBER(SEARCH("万",$A$2)),10000,1))</f>
        <v>0</v>
      </c>
      <c r="C73" s="142" t="e">
        <f>ROUND(HLOOKUP($C$3,bs!$C$1:$AB$110,MATCH("*"&amp;A73&amp;"*",bs!$B$1:$B$110,),FALSE),0)/IF(ISNUMBER(SEARCH("亿",$A$2)),100000000,IF(ISNUMBER(SEARCH("万",$A$2)),10000,1))</f>
        <v>#N/A</v>
      </c>
      <c r="D73" s="142" t="e">
        <f>ROUND(HLOOKUP($D$3,bs!$C$1:$AB$110,MATCH("*"&amp;A73&amp;"*",bs!$B$1:$B$110,),FALSE),0)/IF(ISNUMBER(SEARCH("亿",$A$2)),100000000,IF(ISNUMBER(SEARCH("万",$A$2)),10000,1))</f>
        <v>#N/A</v>
      </c>
      <c r="E73" s="142" t="e">
        <f>ROUND(HLOOKUP($E$3,bs!$C$1:$AB$110,MATCH("*"&amp;A73&amp;"*",bs!$B$1:$B$110,),FALSE),0)/IF(ISNUMBER(SEARCH("亿",$A$2)),100000000,IF(ISNUMBER(SEARCH("万",$A$2)),10000,1))</f>
        <v>#N/A</v>
      </c>
      <c r="H73" s="143" t="e">
        <f t="shared" si="6"/>
        <v>#N/A</v>
      </c>
      <c r="I73" t="str">
        <f t="shared" si="7"/>
        <v>         应付股利</v>
      </c>
    </row>
    <row r="74" ht="18.75" customHeight="1" spans="1:14">
      <c r="A74" s="141" t="s">
        <v>364</v>
      </c>
      <c r="B74" s="142">
        <f>ROUND(HLOOKUP($B$3,bs!$C$1:$AB$110,MATCH("*"&amp;A74&amp;"*",bs!$B$1:$B$110,),FALSE),0)/IF(ISNUMBER(SEARCH("亿",$A$2)),100000000,IF(ISNUMBER(SEARCH("万",$A$2)),10000,1))</f>
        <v>0</v>
      </c>
      <c r="C74" s="142" t="e">
        <f>ROUND(HLOOKUP($C$3,bs!$C$1:$AB$110,MATCH("*"&amp;A74&amp;"*",bs!$B$1:$B$110,),FALSE),0)/IF(ISNUMBER(SEARCH("亿",$A$2)),100000000,IF(ISNUMBER(SEARCH("万",$A$2)),10000,1))</f>
        <v>#N/A</v>
      </c>
      <c r="D74" s="142" t="e">
        <f>ROUND(HLOOKUP($D$3,bs!$C$1:$AB$110,MATCH("*"&amp;A74&amp;"*",bs!$B$1:$B$110,),FALSE),0)/IF(ISNUMBER(SEARCH("亿",$A$2)),100000000,IF(ISNUMBER(SEARCH("万",$A$2)),10000,1))</f>
        <v>#N/A</v>
      </c>
      <c r="E74" s="142" t="e">
        <f>ROUND(HLOOKUP($E$3,bs!$C$1:$AB$110,MATCH("*"&amp;A74&amp;"*",bs!$B$1:$B$110,),FALSE),0)/IF(ISNUMBER(SEARCH("亿",$A$2)),100000000,IF(ISNUMBER(SEARCH("万",$A$2)),10000,1))</f>
        <v>#N/A</v>
      </c>
      <c r="H74" s="143" t="e">
        <f t="shared" si="6"/>
        <v>#N/A</v>
      </c>
      <c r="I74" t="str">
        <f t="shared" si="7"/>
        <v>  应付手续费及佣金* </v>
      </c>
    </row>
    <row r="75" ht="18.75" customHeight="1" spans="1:14">
      <c r="A75" s="141" t="s">
        <v>365</v>
      </c>
      <c r="B75" s="142">
        <f>ROUND(HLOOKUP($B$3,bs!$C$1:$AB$110,MATCH("*"&amp;A75&amp;"*",bs!$B$1:$B$110,),FALSE),0)/IF(ISNUMBER(SEARCH("亿",$A$2)),100000000,IF(ISNUMBER(SEARCH("万",$A$2)),10000,1))</f>
        <v>0</v>
      </c>
      <c r="C75" s="142" t="e">
        <f>ROUND(HLOOKUP($C$3,bs!$C$1:$AB$110,MATCH("*"&amp;A75&amp;"*",bs!$B$1:$B$110,),FALSE),0)/IF(ISNUMBER(SEARCH("亿",$A$2)),100000000,IF(ISNUMBER(SEARCH("万",$A$2)),10000,1))</f>
        <v>#N/A</v>
      </c>
      <c r="D75" s="142" t="e">
        <f>ROUND(HLOOKUP($D$3,bs!$C$1:$AB$110,MATCH("*"&amp;A75&amp;"*",bs!$B$1:$B$110,),FALSE),0)/IF(ISNUMBER(SEARCH("亿",$A$2)),100000000,IF(ISNUMBER(SEARCH("万",$A$2)),10000,1))</f>
        <v>#N/A</v>
      </c>
      <c r="E75" s="142" t="e">
        <f>ROUND(HLOOKUP($E$3,bs!$C$1:$AB$110,MATCH("*"&amp;A75&amp;"*",bs!$B$1:$B$110,),FALSE),0)/IF(ISNUMBER(SEARCH("亿",$A$2)),100000000,IF(ISNUMBER(SEARCH("万",$A$2)),10000,1))</f>
        <v>#N/A</v>
      </c>
      <c r="H75" s="143" t="e">
        <f t="shared" si="6"/>
        <v>#N/A</v>
      </c>
      <c r="I75" t="str">
        <f t="shared" si="7"/>
        <v>  应付分保账款* </v>
      </c>
    </row>
    <row r="76" ht="18.75" customHeight="1" spans="1:14">
      <c r="A76" s="141" t="s">
        <v>366</v>
      </c>
      <c r="B76" s="142">
        <f>ROUND(HLOOKUP($B$3,bs!$C$1:$AB$110,MATCH("*"&amp;A76&amp;"*",bs!$B$1:$B$110,),FALSE),0)/IF(ISNUMBER(SEARCH("亿",$A$2)),100000000,IF(ISNUMBER(SEARCH("万",$A$2)),10000,1))</f>
        <v>0</v>
      </c>
      <c r="C76" s="142" t="e">
        <f>ROUND(HLOOKUP($C$3,bs!$C$1:$AB$110,MATCH("*"&amp;A76&amp;"*",bs!$B$1:$B$110,),FALSE),0)/IF(ISNUMBER(SEARCH("亿",$A$2)),100000000,IF(ISNUMBER(SEARCH("万",$A$2)),10000,1))</f>
        <v>#N/A</v>
      </c>
      <c r="D76" s="142" t="e">
        <f>ROUND(HLOOKUP($D$3,bs!$C$1:$AB$110,MATCH("*"&amp;A76&amp;"*",bs!$B$1:$B$110,),FALSE),0)/IF(ISNUMBER(SEARCH("亿",$A$2)),100000000,IF(ISNUMBER(SEARCH("万",$A$2)),10000,1))</f>
        <v>#N/A</v>
      </c>
      <c r="E76" s="142" t="e">
        <f>ROUND(HLOOKUP($E$3,bs!$C$1:$AB$110,MATCH("*"&amp;A76&amp;"*",bs!$B$1:$B$110,),FALSE),0)/IF(ISNUMBER(SEARCH("亿",$A$2)),100000000,IF(ISNUMBER(SEARCH("万",$A$2)),10000,1))</f>
        <v>#N/A</v>
      </c>
      <c r="H76" s="143" t="e">
        <f t="shared" si="6"/>
        <v>#N/A</v>
      </c>
      <c r="I76" t="str">
        <f t="shared" si="7"/>
        <v>  持有待售负债 </v>
      </c>
    </row>
    <row r="77" ht="18.75" customHeight="1" spans="1:14">
      <c r="A77" s="141" t="s">
        <v>367</v>
      </c>
      <c r="B77" s="142">
        <f>ROUND(HLOOKUP($B$3,bs!$C$1:$AB$110,MATCH("*"&amp;A77&amp;"*",bs!$B$1:$B$110,),FALSE),0)/IF(ISNUMBER(SEARCH("亿",$A$2)),100000000,IF(ISNUMBER(SEARCH("万",$A$2)),10000,1))</f>
        <v>0</v>
      </c>
      <c r="C77" s="142" t="e">
        <f>ROUND(HLOOKUP($C$3,bs!$C$1:$AB$110,MATCH("*"&amp;A77&amp;"*",bs!$B$1:$B$110,),FALSE),0)/IF(ISNUMBER(SEARCH("亿",$A$2)),100000000,IF(ISNUMBER(SEARCH("万",$A$2)),10000,1))</f>
        <v>#N/A</v>
      </c>
      <c r="D77" s="142" t="e">
        <f>ROUND(HLOOKUP($D$3,bs!$C$1:$AB$110,MATCH("*"&amp;A77&amp;"*",bs!$B$1:$B$110,),FALSE),0)/IF(ISNUMBER(SEARCH("亿",$A$2)),100000000,IF(ISNUMBER(SEARCH("万",$A$2)),10000,1))</f>
        <v>#N/A</v>
      </c>
      <c r="E77" s="142" t="e">
        <f>ROUND(HLOOKUP($E$3,bs!$C$1:$AB$110,MATCH("*"&amp;A77&amp;"*",bs!$B$1:$B$110,),FALSE),0)/IF(ISNUMBER(SEARCH("亿",$A$2)),100000000,IF(ISNUMBER(SEARCH("万",$A$2)),10000,1))</f>
        <v>#N/A</v>
      </c>
      <c r="H77" s="143" t="e">
        <f t="shared" si="6"/>
        <v>#N/A</v>
      </c>
      <c r="I77" t="str">
        <f t="shared" si="7"/>
        <v>  一年内到期的非流动负债 </v>
      </c>
      <c r="J77" t="e">
        <f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#N/A</v>
      </c>
      <c r="M77" s="103" t="e">
        <f>(C77-D77)/D77</f>
        <v>#N/A</v>
      </c>
      <c r="N77" s="103" t="e">
        <f>(D77-E77)/E77</f>
        <v>#N/A</v>
      </c>
    </row>
    <row r="78" ht="18.75" customHeight="1" spans="1:14">
      <c r="A78" s="141" t="s">
        <v>368</v>
      </c>
      <c r="B78" s="142">
        <f>ROUND(HLOOKUP($B$3,bs!$C$1:$AB$110,MATCH("*"&amp;A78&amp;"*",bs!$B$1:$B$110,),FALSE),0)/IF(ISNUMBER(SEARCH("亿",$A$2)),100000000,IF(ISNUMBER(SEARCH("万",$A$2)),10000,1))</f>
        <v>0</v>
      </c>
      <c r="C78" s="142" t="e">
        <f>ROUND(HLOOKUP($C$3,bs!$C$1:$AB$110,MATCH("*"&amp;A78&amp;"*",bs!$B$1:$B$110,),FALSE),0)/IF(ISNUMBER(SEARCH("亿",$A$2)),100000000,IF(ISNUMBER(SEARCH("万",$A$2)),10000,1))</f>
        <v>#N/A</v>
      </c>
      <c r="D78" s="142" t="e">
        <f>ROUND(HLOOKUP($D$3,bs!$C$1:$AB$110,MATCH("*"&amp;A78&amp;"*",bs!$B$1:$B$110,),FALSE),0)/IF(ISNUMBER(SEARCH("亿",$A$2)),100000000,IF(ISNUMBER(SEARCH("万",$A$2)),10000,1))</f>
        <v>#N/A</v>
      </c>
      <c r="E78" s="142" t="e">
        <f>ROUND(HLOOKUP($E$3,bs!$C$1:$AB$110,MATCH("*"&amp;A78&amp;"*",bs!$B$1:$B$110,),FALSE),0)/IF(ISNUMBER(SEARCH("亿",$A$2)),100000000,IF(ISNUMBER(SEARCH("万",$A$2)),10000,1))</f>
        <v>#N/A</v>
      </c>
      <c r="H78" s="143" t="e">
        <f t="shared" si="6"/>
        <v>#N/A</v>
      </c>
      <c r="I78" t="str">
        <f t="shared" si="7"/>
        <v>  其他流动负债 </v>
      </c>
      <c r="J78" t="e">
        <f>_xlfn.CONCAT(TEXT($E$3,"YYYY"),"年-",TEXT($C$3,"YYYY"),"年及",TEXT($B$3,"YYYY年MM月"),"，","拟承租人",I78,"分别为",TEXT(E78/10000,"0.00"),"亿元、",TEXT(D78/10000,"0.00"),"亿元、",TEXT(C78/10000,"0.00"),"亿元及",TEXT(B78/10000,"0.00"),"亿元。")</f>
        <v>#N/A</v>
      </c>
      <c r="M78" s="103" t="e">
        <f>(C78-D78)/D78</f>
        <v>#N/A</v>
      </c>
      <c r="N78" s="103" t="e">
        <f>(D78-E78)/E78</f>
        <v>#N/A</v>
      </c>
    </row>
    <row r="79" ht="18.75" customHeight="1" spans="1:14">
      <c r="A79" s="144" t="s">
        <v>535</v>
      </c>
      <c r="B79" s="142">
        <f>ROUND(HLOOKUP($B$3,bs!$C$1:$AB$110,MATCH("*"&amp;A79&amp;"*",bs!$B$1:$B$110,),FALSE),0)/IF(ISNUMBER(SEARCH("亿",$A$2)),100000000,IF(ISNUMBER(SEARCH("万",$A$2)),10000,1))</f>
        <v>0</v>
      </c>
      <c r="C79" s="142" t="e">
        <f>ROUND(HLOOKUP($C$3,bs!$C$1:$AB$110,MATCH("*"&amp;A79&amp;"*",bs!$B$1:$B$110,),FALSE),0)/IF(ISNUMBER(SEARCH("亿",$A$2)),100000000,IF(ISNUMBER(SEARCH("万",$A$2)),10000,1))</f>
        <v>#N/A</v>
      </c>
      <c r="D79" s="142" t="e">
        <f>ROUND(HLOOKUP($D$3,bs!$C$1:$AB$110,MATCH("*"&amp;A79&amp;"*",bs!$B$1:$B$110,),FALSE),0)/IF(ISNUMBER(SEARCH("亿",$A$2)),100000000,IF(ISNUMBER(SEARCH("万",$A$2)),10000,1))</f>
        <v>#N/A</v>
      </c>
      <c r="E79" s="142" t="e">
        <f>ROUND(HLOOKUP($E$3,bs!$C$1:$AB$110,MATCH("*"&amp;A79&amp;"*",bs!$B$1:$B$110,),FALSE),0)/IF(ISNUMBER(SEARCH("亿",$A$2)),100000000,IF(ISNUMBER(SEARCH("万",$A$2)),10000,1))</f>
        <v>#N/A</v>
      </c>
      <c r="H79" s="143" t="e">
        <f t="shared" si="6"/>
        <v>#N/A</v>
      </c>
      <c r="I79" t="str">
        <f t="shared" si="7"/>
        <v>流动负债合计</v>
      </c>
      <c r="J79" t="e">
        <f>_xlfn.CONCAT(TEXT($E$3,"YYYY"),"年-",TEXT($C$3,"YYYY"),"年及",TEXT($B$3,"YYYY年MM月"),"，","拟承租人",I79,"分别为",TEXT(E79/10000,"0.00"),"亿元、",TEXT(D79/10000,"0.00"),"亿元、",TEXT(C79/10000,"0.00"),"亿元及",TEXT(B79/10000,"0.00"),"亿元。")</f>
        <v>#N/A</v>
      </c>
      <c r="M79" s="103" t="e">
        <f>(C79-D79)/D79</f>
        <v>#N/A</v>
      </c>
      <c r="N79" s="103" t="e">
        <f>(D79-E79)/E79</f>
        <v>#N/A</v>
      </c>
    </row>
    <row r="80" ht="18.75" customHeight="1" spans="1:14">
      <c r="A80" s="141" t="s">
        <v>371</v>
      </c>
      <c r="B80" s="142">
        <f>ROUND(HLOOKUP($B$3,bs!$C$1:$AB$110,MATCH("*"&amp;A80&amp;"*",bs!$B$1:$B$110,),FALSE),0)/IF(ISNUMBER(SEARCH("亿",$A$2)),100000000,IF(ISNUMBER(SEARCH("万",$A$2)),10000,1))</f>
        <v>0</v>
      </c>
      <c r="C80" s="142" t="e">
        <f>ROUND(HLOOKUP($C$3,bs!$C$1:$AB$110,MATCH("*"&amp;A80&amp;"*",bs!$B$1:$B$110,),FALSE),0)/IF(ISNUMBER(SEARCH("亿",$A$2)),100000000,IF(ISNUMBER(SEARCH("万",$A$2)),10000,1))</f>
        <v>#N/A</v>
      </c>
      <c r="D80" s="142" t="e">
        <f>ROUND(HLOOKUP($D$3,bs!$C$1:$AB$110,MATCH("*"&amp;A80&amp;"*",bs!$B$1:$B$110,),FALSE),0)/IF(ISNUMBER(SEARCH("亿",$A$2)),100000000,IF(ISNUMBER(SEARCH("万",$A$2)),10000,1))</f>
        <v>#N/A</v>
      </c>
      <c r="E80" s="142" t="e">
        <f>ROUND(HLOOKUP($E$3,bs!$C$1:$AB$110,MATCH("*"&amp;A80&amp;"*",bs!$B$1:$B$110,),FALSE),0)/IF(ISNUMBER(SEARCH("亿",$A$2)),100000000,IF(ISNUMBER(SEARCH("万",$A$2)),10000,1))</f>
        <v>#N/A</v>
      </c>
      <c r="H80" s="143" t="e">
        <f t="shared" si="6"/>
        <v>#N/A</v>
      </c>
      <c r="I80" t="str">
        <f t="shared" si="7"/>
        <v>  保险合同准备金* </v>
      </c>
    </row>
    <row r="81" ht="18.75" customHeight="1" spans="1:14">
      <c r="A81" s="141" t="s">
        <v>372</v>
      </c>
      <c r="B81" s="142">
        <f>ROUND(HLOOKUP($B$3,bs!$C$1:$AB$110,MATCH("*"&amp;A81&amp;"*",bs!$B$1:$B$110,),FALSE),0)/IF(ISNUMBER(SEARCH("亿",$A$2)),100000000,IF(ISNUMBER(SEARCH("万",$A$2)),10000,1))</f>
        <v>0</v>
      </c>
      <c r="C81" s="142" t="e">
        <f>ROUND(HLOOKUP($C$3,bs!$C$1:$AB$110,MATCH("*"&amp;A81&amp;"*",bs!$B$1:$B$110,),FALSE),0)/IF(ISNUMBER(SEARCH("亿",$A$2)),100000000,IF(ISNUMBER(SEARCH("万",$A$2)),10000,1))</f>
        <v>#N/A</v>
      </c>
      <c r="D81" s="142" t="e">
        <f>ROUND(HLOOKUP($D$3,bs!$C$1:$AB$110,MATCH("*"&amp;A81&amp;"*",bs!$B$1:$B$110,),FALSE),0)/IF(ISNUMBER(SEARCH("亿",$A$2)),100000000,IF(ISNUMBER(SEARCH("万",$A$2)),10000,1))</f>
        <v>#N/A</v>
      </c>
      <c r="E81" s="142" t="e">
        <f>ROUND(HLOOKUP($E$3,bs!$C$1:$AB$110,MATCH("*"&amp;A81&amp;"*",bs!$B$1:$B$110,),FALSE),0)/IF(ISNUMBER(SEARCH("亿",$A$2)),100000000,IF(ISNUMBER(SEARCH("万",$A$2)),10000,1))</f>
        <v>#N/A</v>
      </c>
      <c r="H81" s="143" t="e">
        <f t="shared" si="6"/>
        <v>#N/A</v>
      </c>
      <c r="I81" t="str">
        <f t="shared" si="7"/>
        <v>  长期借款 </v>
      </c>
      <c r="J81" t="e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#N/A</v>
      </c>
      <c r="M81" s="103" t="e">
        <f>(C81-D81)/D81</f>
        <v>#N/A</v>
      </c>
      <c r="N81" s="103" t="e">
        <f>(D81-E81)/E81</f>
        <v>#N/A</v>
      </c>
    </row>
    <row r="82" ht="18.75" customHeight="1" spans="1:14">
      <c r="A82" s="141" t="s">
        <v>373</v>
      </c>
      <c r="B82" s="142">
        <f>ROUND(HLOOKUP($B$3,bs!$C$1:$AB$110,MATCH("*"&amp;A82&amp;"*",bs!$B$1:$B$110,),FALSE),0)/IF(ISNUMBER(SEARCH("亿",$A$2)),100000000,IF(ISNUMBER(SEARCH("万",$A$2)),10000,1))</f>
        <v>0</v>
      </c>
      <c r="C82" s="142" t="e">
        <f>ROUND(HLOOKUP($C$3,bs!$C$1:$AB$110,MATCH("*"&amp;A82&amp;"*",bs!$B$1:$B$110,),FALSE),0)/IF(ISNUMBER(SEARCH("亿",$A$2)),100000000,IF(ISNUMBER(SEARCH("万",$A$2)),10000,1))</f>
        <v>#N/A</v>
      </c>
      <c r="D82" s="142" t="e">
        <f>ROUND(HLOOKUP($D$3,bs!$C$1:$AB$110,MATCH("*"&amp;A82&amp;"*",bs!$B$1:$B$110,),FALSE),0)/IF(ISNUMBER(SEARCH("亿",$A$2)),100000000,IF(ISNUMBER(SEARCH("万",$A$2)),10000,1))</f>
        <v>#N/A</v>
      </c>
      <c r="E82" s="142" t="e">
        <f>ROUND(HLOOKUP($E$3,bs!$C$1:$AB$110,MATCH("*"&amp;A82&amp;"*",bs!$B$1:$B$110,),FALSE),0)/IF(ISNUMBER(SEARCH("亿",$A$2)),100000000,IF(ISNUMBER(SEARCH("万",$A$2)),10000,1))</f>
        <v>#N/A</v>
      </c>
      <c r="H82" s="143" t="e">
        <f t="shared" si="6"/>
        <v>#N/A</v>
      </c>
      <c r="I82" t="str">
        <f t="shared" si="7"/>
        <v>  应付债券 </v>
      </c>
    </row>
    <row r="83" ht="18.75" customHeight="1" spans="1:14">
      <c r="A83" s="141" t="s">
        <v>374</v>
      </c>
      <c r="B83" s="142">
        <f>ROUND(HLOOKUP($B$3,bs!$C$1:$AB$110,MATCH("*"&amp;A83&amp;"*",bs!$B$1:$B$110,),FALSE),0)/IF(ISNUMBER(SEARCH("亿",$A$2)),100000000,IF(ISNUMBER(SEARCH("万",$A$2)),10000,1))</f>
        <v>0</v>
      </c>
      <c r="C83" s="142" t="e">
        <f>ROUND(HLOOKUP($C$3,bs!$C$1:$AB$110,MATCH("*"&amp;A83&amp;"*",bs!$B$1:$B$110,),FALSE),0)/IF(ISNUMBER(SEARCH("亿",$A$2)),100000000,IF(ISNUMBER(SEARCH("万",$A$2)),10000,1))</f>
        <v>#N/A</v>
      </c>
      <c r="D83" s="142" t="e">
        <f>ROUND(HLOOKUP($D$3,bs!$C$1:$AB$110,MATCH("*"&amp;A83&amp;"*",bs!$B$1:$B$110,),FALSE),0)/IF(ISNUMBER(SEARCH("亿",$A$2)),100000000,IF(ISNUMBER(SEARCH("万",$A$2)),10000,1))</f>
        <v>#N/A</v>
      </c>
      <c r="E83" s="142" t="e">
        <f>ROUND(HLOOKUP($E$3,bs!$C$1:$AB$110,MATCH("*"&amp;A83&amp;"*",bs!$B$1:$B$110,),FALSE),0)/IF(ISNUMBER(SEARCH("亿",$A$2)),100000000,IF(ISNUMBER(SEARCH("万",$A$2)),10000,1))</f>
        <v>#N/A</v>
      </c>
      <c r="H83" s="143" t="e">
        <f t="shared" si="6"/>
        <v>#N/A</v>
      </c>
      <c r="I83" t="str">
        <f t="shared" si="7"/>
        <v>    其中：优先股 </v>
      </c>
    </row>
    <row r="84" ht="18.75" customHeight="1" spans="1:14">
      <c r="A84" s="141" t="s">
        <v>375</v>
      </c>
      <c r="B84" s="142">
        <f>ROUND(HLOOKUP($B$3,bs!$C$1:$AB$110,MATCH("*"&amp;A84&amp;"*",bs!$B$1:$B$110,),FALSE),0)/IF(ISNUMBER(SEARCH("亿",$A$2)),100000000,IF(ISNUMBER(SEARCH("万",$A$2)),10000,1))</f>
        <v>0</v>
      </c>
      <c r="C84" s="142" t="e">
        <f>ROUND(HLOOKUP($C$3,bs!$C$1:$AB$110,MATCH("*"&amp;A84&amp;"*",bs!$B$1:$B$110,),FALSE),0)/IF(ISNUMBER(SEARCH("亿",$A$2)),100000000,IF(ISNUMBER(SEARCH("万",$A$2)),10000,1))</f>
        <v>#N/A</v>
      </c>
      <c r="D84" s="142" t="e">
        <f>ROUND(HLOOKUP($D$3,bs!$C$1:$AB$110,MATCH("*"&amp;A84&amp;"*",bs!$B$1:$B$110,),FALSE),0)/IF(ISNUMBER(SEARCH("亿",$A$2)),100000000,IF(ISNUMBER(SEARCH("万",$A$2)),10000,1))</f>
        <v>#N/A</v>
      </c>
      <c r="E84" s="142" t="e">
        <f>ROUND(HLOOKUP($E$3,bs!$C$1:$AB$110,MATCH("*"&amp;A84&amp;"*",bs!$B$1:$B$110,),FALSE),0)/IF(ISNUMBER(SEARCH("亿",$A$2)),100000000,IF(ISNUMBER(SEARCH("万",$A$2)),10000,1))</f>
        <v>#N/A</v>
      </c>
      <c r="H84" s="143" t="e">
        <f t="shared" si="6"/>
        <v>#N/A</v>
      </c>
      <c r="I84" t="str">
        <f t="shared" si="7"/>
        <v>          永续债 </v>
      </c>
    </row>
    <row r="85" ht="18.75" customHeight="1" spans="1:14">
      <c r="A85" s="141" t="s">
        <v>376</v>
      </c>
      <c r="B85" s="142">
        <f>ROUND(HLOOKUP($B$3,bs!$C$1:$AB$110,MATCH("*"&amp;A85&amp;"*",bs!$B$1:$B$110,),FALSE),0)/IF(ISNUMBER(SEARCH("亿",$A$2)),100000000,IF(ISNUMBER(SEARCH("万",$A$2)),10000,1))</f>
        <v>0</v>
      </c>
      <c r="C85" s="142" t="e">
        <f>ROUND(HLOOKUP($C$3,bs!$C$1:$AB$110,MATCH("*"&amp;A85&amp;"*",bs!$B$1:$B$110,),FALSE),0)/IF(ISNUMBER(SEARCH("亿",$A$2)),100000000,IF(ISNUMBER(SEARCH("万",$A$2)),10000,1))</f>
        <v>#N/A</v>
      </c>
      <c r="D85" s="142" t="e">
        <f>ROUND(HLOOKUP($D$3,bs!$C$1:$AB$110,MATCH("*"&amp;A85&amp;"*",bs!$B$1:$B$110,),FALSE),0)/IF(ISNUMBER(SEARCH("亿",$A$2)),100000000,IF(ISNUMBER(SEARCH("万",$A$2)),10000,1))</f>
        <v>#N/A</v>
      </c>
      <c r="E85" s="142" t="e">
        <f>ROUND(HLOOKUP($E$3,bs!$C$1:$AB$110,MATCH("*"&amp;A85&amp;"*",bs!$B$1:$B$110,),FALSE),0)/IF(ISNUMBER(SEARCH("亿",$A$2)),100000000,IF(ISNUMBER(SEARCH("万",$A$2)),10000,1))</f>
        <v>#N/A</v>
      </c>
      <c r="H85" s="143" t="e">
        <f t="shared" si="6"/>
        <v>#N/A</v>
      </c>
      <c r="I85" t="str">
        <f t="shared" si="7"/>
        <v>  租赁负债 </v>
      </c>
      <c r="J85" t="e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#N/A</v>
      </c>
      <c r="M85" s="103" t="e">
        <f>(C85-D85)/D85</f>
        <v>#N/A</v>
      </c>
      <c r="N85" s="103" t="e">
        <f>(D85-E85)/E85</f>
        <v>#N/A</v>
      </c>
    </row>
    <row r="86" ht="18.75" customHeight="1" spans="1:14">
      <c r="A86" s="141" t="s">
        <v>377</v>
      </c>
      <c r="B86" s="142">
        <f>ROUND(HLOOKUP($B$3,bs!$C$1:$AB$110,MATCH("*"&amp;A86&amp;"*",bs!$B$1:$B$110,),FALSE),0)/IF(ISNUMBER(SEARCH("亿",$A$2)),100000000,IF(ISNUMBER(SEARCH("万",$A$2)),10000,1))</f>
        <v>0</v>
      </c>
      <c r="C86" s="142" t="e">
        <f>ROUND(HLOOKUP($C$3,bs!$C$1:$AB$110,MATCH("*"&amp;A86&amp;"*",bs!$B$1:$B$110,),FALSE),0)/IF(ISNUMBER(SEARCH("亿",$A$2)),100000000,IF(ISNUMBER(SEARCH("万",$A$2)),10000,1))</f>
        <v>#N/A</v>
      </c>
      <c r="D86" s="142" t="e">
        <f>ROUND(HLOOKUP($D$3,bs!$C$1:$AB$110,MATCH("*"&amp;A86&amp;"*",bs!$B$1:$B$110,),FALSE),0)/IF(ISNUMBER(SEARCH("亿",$A$2)),100000000,IF(ISNUMBER(SEARCH("万",$A$2)),10000,1))</f>
        <v>#N/A</v>
      </c>
      <c r="E86" s="142" t="e">
        <f>ROUND(HLOOKUP($E$3,bs!$C$1:$AB$110,MATCH("*"&amp;A86&amp;"*",bs!$B$1:$B$110,),FALSE),0)/IF(ISNUMBER(SEARCH("亿",$A$2)),100000000,IF(ISNUMBER(SEARCH("万",$A$2)),10000,1))</f>
        <v>#N/A</v>
      </c>
      <c r="H86" s="143" t="e">
        <f t="shared" si="6"/>
        <v>#N/A</v>
      </c>
      <c r="I86" t="str">
        <f t="shared" si="7"/>
        <v>  专项应付款 </v>
      </c>
    </row>
    <row r="87" ht="18.75" customHeight="1" spans="1:14">
      <c r="A87" s="141" t="s">
        <v>378</v>
      </c>
      <c r="B87" s="142">
        <f>ROUND(HLOOKUP($B$3,bs!$C$1:$AB$110,MATCH("*"&amp;A87&amp;"*",bs!$B$1:$B$110,),FALSE),0)/IF(ISNUMBER(SEARCH("亿",$A$2)),100000000,IF(ISNUMBER(SEARCH("万",$A$2)),10000,1))</f>
        <v>0</v>
      </c>
      <c r="C87" s="142" t="e">
        <f>ROUND(HLOOKUP($C$3,bs!$C$1:$AB$110,MATCH("*"&amp;A87&amp;"*",bs!$B$1:$B$110,),FALSE),0)/IF(ISNUMBER(SEARCH("亿",$A$2)),100000000,IF(ISNUMBER(SEARCH("万",$A$2)),10000,1))</f>
        <v>#N/A</v>
      </c>
      <c r="D87" s="142" t="e">
        <f>ROUND(HLOOKUP($D$3,bs!$C$1:$AB$110,MATCH("*"&amp;A87&amp;"*",bs!$B$1:$B$110,),FALSE),0)/IF(ISNUMBER(SEARCH("亿",$A$2)),100000000,IF(ISNUMBER(SEARCH("万",$A$2)),10000,1))</f>
        <v>#N/A</v>
      </c>
      <c r="E87" s="142" t="e">
        <f>ROUND(HLOOKUP($E$3,bs!$C$1:$AB$110,MATCH("*"&amp;A87&amp;"*",bs!$B$1:$B$110,),FALSE),0)/IF(ISNUMBER(SEARCH("亿",$A$2)),100000000,IF(ISNUMBER(SEARCH("万",$A$2)),10000,1))</f>
        <v>#N/A</v>
      </c>
      <c r="H87" s="143" t="e">
        <f t="shared" si="6"/>
        <v>#N/A</v>
      </c>
      <c r="I87" t="str">
        <f t="shared" si="7"/>
        <v>  长期应付款 </v>
      </c>
      <c r="J87" t="e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#N/A</v>
      </c>
      <c r="M87" s="103" t="e">
        <f>(C87-D87)/D87</f>
        <v>#N/A</v>
      </c>
      <c r="N87" s="103" t="e">
        <f>(D87-E87)/E87</f>
        <v>#N/A</v>
      </c>
    </row>
    <row r="88" ht="18.75" customHeight="1" spans="1:14">
      <c r="A88" s="141" t="s">
        <v>379</v>
      </c>
      <c r="B88" s="142">
        <f>ROUND(HLOOKUP($B$3,bs!$C$1:$AB$110,MATCH("*"&amp;A88&amp;"*",bs!$B$1:$B$110,),FALSE),0)/IF(ISNUMBER(SEARCH("亿",$A$2)),100000000,IF(ISNUMBER(SEARCH("万",$A$2)),10000,1))</f>
        <v>0</v>
      </c>
      <c r="C88" s="142" t="e">
        <f>ROUND(HLOOKUP($C$3,bs!$C$1:$AB$110,MATCH("*"&amp;A88&amp;"*",bs!$B$1:$B$110,),FALSE),0)/IF(ISNUMBER(SEARCH("亿",$A$2)),100000000,IF(ISNUMBER(SEARCH("万",$A$2)),10000,1))</f>
        <v>#N/A</v>
      </c>
      <c r="D88" s="142" t="e">
        <f>ROUND(HLOOKUP($D$3,bs!$C$1:$AB$110,MATCH("*"&amp;A88&amp;"*",bs!$B$1:$B$110,),FALSE),0)/IF(ISNUMBER(SEARCH("亿",$A$2)),100000000,IF(ISNUMBER(SEARCH("万",$A$2)),10000,1))</f>
        <v>#N/A</v>
      </c>
      <c r="E88" s="142" t="e">
        <f>ROUND(HLOOKUP($E$3,bs!$C$1:$AB$110,MATCH("*"&amp;A88&amp;"*",bs!$B$1:$B$110,),FALSE),0)/IF(ISNUMBER(SEARCH("亿",$A$2)),100000000,IF(ISNUMBER(SEARCH("万",$A$2)),10000,1))</f>
        <v>#N/A</v>
      </c>
      <c r="H88" s="143" t="e">
        <f t="shared" si="6"/>
        <v>#N/A</v>
      </c>
      <c r="I88" t="str">
        <f t="shared" si="7"/>
        <v>  长期应付职工薪酬</v>
      </c>
    </row>
    <row r="89" ht="18.75" customHeight="1" spans="1:14">
      <c r="A89" s="141" t="s">
        <v>380</v>
      </c>
      <c r="B89" s="142">
        <f>ROUND(HLOOKUP($B$3,bs!$C$1:$AB$110,MATCH("*"&amp;A89&amp;"*",bs!$B$1:$B$110,),FALSE),0)/IF(ISNUMBER(SEARCH("亿",$A$2)),100000000,IF(ISNUMBER(SEARCH("万",$A$2)),10000,1))</f>
        <v>0</v>
      </c>
      <c r="C89" s="142" t="e">
        <f>ROUND(HLOOKUP($C$3,bs!$C$1:$AB$110,MATCH("*"&amp;A89&amp;"*",bs!$B$1:$B$110,),FALSE),0)/IF(ISNUMBER(SEARCH("亿",$A$2)),100000000,IF(ISNUMBER(SEARCH("万",$A$2)),10000,1))</f>
        <v>#N/A</v>
      </c>
      <c r="D89" s="142" t="e">
        <f>ROUND(HLOOKUP($D$3,bs!$C$1:$AB$110,MATCH("*"&amp;A89&amp;"*",bs!$B$1:$B$110,),FALSE),0)/IF(ISNUMBER(SEARCH("亿",$A$2)),100000000,IF(ISNUMBER(SEARCH("万",$A$2)),10000,1))</f>
        <v>#N/A</v>
      </c>
      <c r="E89" s="142" t="e">
        <f>ROUND(HLOOKUP($E$3,bs!$C$1:$AB$110,MATCH("*"&amp;A89&amp;"*",bs!$B$1:$B$110,),FALSE),0)/IF(ISNUMBER(SEARCH("亿",$A$2)),100000000,IF(ISNUMBER(SEARCH("万",$A$2)),10000,1))</f>
        <v>#N/A</v>
      </c>
      <c r="H89" s="143" t="e">
        <f t="shared" si="6"/>
        <v>#N/A</v>
      </c>
      <c r="I89" t="str">
        <f t="shared" si="7"/>
        <v>  预计负债 </v>
      </c>
    </row>
    <row r="90" ht="18.75" customHeight="1" spans="1:14">
      <c r="A90" s="141" t="s">
        <v>381</v>
      </c>
      <c r="B90" s="142">
        <f>ROUND(HLOOKUP($B$3,bs!$C$1:$AB$110,MATCH("*"&amp;A90&amp;"*",bs!$B$1:$B$110,),FALSE),0)/IF(ISNUMBER(SEARCH("亿",$A$2)),100000000,IF(ISNUMBER(SEARCH("万",$A$2)),10000,1))</f>
        <v>0</v>
      </c>
      <c r="C90" s="142" t="e">
        <f>ROUND(HLOOKUP($C$3,bs!$C$1:$AB$110,MATCH("*"&amp;A90&amp;"*",bs!$B$1:$B$110,),FALSE),0)/IF(ISNUMBER(SEARCH("亿",$A$2)),100000000,IF(ISNUMBER(SEARCH("万",$A$2)),10000,1))</f>
        <v>#N/A</v>
      </c>
      <c r="D90" s="142" t="e">
        <f>ROUND(HLOOKUP($D$3,bs!$C$1:$AB$110,MATCH("*"&amp;A90&amp;"*",bs!$B$1:$B$110,),FALSE),0)/IF(ISNUMBER(SEARCH("亿",$A$2)),100000000,IF(ISNUMBER(SEARCH("万",$A$2)),10000,1))</f>
        <v>#N/A</v>
      </c>
      <c r="E90" s="142" t="e">
        <f>ROUND(HLOOKUP($E$3,bs!$C$1:$AB$110,MATCH("*"&amp;A90&amp;"*",bs!$B$1:$B$110,),FALSE),0)/IF(ISNUMBER(SEARCH("亿",$A$2)),100000000,IF(ISNUMBER(SEARCH("万",$A$2)),10000,1))</f>
        <v>#N/A</v>
      </c>
      <c r="H90" s="143" t="e">
        <f t="shared" si="6"/>
        <v>#N/A</v>
      </c>
      <c r="I90" t="str">
        <f t="shared" si="7"/>
        <v>  递延收益 </v>
      </c>
      <c r="J90" t="e">
        <f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#N/A</v>
      </c>
      <c r="M90" s="103" t="e">
        <f>(C90-D90)/D90</f>
        <v>#N/A</v>
      </c>
      <c r="N90" s="103" t="e">
        <f>(D90-E90)/E90</f>
        <v>#N/A</v>
      </c>
    </row>
    <row r="91" ht="18.75" customHeight="1" spans="1:14">
      <c r="A91" s="141" t="s">
        <v>382</v>
      </c>
      <c r="B91" s="142">
        <f>ROUND(HLOOKUP($B$3,bs!$C$1:$AB$110,MATCH("*"&amp;A91&amp;"*",bs!$B$1:$B$110,),FALSE),0)/IF(ISNUMBER(SEARCH("亿",$A$2)),100000000,IF(ISNUMBER(SEARCH("万",$A$2)),10000,1))</f>
        <v>0</v>
      </c>
      <c r="C91" s="142" t="e">
        <f>ROUND(HLOOKUP($C$3,bs!$C$1:$AB$110,MATCH("*"&amp;A91&amp;"*",bs!$B$1:$B$110,),FALSE),0)/IF(ISNUMBER(SEARCH("亿",$A$2)),100000000,IF(ISNUMBER(SEARCH("万",$A$2)),10000,1))</f>
        <v>#N/A</v>
      </c>
      <c r="D91" s="142" t="e">
        <f>ROUND(HLOOKUP($D$3,bs!$C$1:$AB$110,MATCH("*"&amp;A91&amp;"*",bs!$B$1:$B$110,),FALSE),0)/IF(ISNUMBER(SEARCH("亿",$A$2)),100000000,IF(ISNUMBER(SEARCH("万",$A$2)),10000,1))</f>
        <v>#N/A</v>
      </c>
      <c r="E91" s="142" t="e">
        <f>ROUND(HLOOKUP($E$3,bs!$C$1:$AB$110,MATCH("*"&amp;A91&amp;"*",bs!$B$1:$B$110,),FALSE),0)/IF(ISNUMBER(SEARCH("亿",$A$2)),100000000,IF(ISNUMBER(SEARCH("万",$A$2)),10000,1))</f>
        <v>#N/A</v>
      </c>
      <c r="H91" s="143" t="e">
        <f t="shared" si="6"/>
        <v>#N/A</v>
      </c>
      <c r="I91" t="str">
        <f t="shared" si="7"/>
        <v>  递延所得税负债 </v>
      </c>
      <c r="J91" t="e">
        <f>_xlfn.CONCAT(TEXT($E$3,"YYYY"),"年-",TEXT($C$3,"YYYY"),"年及",TEXT($B$3,"YYYY年MM月"),"，","拟承租人",I91,"分别为",TEXT(E91/10000,"0.00"),"亿元、",TEXT(D91/10000,"0.00"),"亿元、",TEXT(C91/10000,"0.00"),"亿元及",TEXT(B91/10000,"0.00"),"亿元。")</f>
        <v>#N/A</v>
      </c>
      <c r="M91" s="103" t="e">
        <f>(C91-D91)/D91</f>
        <v>#N/A</v>
      </c>
      <c r="N91" s="103" t="e">
        <f>(D91-E91)/E91</f>
        <v>#N/A</v>
      </c>
    </row>
    <row r="92" ht="18.75" customHeight="1" spans="1:14">
      <c r="A92" s="141" t="s">
        <v>383</v>
      </c>
      <c r="B92" s="142">
        <f>ROUND(HLOOKUP($B$3,bs!$C$1:$AB$110,MATCH("*"&amp;A92&amp;"*",bs!$B$1:$B$110,),FALSE),0)/IF(ISNUMBER(SEARCH("亿",$A$2)),100000000,IF(ISNUMBER(SEARCH("万",$A$2)),10000,1))</f>
        <v>0</v>
      </c>
      <c r="C92" s="142" t="e">
        <f>ROUND(HLOOKUP($C$3,bs!$C$1:$AB$110,MATCH("*"&amp;A92&amp;"*",bs!$B$1:$B$110,),FALSE),0)/IF(ISNUMBER(SEARCH("亿",$A$2)),100000000,IF(ISNUMBER(SEARCH("万",$A$2)),10000,1))</f>
        <v>#N/A</v>
      </c>
      <c r="D92" s="142" t="e">
        <f>ROUND(HLOOKUP($D$3,bs!$C$1:$AB$110,MATCH("*"&amp;A92&amp;"*",bs!$B$1:$B$110,),FALSE),0)/IF(ISNUMBER(SEARCH("亿",$A$2)),100000000,IF(ISNUMBER(SEARCH("万",$A$2)),10000,1))</f>
        <v>#N/A</v>
      </c>
      <c r="E92" s="142" t="e">
        <f>ROUND(HLOOKUP($E$3,bs!$C$1:$AB$110,MATCH("*"&amp;A92&amp;"*",bs!$B$1:$B$110,),FALSE),0)/IF(ISNUMBER(SEARCH("亿",$A$2)),100000000,IF(ISNUMBER(SEARCH("万",$A$2)),10000,1))</f>
        <v>#N/A</v>
      </c>
      <c r="H92" s="143" t="e">
        <f t="shared" si="6"/>
        <v>#N/A</v>
      </c>
      <c r="I92" t="str">
        <f t="shared" si="7"/>
        <v>  其他非流动负债 </v>
      </c>
    </row>
    <row r="93" ht="18.75" customHeight="1" spans="1:14">
      <c r="A93" s="144" t="s">
        <v>536</v>
      </c>
      <c r="B93" s="142">
        <f>ROUND(HLOOKUP($B$3,bs!$C$1:$AB$110,MATCH("*"&amp;A93&amp;"*",bs!$B$1:$B$110,),FALSE),0)/IF(ISNUMBER(SEARCH("亿",$A$2)),100000000,IF(ISNUMBER(SEARCH("万",$A$2)),10000,1))</f>
        <v>0</v>
      </c>
      <c r="C93" s="142" t="e">
        <f>ROUND(HLOOKUP($C$3,bs!$C$1:$AB$110,MATCH("*"&amp;A93&amp;"*",bs!$B$1:$B$110,),FALSE),0)/IF(ISNUMBER(SEARCH("亿",$A$2)),100000000,IF(ISNUMBER(SEARCH("万",$A$2)),10000,1))</f>
        <v>#N/A</v>
      </c>
      <c r="D93" s="142" t="e">
        <f>ROUND(HLOOKUP($D$3,bs!$C$1:$AB$110,MATCH("*"&amp;A93&amp;"*",bs!$B$1:$B$110,),FALSE),0)/IF(ISNUMBER(SEARCH("亿",$A$2)),100000000,IF(ISNUMBER(SEARCH("万",$A$2)),10000,1))</f>
        <v>#N/A</v>
      </c>
      <c r="E93" s="142" t="e">
        <f>ROUND(HLOOKUP($E$3,bs!$C$1:$AB$110,MATCH("*"&amp;A93&amp;"*",bs!$B$1:$B$110,),FALSE),0)/IF(ISNUMBER(SEARCH("亿",$A$2)),100000000,IF(ISNUMBER(SEARCH("万",$A$2)),10000,1))</f>
        <v>#N/A</v>
      </c>
      <c r="H93" s="143" t="e">
        <f t="shared" si="6"/>
        <v>#N/A</v>
      </c>
      <c r="I93" t="str">
        <f t="shared" si="7"/>
        <v>非流动负债合计</v>
      </c>
      <c r="J93" t="e">
        <f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#N/A</v>
      </c>
      <c r="M93" s="103" t="e">
        <f>(C93-D93)/D93</f>
        <v>#N/A</v>
      </c>
      <c r="N93" s="103" t="e">
        <f>(D93-E93)/E93</f>
        <v>#N/A</v>
      </c>
    </row>
    <row r="94" ht="18.75" customHeight="1" spans="1:14">
      <c r="A94" s="144" t="s">
        <v>537</v>
      </c>
      <c r="B94" s="142">
        <f>ROUND(HLOOKUP($B$3,bs!$C$1:$AB$110,MATCH("*"&amp;A94,bs!$B$1:$B$110,),FALSE),0)/IF(ISNUMBER(SEARCH("亿",$A$2)),100000000,IF(ISNUMBER(SEARCH("万",$A$2)),10000,1))</f>
        <v>0</v>
      </c>
      <c r="C94" s="142" t="e">
        <f>ROUND(HLOOKUP($C$3,bs!$C$1:$AB$110,MATCH("*"&amp;A94,bs!$B$1:$B$110,),FALSE),0)/IF(ISNUMBER(SEARCH("亿",$A$2)),100000000,IF(ISNUMBER(SEARCH("万",$A$2)),10000,1))</f>
        <v>#N/A</v>
      </c>
      <c r="D94" s="142" t="e">
        <f>ROUND(HLOOKUP($D$3,bs!$C$1:$AB$110,MATCH("*"&amp;A94,bs!$B$1:$B$110,),FALSE),0)/IF(ISNUMBER(SEARCH("亿",$A$2)),100000000,IF(ISNUMBER(SEARCH("万",$A$2)),10000,1))</f>
        <v>#N/A</v>
      </c>
      <c r="E94" s="142" t="e">
        <f>ROUND(HLOOKUP($E$3,bs!$C$1:$AB$110,MATCH("*"&amp;A94,bs!$B$1:$B$110,),FALSE),0)/IF(ISNUMBER(SEARCH("亿",$A$2)),100000000,IF(ISNUMBER(SEARCH("万",$A$2)),10000,1))</f>
        <v>#N/A</v>
      </c>
      <c r="F94" s="20" t="s">
        <v>538</v>
      </c>
      <c r="H94" s="143" t="e">
        <f t="shared" si="6"/>
        <v>#N/A</v>
      </c>
      <c r="I94" t="str">
        <f t="shared" si="7"/>
        <v>负债合计</v>
      </c>
      <c r="J94" t="e">
        <f>_xlfn.CONCAT(TEXT($E$3,"YYYY"),"年-",TEXT($C$3,"YYYY"),"年及",TEXT($B$3,"YYYY年MM月"),"，","拟承租人",I94,"分别为",TEXT(E94/10000,"0.00"),"亿元、",TEXT(D94/10000,"0.00"),"亿元、",TEXT(C94/10000,"0.00"),"亿元及",TEXT(B94/10000,"0.00"),"亿元。")</f>
        <v>#N/A</v>
      </c>
      <c r="M94" s="103" t="e">
        <f>(C94-D94)/D94</f>
        <v>#N/A</v>
      </c>
      <c r="N94" s="103" t="e">
        <f>(D94-E94)/E94</f>
        <v>#N/A</v>
      </c>
    </row>
    <row r="95" ht="18.75" customHeight="1" spans="1:14">
      <c r="A95" s="141" t="s">
        <v>387</v>
      </c>
      <c r="B95" s="142">
        <f>ROUND(HLOOKUP($B$3,bs!$C$1:$AB$110,MATCH("*"&amp;A95&amp;"*",bs!$B$1:$B$110,),FALSE),0)/IF(ISNUMBER(SEARCH("亿",$A$2)),100000000,IF(ISNUMBER(SEARCH("万",$A$2)),10000,1))</f>
        <v>0</v>
      </c>
      <c r="C95" s="142" t="e">
        <f>ROUND(HLOOKUP($C$3,bs!$C$1:$AB$110,MATCH("*"&amp;A95&amp;"*",bs!$B$1:$B$110,),FALSE),0)/IF(ISNUMBER(SEARCH("亿",$A$2)),100000000,IF(ISNUMBER(SEARCH("万",$A$2)),10000,1))</f>
        <v>#N/A</v>
      </c>
      <c r="D95" s="142" t="e">
        <f>ROUND(HLOOKUP($D$3,bs!$C$1:$AB$110,MATCH("*"&amp;A95&amp;"*",bs!$B$1:$B$110,),FALSE),0)/IF(ISNUMBER(SEARCH("亿",$A$2)),100000000,IF(ISNUMBER(SEARCH("万",$A$2)),10000,1))</f>
        <v>#N/A</v>
      </c>
      <c r="E95" s="142" t="e">
        <f>ROUND(HLOOKUP($E$3,bs!$C$1:$AB$110,MATCH("*"&amp;A95&amp;"*",bs!$B$1:$B$110,),FALSE),0)/IF(ISNUMBER(SEARCH("亿",$A$2)),100000000,IF(ISNUMBER(SEARCH("万",$A$2)),10000,1))</f>
        <v>#N/A</v>
      </c>
      <c r="H95" s="143" t="e">
        <f t="shared" si="6"/>
        <v>#N/A</v>
      </c>
      <c r="I95" t="str">
        <f t="shared" si="7"/>
        <v>  实收资本（或股本） </v>
      </c>
      <c r="J95" t="e">
        <f>_xlfn.CONCAT(TEXT($E$3,"YYYY"),"年-",TEXT($C$3,"YYYY"),"年及",TEXT($B$3,"YYYY年MM月"),"，","拟承租人",I95,"分别为",TEXT(E95/10000,"0.00"),"亿元、",TEXT(D95/10000,"0.00"),"亿元、",TEXT(C95/10000,"0.00"),"亿元及",TEXT(B95/10000,"0.00"),"亿元。")</f>
        <v>#N/A</v>
      </c>
      <c r="M95" s="103" t="e">
        <f>(C95-D95)/D95</f>
        <v>#N/A</v>
      </c>
      <c r="N95" s="103" t="e">
        <f>(D95-E95)/E95</f>
        <v>#N/A</v>
      </c>
    </row>
    <row r="96" ht="18.75" customHeight="1" spans="1:14">
      <c r="A96" s="141" t="s">
        <v>388</v>
      </c>
      <c r="B96" s="142">
        <f>ROUND(HLOOKUP($B$3,bs!$C$1:$AB$110,MATCH("*"&amp;A96&amp;"*",bs!$B$1:$B$110,),FALSE),0)/IF(ISNUMBER(SEARCH("亿",$A$2)),100000000,IF(ISNUMBER(SEARCH("万",$A$2)),10000,1))</f>
        <v>0</v>
      </c>
      <c r="C96" s="142" t="e">
        <f>ROUND(HLOOKUP($C$3,bs!$C$1:$AB$110,MATCH("*"&amp;A96&amp;"*",bs!$B$1:$B$110,),FALSE),0)/IF(ISNUMBER(SEARCH("亿",$A$2)),100000000,IF(ISNUMBER(SEARCH("万",$A$2)),10000,1))</f>
        <v>#N/A</v>
      </c>
      <c r="D96" s="142" t="e">
        <f>ROUND(HLOOKUP($D$3,bs!$C$1:$AB$110,MATCH("*"&amp;A96&amp;"*",bs!$B$1:$B$110,),FALSE),0)/IF(ISNUMBER(SEARCH("亿",$A$2)),100000000,IF(ISNUMBER(SEARCH("万",$A$2)),10000,1))</f>
        <v>#N/A</v>
      </c>
      <c r="E96" s="142" t="e">
        <f>ROUND(HLOOKUP($E$3,bs!$C$1:$AB$110,MATCH("*"&amp;A96&amp;"*",bs!$B$1:$B$110,),FALSE),0)/IF(ISNUMBER(SEARCH("亿",$A$2)),100000000,IF(ISNUMBER(SEARCH("万",$A$2)),10000,1))</f>
        <v>#N/A</v>
      </c>
      <c r="H96" s="143" t="e">
        <f t="shared" si="6"/>
        <v>#N/A</v>
      </c>
      <c r="I96" t="str">
        <f t="shared" si="7"/>
        <v>  其他权益工具 </v>
      </c>
    </row>
    <row r="97" ht="18.75" customHeight="1" spans="1:14">
      <c r="A97" s="141" t="s">
        <v>374</v>
      </c>
      <c r="B97" s="142">
        <f>ROUND(HLOOKUP($B$3,bs!$C$1:$AB$110,MATCH("*"&amp;A97&amp;"*",bs!$B$1:$B$110,),FALSE),0)/IF(ISNUMBER(SEARCH("亿",$A$2)),100000000,IF(ISNUMBER(SEARCH("万",$A$2)),10000,1))</f>
        <v>0</v>
      </c>
      <c r="C97" s="142" t="e">
        <f>ROUND(HLOOKUP($C$3,bs!$C$1:$AB$110,MATCH("*"&amp;A97&amp;"*",bs!$B$1:$B$110,),FALSE),0)/IF(ISNUMBER(SEARCH("亿",$A$2)),100000000,IF(ISNUMBER(SEARCH("万",$A$2)),10000,1))</f>
        <v>#N/A</v>
      </c>
      <c r="D97" s="142" t="e">
        <f>ROUND(HLOOKUP($D$3,bs!$C$1:$AB$110,MATCH("*"&amp;A97&amp;"*",bs!$B$1:$B$110,),FALSE),0)/IF(ISNUMBER(SEARCH("亿",$A$2)),100000000,IF(ISNUMBER(SEARCH("万",$A$2)),10000,1))</f>
        <v>#N/A</v>
      </c>
      <c r="E97" s="142" t="e">
        <f>ROUND(HLOOKUP($E$3,bs!$C$1:$AB$110,MATCH("*"&amp;A97&amp;"*",bs!$B$1:$B$110,),FALSE),0)/IF(ISNUMBER(SEARCH("亿",$A$2)),100000000,IF(ISNUMBER(SEARCH("万",$A$2)),10000,1))</f>
        <v>#N/A</v>
      </c>
      <c r="H97" s="143" t="e">
        <f t="shared" si="6"/>
        <v>#N/A</v>
      </c>
      <c r="I97" t="str">
        <f t="shared" si="7"/>
        <v>    其中：优先股 </v>
      </c>
    </row>
    <row r="98" ht="18.75" customHeight="1" spans="1:14">
      <c r="A98" s="141" t="s">
        <v>375</v>
      </c>
      <c r="B98" s="142">
        <f>ROUND(HLOOKUP($B$3,bs!$C$1:$AB$110,MATCH("*"&amp;A98&amp;"*",bs!$B$1:$B$110,),FALSE),0)/IF(ISNUMBER(SEARCH("亿",$A$2)),100000000,IF(ISNUMBER(SEARCH("万",$A$2)),10000,1))</f>
        <v>0</v>
      </c>
      <c r="C98" s="142" t="e">
        <f>ROUND(HLOOKUP($C$3,bs!$C$1:$AB$110,MATCH("*"&amp;A98&amp;"*",bs!$B$1:$B$110,),FALSE),0)/IF(ISNUMBER(SEARCH("亿",$A$2)),100000000,IF(ISNUMBER(SEARCH("万",$A$2)),10000,1))</f>
        <v>#N/A</v>
      </c>
      <c r="D98" s="142" t="e">
        <f>ROUND(HLOOKUP($D$3,bs!$C$1:$AB$110,MATCH("*"&amp;A98&amp;"*",bs!$B$1:$B$110,),FALSE),0)/IF(ISNUMBER(SEARCH("亿",$A$2)),100000000,IF(ISNUMBER(SEARCH("万",$A$2)),10000,1))</f>
        <v>#N/A</v>
      </c>
      <c r="E98" s="142" t="e">
        <f>ROUND(HLOOKUP($E$3,bs!$C$1:$AB$110,MATCH("*"&amp;A98&amp;"*",bs!$B$1:$B$110,),FALSE),0)/IF(ISNUMBER(SEARCH("亿",$A$2)),100000000,IF(ISNUMBER(SEARCH("万",$A$2)),10000,1))</f>
        <v>#N/A</v>
      </c>
      <c r="H98" s="143" t="e">
        <f t="shared" si="6"/>
        <v>#N/A</v>
      </c>
      <c r="I98" t="str">
        <f t="shared" si="7"/>
        <v>          永续债 </v>
      </c>
    </row>
    <row r="99" ht="18.75" customHeight="1" spans="1:14">
      <c r="A99" s="141" t="s">
        <v>389</v>
      </c>
      <c r="B99" s="142">
        <f>ROUND(HLOOKUP($B$3,bs!$C$1:$AB$110,MATCH("*"&amp;A99&amp;"*",bs!$B$1:$B$110,),FALSE),0)/IF(ISNUMBER(SEARCH("亿",$A$2)),100000000,IF(ISNUMBER(SEARCH("万",$A$2)),10000,1))</f>
        <v>0</v>
      </c>
      <c r="C99" s="142" t="e">
        <f>ROUND(HLOOKUP($C$3,bs!$C$1:$AB$110,MATCH("*"&amp;A99&amp;"*",bs!$B$1:$B$110,),FALSE),0)/IF(ISNUMBER(SEARCH("亿",$A$2)),100000000,IF(ISNUMBER(SEARCH("万",$A$2)),10000,1))</f>
        <v>#N/A</v>
      </c>
      <c r="D99" s="142" t="e">
        <f>ROUND(HLOOKUP($D$3,bs!$C$1:$AB$110,MATCH("*"&amp;A99&amp;"*",bs!$B$1:$B$110,),FALSE),0)/IF(ISNUMBER(SEARCH("亿",$A$2)),100000000,IF(ISNUMBER(SEARCH("万",$A$2)),10000,1))</f>
        <v>#N/A</v>
      </c>
      <c r="E99" s="142" t="e">
        <f>ROUND(HLOOKUP($E$3,bs!$C$1:$AB$110,MATCH("*"&amp;A99&amp;"*",bs!$B$1:$B$110,),FALSE),0)/IF(ISNUMBER(SEARCH("亿",$A$2)),100000000,IF(ISNUMBER(SEARCH("万",$A$2)),10000,1))</f>
        <v>#N/A</v>
      </c>
      <c r="H99" s="143" t="e">
        <f t="shared" si="6"/>
        <v>#N/A</v>
      </c>
      <c r="I99" t="str">
        <f t="shared" si="7"/>
        <v>  资本公积 </v>
      </c>
      <c r="J99" t="e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#N/A</v>
      </c>
      <c r="M99" s="103" t="e">
        <f>(C99-D99)/D99</f>
        <v>#N/A</v>
      </c>
      <c r="N99" s="103" t="e">
        <f>(D99-E99)/E99</f>
        <v>#N/A</v>
      </c>
    </row>
    <row r="100" ht="18.75" customHeight="1" spans="1:14">
      <c r="A100" s="141" t="s">
        <v>390</v>
      </c>
      <c r="B100" s="142">
        <f>ROUND(HLOOKUP($B$3,bs!$C$1:$AB$110,MATCH("*"&amp;A100&amp;"*",bs!$B$1:$B$110,),FALSE),0)/IF(ISNUMBER(SEARCH("亿",$A$2)),100000000,IF(ISNUMBER(SEARCH("万",$A$2)),10000,1))</f>
        <v>0</v>
      </c>
      <c r="C100" s="142" t="e">
        <f>ROUND(HLOOKUP($C$3,bs!$C$1:$AB$110,MATCH("*"&amp;A100&amp;"*",bs!$B$1:$B$110,),FALSE),0)/IF(ISNUMBER(SEARCH("亿",$A$2)),100000000,IF(ISNUMBER(SEARCH("万",$A$2)),10000,1))</f>
        <v>#N/A</v>
      </c>
      <c r="D100" s="142" t="e">
        <f>ROUND(HLOOKUP($D$3,bs!$C$1:$AB$110,MATCH("*"&amp;A100&amp;"*",bs!$B$1:$B$110,),FALSE),0)/IF(ISNUMBER(SEARCH("亿",$A$2)),100000000,IF(ISNUMBER(SEARCH("万",$A$2)),10000,1))</f>
        <v>#N/A</v>
      </c>
      <c r="E100" s="142" t="e">
        <f>ROUND(HLOOKUP($E$3,bs!$C$1:$AB$110,MATCH("*"&amp;A100&amp;"*",bs!$B$1:$B$110,),FALSE),0)/IF(ISNUMBER(SEARCH("亿",$A$2)),100000000,IF(ISNUMBER(SEARCH("万",$A$2)),10000,1))</f>
        <v>#N/A</v>
      </c>
      <c r="H100" s="143" t="e">
        <f t="shared" si="6"/>
        <v>#N/A</v>
      </c>
      <c r="I100" t="str">
        <f t="shared" si="7"/>
        <v>  减：库存股 </v>
      </c>
    </row>
    <row r="101" ht="18.75" customHeight="1" spans="1:14">
      <c r="A101" s="141" t="s">
        <v>391</v>
      </c>
      <c r="B101" s="142">
        <f>ROUND(HLOOKUP($B$3,bs!$C$1:$AB$110,MATCH("*"&amp;A101&amp;"*",bs!$B$1:$B$110,),FALSE),0)/IF(ISNUMBER(SEARCH("亿",$A$2)),100000000,IF(ISNUMBER(SEARCH("万",$A$2)),10000,1))</f>
        <v>0</v>
      </c>
      <c r="C101" s="142" t="e">
        <f>ROUND(HLOOKUP($C$3,bs!$C$1:$AB$110,MATCH("*"&amp;A101&amp;"*",bs!$B$1:$B$110,),FALSE),0)/IF(ISNUMBER(SEARCH("亿",$A$2)),100000000,IF(ISNUMBER(SEARCH("万",$A$2)),10000,1))</f>
        <v>#N/A</v>
      </c>
      <c r="D101" s="142" t="e">
        <f>ROUND(HLOOKUP($D$3,bs!$C$1:$AB$110,MATCH("*"&amp;A101&amp;"*",bs!$B$1:$B$110,),FALSE),0)/IF(ISNUMBER(SEARCH("亿",$A$2)),100000000,IF(ISNUMBER(SEARCH("万",$A$2)),10000,1))</f>
        <v>#N/A</v>
      </c>
      <c r="E101" s="142" t="e">
        <f>ROUND(HLOOKUP($E$3,bs!$C$1:$AB$110,MATCH("*"&amp;A101&amp;"*",bs!$B$1:$B$110,),FALSE),0)/IF(ISNUMBER(SEARCH("亿",$A$2)),100000000,IF(ISNUMBER(SEARCH("万",$A$2)),10000,1))</f>
        <v>#N/A</v>
      </c>
      <c r="H101" s="143" t="e">
        <f t="shared" si="6"/>
        <v>#N/A</v>
      </c>
      <c r="I101" t="str">
        <f t="shared" si="7"/>
        <v>  其他综合收益 </v>
      </c>
    </row>
    <row r="102" ht="18.75" customHeight="1" spans="1:14">
      <c r="A102" s="141" t="s">
        <v>392</v>
      </c>
      <c r="B102" s="142">
        <f>ROUND(HLOOKUP($B$3,bs!$C$1:$AB$110,MATCH("*"&amp;A102&amp;"*",bs!$B$1:$B$110,),FALSE),0)/IF(ISNUMBER(SEARCH("亿",$A$2)),100000000,IF(ISNUMBER(SEARCH("万",$A$2)),10000,1))</f>
        <v>0</v>
      </c>
      <c r="C102" s="142" t="e">
        <f>ROUND(HLOOKUP($C$3,bs!$C$1:$AB$110,MATCH("*"&amp;A102&amp;"*",bs!$B$1:$B$110,),FALSE),0)/IF(ISNUMBER(SEARCH("亿",$A$2)),100000000,IF(ISNUMBER(SEARCH("万",$A$2)),10000,1))</f>
        <v>#N/A</v>
      </c>
      <c r="D102" s="142" t="e">
        <f>ROUND(HLOOKUP($D$3,bs!$C$1:$AB$110,MATCH("*"&amp;A102&amp;"*",bs!$B$1:$B$110,),FALSE),0)/IF(ISNUMBER(SEARCH("亿",$A$2)),100000000,IF(ISNUMBER(SEARCH("万",$A$2)),10000,1))</f>
        <v>#N/A</v>
      </c>
      <c r="E102" s="142" t="e">
        <f>ROUND(HLOOKUP($E$3,bs!$C$1:$AB$110,MATCH("*"&amp;A102&amp;"*",bs!$B$1:$B$110,),FALSE),0)/IF(ISNUMBER(SEARCH("亿",$A$2)),100000000,IF(ISNUMBER(SEARCH("万",$A$2)),10000,1))</f>
        <v>#N/A</v>
      </c>
      <c r="H102" s="143" t="e">
        <f t="shared" si="6"/>
        <v>#N/A</v>
      </c>
      <c r="I102" t="str">
        <f t="shared" si="7"/>
        <v>  专项储备 400561</v>
      </c>
    </row>
    <row r="103" ht="18.75" customHeight="1" spans="1:14">
      <c r="A103" s="141" t="s">
        <v>393</v>
      </c>
      <c r="B103" s="142">
        <f>ROUND(HLOOKUP($B$3,bs!$C$1:$AB$110,MATCH("*"&amp;A103&amp;"*",bs!$B$1:$B$110,),FALSE),0)/IF(ISNUMBER(SEARCH("亿",$A$2)),100000000,IF(ISNUMBER(SEARCH("万",$A$2)),10000,1))</f>
        <v>0</v>
      </c>
      <c r="C103" s="142" t="e">
        <f>ROUND(HLOOKUP($C$3,bs!$C$1:$AB$110,MATCH("*"&amp;A103&amp;"*",bs!$B$1:$B$110,),FALSE),0)/IF(ISNUMBER(SEARCH("亿",$A$2)),100000000,IF(ISNUMBER(SEARCH("万",$A$2)),10000,1))</f>
        <v>#N/A</v>
      </c>
      <c r="D103" s="142" t="e">
        <f>ROUND(HLOOKUP($D$3,bs!$C$1:$AB$110,MATCH("*"&amp;A103&amp;"*",bs!$B$1:$B$110,),FALSE),0)/IF(ISNUMBER(SEARCH("亿",$A$2)),100000000,IF(ISNUMBER(SEARCH("万",$A$2)),10000,1))</f>
        <v>#N/A</v>
      </c>
      <c r="E103" s="142" t="e">
        <f>ROUND(HLOOKUP($E$3,bs!$C$1:$AB$110,MATCH("*"&amp;A103&amp;"*",bs!$B$1:$B$110,),FALSE),0)/IF(ISNUMBER(SEARCH("亿",$A$2)),100000000,IF(ISNUMBER(SEARCH("万",$A$2)),10000,1))</f>
        <v>#N/A</v>
      </c>
      <c r="H103" s="143" t="e">
        <f t="shared" si="6"/>
        <v>#N/A</v>
      </c>
      <c r="I103" t="str">
        <f t="shared" ref="I103:I134" si="8">A103</f>
        <v>  盈余公积 </v>
      </c>
      <c r="J103" t="e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#N/A</v>
      </c>
      <c r="M103" s="103" t="e">
        <f>(C103-D103)/D103</f>
        <v>#N/A</v>
      </c>
      <c r="N103" s="103" t="e">
        <f>(D103-E103)/E103</f>
        <v>#N/A</v>
      </c>
    </row>
    <row r="104" ht="18.75" customHeight="1" spans="1:14">
      <c r="A104" s="141" t="s">
        <v>394</v>
      </c>
      <c r="B104" s="142">
        <f>ROUND(HLOOKUP($B$3,bs!$C$1:$AB$110,MATCH("*"&amp;A104&amp;"*",bs!$B$1:$B$110,),FALSE),0)/IF(ISNUMBER(SEARCH("亿",$A$2)),100000000,IF(ISNUMBER(SEARCH("万",$A$2)),10000,1))</f>
        <v>0</v>
      </c>
      <c r="C104" s="142" t="e">
        <f>ROUND(HLOOKUP($C$3,bs!$C$1:$AB$110,MATCH("*"&amp;A104&amp;"*",bs!$B$1:$B$110,),FALSE),0)/IF(ISNUMBER(SEARCH("亿",$A$2)),100000000,IF(ISNUMBER(SEARCH("万",$A$2)),10000,1))</f>
        <v>#N/A</v>
      </c>
      <c r="D104" s="142" t="e">
        <f>ROUND(HLOOKUP($D$3,bs!$C$1:$AB$110,MATCH("*"&amp;A104&amp;"*",bs!$B$1:$B$110,),FALSE),0)/IF(ISNUMBER(SEARCH("亿",$A$2)),100000000,IF(ISNUMBER(SEARCH("万",$A$2)),10000,1))</f>
        <v>#N/A</v>
      </c>
      <c r="E104" s="142" t="e">
        <f>ROUND(HLOOKUP($E$3,bs!$C$1:$AB$110,MATCH("*"&amp;A104&amp;"*",bs!$B$1:$B$110,),FALSE),0)/IF(ISNUMBER(SEARCH("亿",$A$2)),100000000,IF(ISNUMBER(SEARCH("万",$A$2)),10000,1))</f>
        <v>#N/A</v>
      </c>
      <c r="H104" s="143" t="e">
        <f t="shared" si="6"/>
        <v>#N/A</v>
      </c>
      <c r="I104" t="str">
        <f t="shared" si="8"/>
        <v>  一般风险准备* </v>
      </c>
    </row>
    <row r="105" ht="18.75" customHeight="1" spans="1:14">
      <c r="A105" s="141" t="s">
        <v>395</v>
      </c>
      <c r="B105" s="142">
        <f>ROUND(HLOOKUP($B$3,bs!$C$1:$AB$110,MATCH("*"&amp;A105&amp;"*",bs!$B$1:$B$110,),FALSE),0)/IF(ISNUMBER(SEARCH("亿",$A$2)),100000000,IF(ISNUMBER(SEARCH("万",$A$2)),10000,1))</f>
        <v>0</v>
      </c>
      <c r="C105" s="142" t="e">
        <f>ROUND(HLOOKUP($C$3,bs!$C$1:$AB$110,MATCH("*"&amp;A105&amp;"*",bs!$B$1:$B$110,),FALSE),0)/IF(ISNUMBER(SEARCH("亿",$A$2)),100000000,IF(ISNUMBER(SEARCH("万",$A$2)),10000,1))</f>
        <v>#N/A</v>
      </c>
      <c r="D105" s="142" t="e">
        <f>ROUND(HLOOKUP($D$3,bs!$C$1:$AB$110,MATCH("*"&amp;A105&amp;"*",bs!$B$1:$B$110,),FALSE),0)/IF(ISNUMBER(SEARCH("亿",$A$2)),100000000,IF(ISNUMBER(SEARCH("万",$A$2)),10000,1))</f>
        <v>#N/A</v>
      </c>
      <c r="E105" s="142" t="e">
        <f>ROUND(HLOOKUP($E$3,bs!$C$1:$AB$110,MATCH("*"&amp;A105&amp;"*",bs!$B$1:$B$110,),FALSE),0)/IF(ISNUMBER(SEARCH("亿",$A$2)),100000000,IF(ISNUMBER(SEARCH("万",$A$2)),10000,1))</f>
        <v>#N/A</v>
      </c>
      <c r="H105" s="143" t="e">
        <f t="shared" si="6"/>
        <v>#N/A</v>
      </c>
      <c r="I105" t="str">
        <f t="shared" si="8"/>
        <v>  未分配利润 </v>
      </c>
      <c r="J105" t="e">
        <f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#N/A</v>
      </c>
      <c r="M105" s="103" t="e">
        <f>(C105-D105)/D105</f>
        <v>#N/A</v>
      </c>
      <c r="N105" s="103" t="e">
        <f>(D105-E105)/E105</f>
        <v>#N/A</v>
      </c>
    </row>
    <row r="106" ht="36.75" customHeight="1" spans="1:14">
      <c r="A106" s="141" t="s">
        <v>396</v>
      </c>
      <c r="B106" s="142">
        <f>ROUND(HLOOKUP($B$3,bs!$C$1:$AB$110,MATCH("*"&amp;A106&amp;"*",bs!$B$1:$B$110,),FALSE),0)/IF(ISNUMBER(SEARCH("亿",$A$2)),100000000,IF(ISNUMBER(SEARCH("万",$A$2)),10000,1))</f>
        <v>0</v>
      </c>
      <c r="C106" s="142" t="e">
        <f>ROUND(HLOOKUP($C$3,bs!$C$1:$AB$110,MATCH("*"&amp;A106&amp;"*",bs!$B$1:$B$110,),FALSE),0)/IF(ISNUMBER(SEARCH("亿",$A$2)),100000000,IF(ISNUMBER(SEARCH("万",$A$2)),10000,1))</f>
        <v>#N/A</v>
      </c>
      <c r="D106" s="142" t="e">
        <f>ROUND(HLOOKUP($D$3,bs!$C$1:$AB$110,MATCH("*"&amp;A106&amp;"*",bs!$B$1:$B$110,),FALSE),0)/IF(ISNUMBER(SEARCH("亿",$A$2)),100000000,IF(ISNUMBER(SEARCH("万",$A$2)),10000,1))</f>
        <v>#N/A</v>
      </c>
      <c r="E106" s="142" t="e">
        <f>ROUND(HLOOKUP($E$3,bs!$C$1:$AB$110,MATCH("*"&amp;A106&amp;"*",bs!$B$1:$B$110,),FALSE),0)/IF(ISNUMBER(SEARCH("亿",$A$2)),100000000,IF(ISNUMBER(SEARCH("万",$A$2)),10000,1))</f>
        <v>#N/A</v>
      </c>
      <c r="H106" s="143" t="e">
        <f t="shared" si="6"/>
        <v>#N/A</v>
      </c>
      <c r="I106" t="str">
        <f t="shared" si="8"/>
        <v>归属于母公司所有者权益（或股东权益）合计</v>
      </c>
      <c r="J106" t="e">
        <f>_xlfn.CONCAT(TEXT($E$3,"YYYY"),"年-",TEXT($C$3,"YYYY"),"年及",TEXT($B$3,"YYYY年MM月"),"，","拟承租人",I106,"分别为",TEXT(E106/10000,"0.00"),"亿元、",TEXT(D106/10000,"0.00"),"亿元、",TEXT(C106/10000,"0.00"),"亿元及",TEXT(B106/10000,"0.00"),"亿元。")</f>
        <v>#N/A</v>
      </c>
      <c r="M106" s="103" t="e">
        <f>(C106-D106)/D106</f>
        <v>#N/A</v>
      </c>
      <c r="N106" s="103" t="e">
        <f>(D106-E106)/E106</f>
        <v>#N/A</v>
      </c>
    </row>
    <row r="107" ht="18.75" customHeight="1" spans="1:14">
      <c r="A107" s="141" t="s">
        <v>397</v>
      </c>
      <c r="B107" s="142">
        <f>ROUND(HLOOKUP($B$3,bs!$C$1:$AB$110,MATCH("*"&amp;A107&amp;"*",bs!$B$1:$B$110,),FALSE),0)/IF(ISNUMBER(SEARCH("亿",$A$2)),100000000,IF(ISNUMBER(SEARCH("万",$A$2)),10000,1))</f>
        <v>0</v>
      </c>
      <c r="C107" s="142" t="e">
        <f>ROUND(HLOOKUP($C$3,bs!$C$1:$AB$110,MATCH("*"&amp;A107&amp;"*",bs!$B$1:$B$110,),FALSE),0)/IF(ISNUMBER(SEARCH("亿",$A$2)),100000000,IF(ISNUMBER(SEARCH("万",$A$2)),10000,1))</f>
        <v>#N/A</v>
      </c>
      <c r="D107" s="142" t="e">
        <f>ROUND(HLOOKUP($D$3,bs!$C$1:$AB$110,MATCH("*"&amp;A107&amp;"*",bs!$B$1:$B$110,),FALSE),0)/IF(ISNUMBER(SEARCH("亿",$A$2)),100000000,IF(ISNUMBER(SEARCH("万",$A$2)),10000,1))</f>
        <v>#N/A</v>
      </c>
      <c r="E107" s="142" t="e">
        <f>ROUND(HLOOKUP($E$3,bs!$C$1:$AB$110,MATCH("*"&amp;A107&amp;"*",bs!$B$1:$B$110,),FALSE),0)/IF(ISNUMBER(SEARCH("亿",$A$2)),100000000,IF(ISNUMBER(SEARCH("万",$A$2)),10000,1))</f>
        <v>#N/A</v>
      </c>
      <c r="H107" s="143" t="e">
        <f t="shared" si="6"/>
        <v>#N/A</v>
      </c>
      <c r="I107" t="str">
        <f t="shared" si="8"/>
        <v>  少数股东权益 </v>
      </c>
      <c r="J107" t="e">
        <f>_xlfn.CONCAT(TEXT($E$3,"YYYY"),"年-",TEXT($C$3,"YYYY"),"年及",TEXT($B$3,"YYYY年MM月"),"，","拟承租人",I107,"分别为",TEXT(E107/10000,"0.00"),"亿元、",TEXT(D107/10000,"0.00"),"亿元、",TEXT(C107/10000,"0.00"),"亿元及",TEXT(B107/10000,"0.00"),"亿元。")</f>
        <v>#N/A</v>
      </c>
      <c r="M107" s="103" t="e">
        <f>(C107-D107)/D107</f>
        <v>#N/A</v>
      </c>
      <c r="N107" s="103" t="e">
        <f>(D107-E107)/E107</f>
        <v>#N/A</v>
      </c>
    </row>
    <row r="108" ht="18.75" customHeight="1" spans="1:14">
      <c r="A108" s="144" t="s">
        <v>539</v>
      </c>
      <c r="B108" s="142">
        <f>ROUND(HLOOKUP($B$3,bs!$C$1:$AB$110,MATCH("*"&amp;A108&amp;"*",bs!$B$1:$B$110,),FALSE),0)/IF(ISNUMBER(SEARCH("亿",$A$2)),100000000,IF(ISNUMBER(SEARCH("万",$A$2)),10000,1))</f>
        <v>0</v>
      </c>
      <c r="C108" s="142" t="e">
        <f>ROUND(HLOOKUP($C$3,bs!$C$1:$AB$110,MATCH("*"&amp;A108&amp;"*",bs!$B$1:$B$110,),FALSE),0)/IF(ISNUMBER(SEARCH("亿",$A$2)),100000000,IF(ISNUMBER(SEARCH("万",$A$2)),10000,1))</f>
        <v>#N/A</v>
      </c>
      <c r="D108" s="142" t="e">
        <f>ROUND(HLOOKUP($D$3,bs!$C$1:$AB$110,MATCH("*"&amp;A108&amp;"*",bs!$B$1:$B$110,),FALSE),0)/IF(ISNUMBER(SEARCH("亿",$A$2)),100000000,IF(ISNUMBER(SEARCH("万",$A$2)),10000,1))</f>
        <v>#N/A</v>
      </c>
      <c r="E108" s="142" t="e">
        <f>ROUND(HLOOKUP($E$3,bs!$C$1:$AB$110,MATCH("*"&amp;A108&amp;"*",bs!$B$1:$B$110,),FALSE),0)/IF(ISNUMBER(SEARCH("亿",$A$2)),100000000,IF(ISNUMBER(SEARCH("万",$A$2)),10000,1))</f>
        <v>#N/A</v>
      </c>
      <c r="F108" t="str">
        <f>LEFT(A108,5)</f>
        <v> 所有者权</v>
      </c>
      <c r="G108">
        <f>MATCH("*"&amp;LEFT(A108,5)&amp;"*",bs!$B$1:$B$110,)</f>
        <v>109</v>
      </c>
      <c r="H108" s="143" t="e">
        <f t="shared" si="6"/>
        <v>#N/A</v>
      </c>
      <c r="I108" t="str">
        <f t="shared" si="8"/>
        <v> 所有者权益（或股东权益）合计 </v>
      </c>
      <c r="J108" t="e">
        <f>_xlfn.CONCAT(TEXT($E$3,"YYYY"),"年-",TEXT($C$3,"YYYY"),"年及",TEXT($B$3,"YYYY年MM月"),"，","拟承租人",I108,"分别为",TEXT(E108/10000,"0.00"),"亿元、",TEXT(D108/10000,"0.00"),"亿元、",TEXT(C108/10000,"0.00"),"亿元及",TEXT(B108/10000,"0.00"),"亿元。")</f>
        <v>#N/A</v>
      </c>
      <c r="M108" s="103" t="e">
        <f>(C108-D108)/D108</f>
        <v>#N/A</v>
      </c>
      <c r="N108" s="103" t="e">
        <f>(D108-E108)/E108</f>
        <v>#N/A</v>
      </c>
    </row>
    <row r="109" ht="15.75" customHeight="1" spans="1:14">
      <c r="A109" s="138" t="s">
        <v>540</v>
      </c>
      <c r="B109" s="139"/>
      <c r="C109" s="139"/>
      <c r="D109" s="139"/>
      <c r="E109" s="140"/>
      <c r="H109" s="143"/>
      <c r="I109" t="str">
        <f t="shared" si="8"/>
        <v>利润表</v>
      </c>
      <c r="J109" t="str">
        <f>_xlfn.CONCAT(TEXT($E$3,"YYYY"),"年-",TEXT($C$3,"YYYY"),"年及",TEXT($B$3,"YYYY年MM月"),"，","拟承租人",I109,"分别为",TEXT(E109/10000,"0.00"),"亿元、",TEXT(D109/10000,"0.00"),"亿元、",TEXT(C109/10000,"0.00"),"亿元及",TEXT(B109/10000,"0.00"),"亿元。")</f>
        <v>2022年-2024年及2025年09月，拟承租人利润表分别为0.00亿元、0.00亿元、0.00亿元及0.00亿元。</v>
      </c>
      <c r="M109" s="103"/>
      <c r="N109" s="103"/>
    </row>
    <row r="110" ht="15.75" customHeight="1" spans="1:14">
      <c r="A110" s="138" t="str">
        <f>$A$3</f>
        <v>项目</v>
      </c>
      <c r="B110" s="145" t="str">
        <f>TEXT(B$3,"YYYY年MM月")</f>
        <v>2025年09月</v>
      </c>
      <c r="C110" s="145" t="str">
        <f>TEXT(C$3,"YYYY年MM月")</f>
        <v>2024年12月</v>
      </c>
      <c r="D110" s="145" t="str">
        <f>TEXT(D$3,"YYYY年MM月")</f>
        <v>2023年12月</v>
      </c>
      <c r="E110" s="145" t="str">
        <f>TEXT(E$3,"YYYY年MM月")</f>
        <v>2022年12月</v>
      </c>
      <c r="H110" s="143"/>
      <c r="I110" t="str">
        <f t="shared" si="8"/>
        <v>项目</v>
      </c>
      <c r="M110" s="103"/>
      <c r="N110" s="103"/>
    </row>
    <row r="111" ht="18.75" customHeight="1" spans="1:14">
      <c r="A111" s="141" t="s">
        <v>541</v>
      </c>
      <c r="B111" s="142">
        <f>ROUND(HLOOKUP($B$3,pl!$C$1:$W$71,MATCH("*"&amp;A111&amp;"*",pl!$B$1:$B$71,),FALSE),0)/IF(ISNUMBER(SEARCH("亿",$A$2)),100000000,IF(ISNUMBER(SEARCH("万",$A$2)),10000,1))</f>
        <v>0</v>
      </c>
      <c r="C111" s="142">
        <f>ROUND(HLOOKUP($C$3,pl!$C$1:$W$71,MATCH("*"&amp;A111&amp;"*",pl!$B$1:$B$71,),FALSE),0)/IF(ISNUMBER(SEARCH("亿",$A$2)),100000000,IF(ISNUMBER(SEARCH("万",$A$2)),10000,1))</f>
        <v>0</v>
      </c>
      <c r="D111" s="142">
        <f>ROUND(HLOOKUP($D$3,pl!$C$1:$W$71,MATCH("*"&amp;A111&amp;"*",pl!$B$1:$B$71,),FALSE),0)/IF(ISNUMBER(SEARCH("亿",$A$2)),100000000,IF(ISNUMBER(SEARCH("万",$A$2)),10000,1))</f>
        <v>0</v>
      </c>
      <c r="E111" s="142">
        <f>ROUND(HLOOKUP($E$3,pl!$C$1:$W$71,MATCH("*"&amp;A111&amp;"*",pl!$B$1:$B$71,),FALSE),0)/IF(ISNUMBER(SEARCH("亿",$A$2)),100000000,IF(ISNUMBER(SEARCH("万",$A$2)),10000,1))</f>
        <v>0</v>
      </c>
      <c r="F111">
        <f>MATCH("*"&amp;A111&amp;"*",pl!$B$1:$B$71,)</f>
        <v>2</v>
      </c>
      <c r="G111">
        <f>HLOOKUP($E$3,pl!$C$1:$W$71,3,FALSE)</f>
        <v>0</v>
      </c>
      <c r="H111" s="143"/>
      <c r="I111" t="str">
        <f t="shared" si="8"/>
        <v>营业总收入</v>
      </c>
      <c r="J111" t="str">
        <f t="shared" ref="J111:J123" si="9">_xlfn.CONCAT(TEXT($E$3,"YYYY"),"年-",TEXT($C$3,"YYYY"),"年及",TEXT($B$3,"YYYY年MM月"),"，","拟承租人",I111,"分别为",TEXT(E111/10000,"0.00"),"亿元、",TEXT(D111/10000,"0.00"),"亿元、",TEXT(C111/10000,"0.00"),"亿元及",TEXT(B111/10000,"0.00"),"亿元。")</f>
        <v>2022年-2024年及2025年09月，拟承租人营业总收入分别为0.00亿元、0.00亿元、0.00亿元及0.00亿元。</v>
      </c>
      <c r="K111" s="20" t="s">
        <v>542</v>
      </c>
      <c r="L111" s="103" t="e">
        <f>(C111-D111)/D111</f>
        <v>#DIV/0!</v>
      </c>
      <c r="M111" s="103" t="e">
        <f t="shared" ref="M111:M123" si="10">(C111-D111)/D111</f>
        <v>#DIV/0!</v>
      </c>
      <c r="N111" s="103" t="e">
        <f t="shared" ref="N111:N123" si="11">(D111-E111)/E111</f>
        <v>#DIV/0!</v>
      </c>
    </row>
    <row r="112" ht="18.75" customHeight="1" spans="1:14">
      <c r="A112" s="141" t="s">
        <v>543</v>
      </c>
      <c r="B112" s="142">
        <f>ROUND(HLOOKUP($B$3,pl!$C$1:$W$71,MATCH("*"&amp;A112&amp;"*",pl!$B$1:$B$71,),FALSE),0)/IF(ISNUMBER(SEARCH("亿",$A$2)),100000000,IF(ISNUMBER(SEARCH("万",$A$2)),10000,1))</f>
        <v>0</v>
      </c>
      <c r="C112" s="142">
        <f>ROUND(HLOOKUP($C$3,pl!$C$1:$W$71,MATCH("*"&amp;A112&amp;"*",pl!$B$1:$B$71,),FALSE),0)/IF(ISNUMBER(SEARCH("亿",$A$2)),100000000,IF(ISNUMBER(SEARCH("万",$A$2)),10000,1))</f>
        <v>0</v>
      </c>
      <c r="D112" s="142">
        <f>ROUND(HLOOKUP($D$3,pl!$C$1:$W$71,MATCH("*"&amp;A112&amp;"*",pl!$B$1:$B$71,),FALSE),0)/IF(ISNUMBER(SEARCH("亿",$A$2)),100000000,IF(ISNUMBER(SEARCH("万",$A$2)),10000,1))</f>
        <v>0</v>
      </c>
      <c r="E112" s="142">
        <f>ROUND(HLOOKUP($E$3,pl!$C$1:$W$71,MATCH("*"&amp;A112&amp;"*",pl!$B$1:$B$71,),FALSE),0)/IF(ISNUMBER(SEARCH("亿",$A$2)),100000000,IF(ISNUMBER(SEARCH("万",$A$2)),10000,1))</f>
        <v>0</v>
      </c>
      <c r="H112" s="143">
        <f t="shared" ref="H112:H124" si="12">B112+C112+D112+E112</f>
        <v>0</v>
      </c>
      <c r="I112" t="str">
        <f t="shared" si="8"/>
        <v>营业成本</v>
      </c>
      <c r="J112" t="str">
        <f t="shared" si="9"/>
        <v>2022年-2024年及2025年09月，拟承租人营业成本分别为0.00亿元、0.00亿元、0.00亿元及0.00亿元。</v>
      </c>
      <c r="M112" s="103" t="e">
        <f t="shared" si="10"/>
        <v>#DIV/0!</v>
      </c>
      <c r="N112" s="103" t="e">
        <f t="shared" si="11"/>
        <v>#DIV/0!</v>
      </c>
    </row>
    <row r="113" ht="18.75" customHeight="1" spans="1:14">
      <c r="A113" s="141" t="s">
        <v>544</v>
      </c>
      <c r="B113" s="142">
        <f>ROUND(HLOOKUP($B$3,pl!$C$1:$W$71,MATCH("*"&amp;A113&amp;"*",pl!$B$1:$B$71,),FALSE),0)/IF(ISNUMBER(SEARCH("亿",$A$2)),100000000,IF(ISNUMBER(SEARCH("万",$A$2)),10000,1))</f>
        <v>0</v>
      </c>
      <c r="C113" s="142">
        <f>ROUND(HLOOKUP($C$3,pl!$C$1:$W$71,MATCH("*"&amp;A113&amp;"*",pl!$B$1:$B$71,),FALSE),0)/IF(ISNUMBER(SEARCH("亿",$A$2)),100000000,IF(ISNUMBER(SEARCH("万",$A$2)),10000,1))</f>
        <v>0</v>
      </c>
      <c r="D113" s="142">
        <f>ROUND(HLOOKUP($D$3,pl!$C$1:$W$71,MATCH("*"&amp;A113&amp;"*",pl!$B$1:$B$71,),FALSE),0)/IF(ISNUMBER(SEARCH("亿",$A$2)),100000000,IF(ISNUMBER(SEARCH("万",$A$2)),10000,1))</f>
        <v>0</v>
      </c>
      <c r="E113" s="142">
        <f>ROUND(HLOOKUP($E$3,pl!$C$1:$W$71,MATCH("*"&amp;A113&amp;"*",pl!$B$1:$B$71,),FALSE),0)/IF(ISNUMBER(SEARCH("亿",$A$2)),100000000,IF(ISNUMBER(SEARCH("万",$A$2)),10000,1))</f>
        <v>0</v>
      </c>
      <c r="H113" s="143">
        <f t="shared" si="12"/>
        <v>0</v>
      </c>
      <c r="I113" t="str">
        <f t="shared" si="8"/>
        <v>税金及附加</v>
      </c>
      <c r="J113" t="str">
        <f t="shared" si="9"/>
        <v>2022年-2024年及2025年09月，拟承租人税金及附加分别为0.00亿元、0.00亿元、0.00亿元及0.00亿元。</v>
      </c>
      <c r="M113" s="103" t="e">
        <f t="shared" si="10"/>
        <v>#DIV/0!</v>
      </c>
      <c r="N113" s="103" t="e">
        <f t="shared" si="11"/>
        <v>#DIV/0!</v>
      </c>
    </row>
    <row r="114" ht="18.75" customHeight="1" spans="1:14">
      <c r="A114" s="141" t="s">
        <v>545</v>
      </c>
      <c r="B114" s="142">
        <f>ROUND(HLOOKUP($B$3,pl!$C$1:$W$71,MATCH("*"&amp;A114&amp;"*",pl!$B$1:$B$71,),FALSE),0)/IF(ISNUMBER(SEARCH("亿",$A$2)),100000000,IF(ISNUMBER(SEARCH("万",$A$2)),10000,1))</f>
        <v>0</v>
      </c>
      <c r="C114" s="142">
        <f>ROUND(HLOOKUP($C$3,pl!$C$1:$W$71,MATCH("*"&amp;A114&amp;"*",pl!$B$1:$B$71,),FALSE),0)/IF(ISNUMBER(SEARCH("亿",$A$2)),100000000,IF(ISNUMBER(SEARCH("万",$A$2)),10000,1))</f>
        <v>0</v>
      </c>
      <c r="D114" s="142">
        <f>ROUND(HLOOKUP($D$3,pl!$C$1:$W$71,MATCH("*"&amp;A114&amp;"*",pl!$B$1:$B$71,),FALSE),0)/IF(ISNUMBER(SEARCH("亿",$A$2)),100000000,IF(ISNUMBER(SEARCH("万",$A$2)),10000,1))</f>
        <v>0</v>
      </c>
      <c r="E114" s="142">
        <f>ROUND(HLOOKUP($E$3,pl!$C$1:$W$71,MATCH("*"&amp;A114&amp;"*",pl!$B$1:$B$71,),FALSE),0)/IF(ISNUMBER(SEARCH("亿",$A$2)),100000000,IF(ISNUMBER(SEARCH("万",$A$2)),10000,1))</f>
        <v>0</v>
      </c>
      <c r="H114" s="143">
        <f t="shared" si="12"/>
        <v>0</v>
      </c>
      <c r="I114" t="str">
        <f t="shared" si="8"/>
        <v>销售费用</v>
      </c>
      <c r="J114" t="str">
        <f t="shared" si="9"/>
        <v>2022年-2024年及2025年09月，拟承租人销售费用分别为0.00亿元、0.00亿元、0.00亿元及0.00亿元。</v>
      </c>
      <c r="M114" s="103" t="e">
        <f t="shared" si="10"/>
        <v>#DIV/0!</v>
      </c>
      <c r="N114" s="103" t="e">
        <f t="shared" si="11"/>
        <v>#DIV/0!</v>
      </c>
    </row>
    <row r="115" ht="18.75" customHeight="1" spans="1:14">
      <c r="A115" s="141" t="s">
        <v>546</v>
      </c>
      <c r="B115" s="142">
        <f>ROUND(HLOOKUP($B$3,pl!$C$1:$W$71,MATCH("*"&amp;A115&amp;"*",pl!$B$1:$B$71,),FALSE),0)/IF(ISNUMBER(SEARCH("亿",$A$2)),100000000,IF(ISNUMBER(SEARCH("万",$A$2)),10000,1))</f>
        <v>0</v>
      </c>
      <c r="C115" s="142">
        <f>ROUND(HLOOKUP($C$3,pl!$C$1:$W$71,MATCH("*"&amp;A115&amp;"*",pl!$B$1:$B$71,),FALSE),0)/IF(ISNUMBER(SEARCH("亿",$A$2)),100000000,IF(ISNUMBER(SEARCH("万",$A$2)),10000,1))</f>
        <v>0</v>
      </c>
      <c r="D115" s="142">
        <f>ROUND(HLOOKUP($D$3,pl!$C$1:$W$71,MATCH("*"&amp;A115&amp;"*",pl!$B$1:$B$71,),FALSE),0)/IF(ISNUMBER(SEARCH("亿",$A$2)),100000000,IF(ISNUMBER(SEARCH("万",$A$2)),10000,1))</f>
        <v>0</v>
      </c>
      <c r="E115" s="142">
        <f>ROUND(HLOOKUP($E$3,pl!$C$1:$W$71,MATCH("*"&amp;A115&amp;"*",pl!$B$1:$B$71,),FALSE),0)/IF(ISNUMBER(SEARCH("亿",$A$2)),100000000,IF(ISNUMBER(SEARCH("万",$A$2)),10000,1))</f>
        <v>0</v>
      </c>
      <c r="H115" s="143">
        <f t="shared" si="12"/>
        <v>0</v>
      </c>
      <c r="I115" t="str">
        <f t="shared" si="8"/>
        <v>管理费用</v>
      </c>
      <c r="J115" t="str">
        <f t="shared" si="9"/>
        <v>2022年-2024年及2025年09月，拟承租人管理费用分别为0.00亿元、0.00亿元、0.00亿元及0.00亿元。</v>
      </c>
      <c r="M115" s="103" t="e">
        <f t="shared" si="10"/>
        <v>#DIV/0!</v>
      </c>
      <c r="N115" s="103" t="e">
        <f t="shared" si="11"/>
        <v>#DIV/0!</v>
      </c>
    </row>
    <row r="116" ht="18.75" customHeight="1" spans="1:14">
      <c r="A116" s="141" t="s">
        <v>547</v>
      </c>
      <c r="B116" s="142">
        <f>ROUND(HLOOKUP($B$3,pl!$C$1:$W$71,MATCH("*"&amp;A116&amp;"*",pl!$B$1:$B$71,),FALSE),0)/IF(ISNUMBER(SEARCH("亿",$A$2)),100000000,IF(ISNUMBER(SEARCH("万",$A$2)),10000,1))</f>
        <v>0</v>
      </c>
      <c r="C116" s="142">
        <f>ROUND(HLOOKUP($C$3,pl!$C$1:$W$71,MATCH("*"&amp;A116&amp;"*",pl!$B$1:$B$71,),FALSE),0)/IF(ISNUMBER(SEARCH("亿",$A$2)),100000000,IF(ISNUMBER(SEARCH("万",$A$2)),10000,1))</f>
        <v>0</v>
      </c>
      <c r="D116" s="142">
        <f>ROUND(HLOOKUP($D$3,pl!$C$1:$W$71,MATCH("*"&amp;A116&amp;"*",pl!$B$1:$B$71,),FALSE),0)/IF(ISNUMBER(SEARCH("亿",$A$2)),100000000,IF(ISNUMBER(SEARCH("万",$A$2)),10000,1))</f>
        <v>0</v>
      </c>
      <c r="E116" s="142">
        <f>ROUND(HLOOKUP($E$3,pl!$C$1:$W$71,MATCH("*"&amp;A116&amp;"*",pl!$B$1:$B$71,),FALSE),0)/IF(ISNUMBER(SEARCH("亿",$A$2)),100000000,IF(ISNUMBER(SEARCH("万",$A$2)),10000,1))</f>
        <v>0</v>
      </c>
      <c r="H116" s="143">
        <f t="shared" si="12"/>
        <v>0</v>
      </c>
      <c r="I116" t="str">
        <f t="shared" si="8"/>
        <v>研发费用</v>
      </c>
      <c r="J116" t="str">
        <f t="shared" si="9"/>
        <v>2022年-2024年及2025年09月，拟承租人研发费用分别为0.00亿元、0.00亿元、0.00亿元及0.00亿元。</v>
      </c>
      <c r="M116" s="103" t="e">
        <f t="shared" si="10"/>
        <v>#DIV/0!</v>
      </c>
      <c r="N116" s="103" t="e">
        <f t="shared" si="11"/>
        <v>#DIV/0!</v>
      </c>
    </row>
    <row r="117" ht="18.75" customHeight="1" spans="1:14">
      <c r="A117" s="141" t="s">
        <v>548</v>
      </c>
      <c r="B117" s="142">
        <f>ROUND(HLOOKUP($B$3,pl!$C$1:$W$71,MATCH("*"&amp;A117&amp;"*",pl!$B$1:$B$71,),FALSE),0)/IF(ISNUMBER(SEARCH("亿",$A$2)),100000000,IF(ISNUMBER(SEARCH("万",$A$2)),10000,1))</f>
        <v>0</v>
      </c>
      <c r="C117" s="142">
        <f>ROUND(HLOOKUP($C$3,pl!$C$1:$W$71,MATCH("*"&amp;A117&amp;"*",pl!$B$1:$B$71,),FALSE),0)/IF(ISNUMBER(SEARCH("亿",$A$2)),100000000,IF(ISNUMBER(SEARCH("万",$A$2)),10000,1))</f>
        <v>0</v>
      </c>
      <c r="D117" s="142">
        <f>ROUND(HLOOKUP($D$3,pl!$C$1:$W$71,MATCH("*"&amp;A117&amp;"*",pl!$B$1:$B$71,),FALSE),0)/IF(ISNUMBER(SEARCH("亿",$A$2)),100000000,IF(ISNUMBER(SEARCH("万",$A$2)),10000,1))</f>
        <v>0</v>
      </c>
      <c r="E117" s="142">
        <f>ROUND(HLOOKUP($E$3,pl!$C$1:$W$71,MATCH("*"&amp;A117&amp;"*",pl!$B$1:$B$71,),FALSE),0)/IF(ISNUMBER(SEARCH("亿",$A$2)),100000000,IF(ISNUMBER(SEARCH("万",$A$2)),10000,1))</f>
        <v>0</v>
      </c>
      <c r="H117" s="143">
        <f t="shared" si="12"/>
        <v>0</v>
      </c>
      <c r="I117" t="str">
        <f t="shared" si="8"/>
        <v>财务费用</v>
      </c>
      <c r="J117" t="str">
        <f t="shared" si="9"/>
        <v>2022年-2024年及2025年09月，拟承租人财务费用分别为0.00亿元、0.00亿元、0.00亿元及0.00亿元。</v>
      </c>
      <c r="M117" s="103" t="e">
        <f t="shared" si="10"/>
        <v>#DIV/0!</v>
      </c>
      <c r="N117" s="103" t="e">
        <f t="shared" si="11"/>
        <v>#DIV/0!</v>
      </c>
    </row>
    <row r="118" ht="18.75" customHeight="1" spans="1:14">
      <c r="A118" s="141" t="s">
        <v>549</v>
      </c>
      <c r="B118" s="142">
        <f>ROUND(HLOOKUP($B$3,pl!$C$1:$W$71,MATCH("*"&amp;A118&amp;"*",pl!$B$1:$B$71,),FALSE),0)/IF(ISNUMBER(SEARCH("亿",$A$2)),100000000,IF(ISNUMBER(SEARCH("万",$A$2)),10000,1))</f>
        <v>0</v>
      </c>
      <c r="C118" s="142">
        <f>ROUND(HLOOKUP($C$3,pl!$C$1:$W$71,MATCH("*"&amp;A118&amp;"*",pl!$B$1:$B$71,),FALSE),0)/IF(ISNUMBER(SEARCH("亿",$A$2)),100000000,IF(ISNUMBER(SEARCH("万",$A$2)),10000,1))</f>
        <v>0</v>
      </c>
      <c r="D118" s="142">
        <f>ROUND(HLOOKUP($D$3,pl!$C$1:$W$71,MATCH("*"&amp;A118&amp;"*",pl!$B$1:$B$71,),FALSE),0)/IF(ISNUMBER(SEARCH("亿",$A$2)),100000000,IF(ISNUMBER(SEARCH("万",$A$2)),10000,1))</f>
        <v>0</v>
      </c>
      <c r="E118" s="142">
        <f>ROUND(HLOOKUP($E$3,pl!$C$1:$W$71,MATCH("*"&amp;A118&amp;"*",pl!$B$1:$B$71,),FALSE),0)/IF(ISNUMBER(SEARCH("亿",$A$2)),100000000,IF(ISNUMBER(SEARCH("万",$A$2)),10000,1))</f>
        <v>0</v>
      </c>
      <c r="H118" s="143">
        <f t="shared" si="12"/>
        <v>0</v>
      </c>
      <c r="I118" t="str">
        <f t="shared" si="8"/>
        <v>其他收益</v>
      </c>
      <c r="J118" t="str">
        <f t="shared" si="9"/>
        <v>2022年-2024年及2025年09月，拟承租人其他收益分别为0.00亿元、0.00亿元、0.00亿元及0.00亿元。</v>
      </c>
      <c r="M118" s="103" t="e">
        <f t="shared" si="10"/>
        <v>#DIV/0!</v>
      </c>
      <c r="N118" s="103" t="e">
        <f t="shared" si="11"/>
        <v>#DIV/0!</v>
      </c>
    </row>
    <row r="119" ht="18.75" customHeight="1" spans="1:14">
      <c r="A119" s="141" t="s">
        <v>550</v>
      </c>
      <c r="B119" s="142">
        <f>ROUND(HLOOKUP($B$3,pl!$C$1:$W$71,MATCH("*"&amp;A119&amp;"*",pl!$B$1:$B$71,),FALSE),0)/IF(ISNUMBER(SEARCH("亿",$A$2)),100000000,IF(ISNUMBER(SEARCH("万",$A$2)),10000,1))</f>
        <v>0</v>
      </c>
      <c r="C119" s="142">
        <f>ROUND(HLOOKUP($C$3,pl!$C$1:$W$71,MATCH("*"&amp;A119&amp;"*",pl!$B$1:$B$71,),FALSE),0)/IF(ISNUMBER(SEARCH("亿",$A$2)),100000000,IF(ISNUMBER(SEARCH("万",$A$2)),10000,1))</f>
        <v>0</v>
      </c>
      <c r="D119" s="142">
        <f>ROUND(HLOOKUP($D$3,pl!$C$1:$W$71,MATCH("*"&amp;A119&amp;"*",pl!$B$1:$B$71,),FALSE),0)/IF(ISNUMBER(SEARCH("亿",$A$2)),100000000,IF(ISNUMBER(SEARCH("万",$A$2)),10000,1))</f>
        <v>0</v>
      </c>
      <c r="E119" s="142">
        <f>ROUND(HLOOKUP($E$3,pl!$C$1:$W$71,MATCH("*"&amp;A119&amp;"*",pl!$B$1:$B$71,),FALSE),0)/IF(ISNUMBER(SEARCH("亿",$A$2)),100000000,IF(ISNUMBER(SEARCH("万",$A$2)),10000,1))</f>
        <v>0</v>
      </c>
      <c r="H119" s="143">
        <f t="shared" si="12"/>
        <v>0</v>
      </c>
      <c r="I119" t="str">
        <f t="shared" si="8"/>
        <v>投资收益</v>
      </c>
      <c r="J119" t="str">
        <f t="shared" si="9"/>
        <v>2022年-2024年及2025年09月，拟承租人投资收益分别为0.00亿元、0.00亿元、0.00亿元及0.00亿元。</v>
      </c>
      <c r="M119" s="103" t="e">
        <f t="shared" si="10"/>
        <v>#DIV/0!</v>
      </c>
      <c r="N119" s="103" t="e">
        <f t="shared" si="11"/>
        <v>#DIV/0!</v>
      </c>
    </row>
    <row r="120" ht="18.75" customHeight="1" spans="1:14">
      <c r="A120" s="144" t="s">
        <v>170</v>
      </c>
      <c r="B120" s="142">
        <f>ROUND(HLOOKUP($B$3,pl!$C$1:$W$71,MATCH("*"&amp;A120&amp;"*",pl!$B$1:$B$71,),FALSE),0)/IF(ISNUMBER(SEARCH("亿",$A$2)),100000000,IF(ISNUMBER(SEARCH("万",$A$2)),10000,1))</f>
        <v>0</v>
      </c>
      <c r="C120" s="142">
        <f>ROUND(HLOOKUP($C$3,pl!$C$1:$W$71,MATCH("*"&amp;A120&amp;"*",pl!$B$1:$B$71,),FALSE),0)/IF(ISNUMBER(SEARCH("亿",$A$2)),100000000,IF(ISNUMBER(SEARCH("万",$A$2)),10000,1))</f>
        <v>0</v>
      </c>
      <c r="D120" s="142">
        <f>ROUND(HLOOKUP($D$3,pl!$C$1:$W$71,MATCH("*"&amp;A120&amp;"*",pl!$B$1:$B$71,),FALSE),0)/IF(ISNUMBER(SEARCH("亿",$A$2)),100000000,IF(ISNUMBER(SEARCH("万",$A$2)),10000,1))</f>
        <v>0</v>
      </c>
      <c r="E120" s="142">
        <f>ROUND(HLOOKUP($E$3,pl!$C$1:$W$71,MATCH("*"&amp;A120&amp;"*",pl!$B$1:$B$71,),FALSE),0)/IF(ISNUMBER(SEARCH("亿",$A$2)),100000000,IF(ISNUMBER(SEARCH("万",$A$2)),10000,1))</f>
        <v>0</v>
      </c>
      <c r="H120" s="143">
        <f t="shared" si="12"/>
        <v>0</v>
      </c>
      <c r="I120" t="str">
        <f t="shared" si="8"/>
        <v>营业利润</v>
      </c>
      <c r="J120" t="str">
        <f t="shared" si="9"/>
        <v>2022年-2024年及2025年09月，拟承租人营业利润分别为0.00亿元、0.00亿元、0.00亿元及0.00亿元。</v>
      </c>
      <c r="M120" s="103" t="e">
        <f t="shared" si="10"/>
        <v>#DIV/0!</v>
      </c>
      <c r="N120" s="103" t="e">
        <f t="shared" si="11"/>
        <v>#DIV/0!</v>
      </c>
    </row>
    <row r="121" ht="18.75" customHeight="1" spans="1:14">
      <c r="A121" s="144" t="s">
        <v>176</v>
      </c>
      <c r="B121" s="142">
        <f>ROUND(HLOOKUP($B$3,pl!$C$1:$W$71,MATCH("*"&amp;A121&amp;"*",pl!$B$1:$B$71,),FALSE),0)/IF(ISNUMBER(SEARCH("亿",$A$2)),100000000,IF(ISNUMBER(SEARCH("万",$A$2)),10000,1))</f>
        <v>0</v>
      </c>
      <c r="C121" s="142">
        <f>ROUND(HLOOKUP($C$3,pl!$C$1:$W$71,MATCH("*"&amp;A121&amp;"*",pl!$B$1:$B$71,),FALSE),0)/IF(ISNUMBER(SEARCH("亿",$A$2)),100000000,IF(ISNUMBER(SEARCH("万",$A$2)),10000,1))</f>
        <v>0</v>
      </c>
      <c r="D121" s="142">
        <f>ROUND(HLOOKUP($D$3,pl!$C$1:$W$71,MATCH("*"&amp;A121&amp;"*",pl!$B$1:$B$71,),FALSE),0)/IF(ISNUMBER(SEARCH("亿",$A$2)),100000000,IF(ISNUMBER(SEARCH("万",$A$2)),10000,1))</f>
        <v>0</v>
      </c>
      <c r="E121" s="142">
        <f>ROUND(HLOOKUP($E$3,pl!$C$1:$W$71,MATCH("*"&amp;A121&amp;"*",pl!$B$1:$B$71,),FALSE),0)/IF(ISNUMBER(SEARCH("亿",$A$2)),100000000,IF(ISNUMBER(SEARCH("万",$A$2)),10000,1))</f>
        <v>0</v>
      </c>
      <c r="H121" s="143">
        <f t="shared" si="12"/>
        <v>0</v>
      </c>
      <c r="I121" t="str">
        <f t="shared" si="8"/>
        <v>利润总额</v>
      </c>
      <c r="J121" t="str">
        <f t="shared" si="9"/>
        <v>2022年-2024年及2025年09月，拟承租人利润总额分别为0.00亿元、0.00亿元、0.00亿元及0.00亿元。</v>
      </c>
      <c r="M121" s="103" t="e">
        <f t="shared" si="10"/>
        <v>#DIV/0!</v>
      </c>
      <c r="N121" s="103" t="e">
        <f t="shared" si="11"/>
        <v>#DIV/0!</v>
      </c>
    </row>
    <row r="122" ht="18.75" customHeight="1" spans="1:14">
      <c r="A122" s="141" t="s">
        <v>551</v>
      </c>
      <c r="B122" s="142">
        <f>ROUND(HLOOKUP($B$3,pl!$C$1:$W$71,MATCH("*"&amp;A122&amp;"*",pl!$B$1:$B$71,),FALSE),0)/IF(ISNUMBER(SEARCH("亿",$A$2)),100000000,IF(ISNUMBER(SEARCH("万",$A$2)),10000,1))</f>
        <v>0</v>
      </c>
      <c r="C122" s="142">
        <f>ROUND(HLOOKUP($C$3,pl!$C$1:$W$71,MATCH("*"&amp;A122&amp;"*",pl!$B$1:$B$71,),FALSE),0)/IF(ISNUMBER(SEARCH("亿",$A$2)),100000000,IF(ISNUMBER(SEARCH("万",$A$2)),10000,1))</f>
        <v>0</v>
      </c>
      <c r="D122" s="142">
        <f>ROUND(HLOOKUP($D$3,pl!$C$1:$W$71,MATCH("*"&amp;A122&amp;"*",pl!$B$1:$B$71,),FALSE),0)/IF(ISNUMBER(SEARCH("亿",$A$2)),100000000,IF(ISNUMBER(SEARCH("万",$A$2)),10000,1))</f>
        <v>0</v>
      </c>
      <c r="E122" s="142">
        <f>ROUND(HLOOKUP($E$3,pl!$C$1:$W$71,MATCH("*"&amp;A122&amp;"*",pl!$B$1:$B$71,),FALSE),0)/IF(ISNUMBER(SEARCH("亿",$A$2)),100000000,IF(ISNUMBER(SEARCH("万",$A$2)),10000,1))</f>
        <v>0</v>
      </c>
      <c r="H122" s="143">
        <f t="shared" si="12"/>
        <v>0</v>
      </c>
      <c r="I122" t="str">
        <f t="shared" si="8"/>
        <v>所得税费用</v>
      </c>
      <c r="J122" t="str">
        <f t="shared" si="9"/>
        <v>2022年-2024年及2025年09月，拟承租人所得税费用分别为0.00亿元、0.00亿元、0.00亿元及0.00亿元。</v>
      </c>
      <c r="M122" s="103" t="e">
        <f t="shared" si="10"/>
        <v>#DIV/0!</v>
      </c>
      <c r="N122" s="103" t="e">
        <f t="shared" si="11"/>
        <v>#DIV/0!</v>
      </c>
    </row>
    <row r="123" ht="18.75" customHeight="1" spans="1:14">
      <c r="A123" s="144" t="s">
        <v>181</v>
      </c>
      <c r="B123" s="142">
        <f>ROUND(HLOOKUP($B$3,pl!$C$1:$W$71,MATCH("*"&amp;A123&amp;"*",pl!$B$1:$B$71,),FALSE),0)/IF(ISNUMBER(SEARCH("亿",$A$2)),100000000,IF(ISNUMBER(SEARCH("万",$A$2)),10000,1))</f>
        <v>0</v>
      </c>
      <c r="C123" s="142">
        <f>ROUND(HLOOKUP($C$3,pl!$C$1:$W$71,MATCH("*"&amp;A123&amp;"*",pl!$B$1:$B$71,),FALSE),0)/IF(ISNUMBER(SEARCH("亿",$A$2)),100000000,IF(ISNUMBER(SEARCH("万",$A$2)),10000,1))</f>
        <v>0</v>
      </c>
      <c r="D123" s="142">
        <f>ROUND(HLOOKUP($D$3,pl!$C$1:$W$71,MATCH("*"&amp;A123&amp;"*",pl!$B$1:$B$71,),FALSE),0)/IF(ISNUMBER(SEARCH("亿",$A$2)),100000000,IF(ISNUMBER(SEARCH("万",$A$2)),10000,1))</f>
        <v>0</v>
      </c>
      <c r="E123" s="142">
        <f>ROUND(HLOOKUP($E$3,pl!$C$1:$W$71,MATCH("*"&amp;A123&amp;"*",pl!$B$1:$B$71,),FALSE),0)/IF(ISNUMBER(SEARCH("亿",$A$2)),100000000,IF(ISNUMBER(SEARCH("万",$A$2)),10000,1))</f>
        <v>0</v>
      </c>
      <c r="H123" s="143">
        <f t="shared" si="12"/>
        <v>0</v>
      </c>
      <c r="I123" t="str">
        <f t="shared" si="8"/>
        <v>净利润</v>
      </c>
      <c r="J123" t="str">
        <f t="shared" si="9"/>
        <v>2022年-2024年及2025年09月，拟承租人净利润分别为0.00亿元、0.00亿元、0.00亿元及0.00亿元。</v>
      </c>
      <c r="M123" s="103" t="e">
        <f t="shared" si="10"/>
        <v>#DIV/0!</v>
      </c>
      <c r="N123" s="103" t="e">
        <f t="shared" si="11"/>
        <v>#DIV/0!</v>
      </c>
    </row>
    <row r="124" ht="44.25" customHeight="1" spans="1:14">
      <c r="A124" s="144" t="s">
        <v>552</v>
      </c>
      <c r="B124" s="146"/>
      <c r="C124" s="139"/>
      <c r="D124" s="139"/>
      <c r="E124" s="140"/>
      <c r="H124" s="143">
        <f t="shared" si="12"/>
        <v>0</v>
      </c>
      <c r="I124" t="str">
        <f t="shared" si="8"/>
        <v>盈利情况简要分析</v>
      </c>
    </row>
    <row r="125" ht="15.75" customHeight="1" spans="1:14">
      <c r="A125" s="147" t="s">
        <v>553</v>
      </c>
      <c r="B125" s="139"/>
      <c r="C125" s="139"/>
      <c r="D125" s="139"/>
      <c r="E125" s="148"/>
      <c r="H125" s="143"/>
      <c r="I125" t="str">
        <f t="shared" si="8"/>
        <v>现金流量表</v>
      </c>
      <c r="J125" t="str">
        <f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2022年-2024年及2025年09月，拟承租人现金流量表分别为0.00亿元、0.00亿元、0.00亿元及0.00亿元。</v>
      </c>
      <c r="M125" s="103"/>
      <c r="N125" s="103"/>
    </row>
    <row r="126" ht="15.75" customHeight="1" spans="1:14">
      <c r="A126" s="138" t="str">
        <f>$A$3</f>
        <v>项目</v>
      </c>
      <c r="B126" s="145" t="str">
        <f>TEXT(B$3,"YYYY年MM月")</f>
        <v>2025年09月</v>
      </c>
      <c r="C126" s="145" t="str">
        <f>TEXT(C$3,"YYYY年MM月")</f>
        <v>2024年12月</v>
      </c>
      <c r="D126" s="145" t="str">
        <f>TEXT(D$3,"YYYY年MM月")</f>
        <v>2023年12月</v>
      </c>
      <c r="E126" s="145" t="str">
        <f>TEXT(E$3,"YYYY年MM月")</f>
        <v>2022年12月</v>
      </c>
      <c r="H126" s="143"/>
      <c r="I126" t="str">
        <f t="shared" si="8"/>
        <v>项目</v>
      </c>
      <c r="M126" s="103"/>
      <c r="N126" s="103"/>
    </row>
    <row r="127" ht="31.7" customHeight="1" spans="1:14">
      <c r="A127" s="144" t="s">
        <v>554</v>
      </c>
      <c r="B127" s="142">
        <f>ROUND(HLOOKUP($B$3,cf!$C$1:$Z$68,MATCH("*"&amp;A127&amp;"*",cf!$B$1:$B$68,),FALSE),0)/IF(ISNUMBER(SEARCH("亿",$A$2)),100000000,IF(ISNUMBER(SEARCH("万",$A$2)),10000,1))</f>
        <v>75798.7492</v>
      </c>
      <c r="C127" s="142">
        <f>ROUND(HLOOKUP($C$3,cf!$C$1:$Z$68,MATCH("*"&amp;A127&amp;"*",cf!$B$1:$B$68,),FALSE),0)/IF(ISNUMBER(SEARCH("亿",$A$2)),100000000,IF(ISNUMBER(SEARCH("万",$A$2)),10000,1))</f>
        <v>6128.1051</v>
      </c>
      <c r="D127" s="142">
        <f>ROUND(HLOOKUP($D$3,cf!$C$1:$Z$68,MATCH("*"&amp;A127&amp;"*",cf!$B$1:$B$68,),FALSE),0)/IF(ISNUMBER(SEARCH("亿",$A$2)),100000000,IF(ISNUMBER(SEARCH("万",$A$2)),10000,1))</f>
        <v>6763.4905</v>
      </c>
      <c r="E127" s="142">
        <f>ROUND(HLOOKUP($E$3,cf!$C$1:$Z$68,MATCH("*"&amp;A127&amp;"*",cf!$B$1:$B$68,),FALSE),0)/IF(ISNUMBER(SEARCH("亿",$A$2)),100000000,IF(ISNUMBER(SEARCH("万",$A$2)),10000,1))</f>
        <v>10815.4268</v>
      </c>
      <c r="F127">
        <f>MATCH("*"&amp;A127&amp;"*",cf!$B$1:$B$68,)</f>
        <v>3</v>
      </c>
      <c r="G127">
        <f>HLOOKUP($B$3,cf!$C$1:$Z$68,F127,FALSE)</f>
        <v>757987491.72</v>
      </c>
      <c r="H127" s="143">
        <f t="shared" ref="H127:H138" si="13">B127+C127+D127+E127</f>
        <v>99505.7716</v>
      </c>
      <c r="I127" t="str">
        <f t="shared" si="8"/>
        <v>销售商品、提供劳务收到的现金</v>
      </c>
      <c r="J127" t="str">
        <f t="shared" ref="J127:J137" si="14">_xlfn.CONCAT(TEXT($E$3,"YYYY"),"年-",TEXT($C$3,"YYYY"),"年及",TEXT($B$3,"YYYY年MM月"),"，","拟承租人",I127,"分别为",TEXT(E127/10000,"0.00"),"亿元、",TEXT(D127/10000,"0.00"),"亿元、",TEXT(C127/10000,"0.00"),"亿元及",TEXT(B127/10000,"0.00"),"亿元。")</f>
        <v>2022年-2024年及2025年09月，拟承租人销售商品、提供劳务收到的现金分别为1.08亿元、0.68亿元、0.61亿元及7.58亿元。</v>
      </c>
      <c r="M127" s="103">
        <f t="shared" ref="M127:M137" si="15">(C127-D127)/D127</f>
        <v>-0.0939434157555186</v>
      </c>
      <c r="N127" s="103">
        <f t="shared" ref="N127:N137" si="16">(D127-E127)/E127</f>
        <v>-0.37464414256865</v>
      </c>
    </row>
    <row r="128" ht="18.75" customHeight="1" spans="1:14">
      <c r="A128" s="141" t="s">
        <v>555</v>
      </c>
      <c r="B128" s="142">
        <f>ROUND(HLOOKUP($B$3,cf!$C$1:$Z$68,MATCH("*"&amp;A128&amp;"*",cf!$B$1:$B$68,),FALSE),0)/IF(ISNUMBER(SEARCH("亿",$A$2)),100000000,IF(ISNUMBER(SEARCH("万",$A$2)),10000,1))</f>
        <v>838300.4395</v>
      </c>
      <c r="C128" s="142">
        <f>ROUND(HLOOKUP($C$3,cf!$C$1:$Z$68,MATCH("*"&amp;A128&amp;"*",cf!$B$1:$B$68,),FALSE),0)/IF(ISNUMBER(SEARCH("亿",$A$2)),100000000,IF(ISNUMBER(SEARCH("万",$A$2)),10000,1))</f>
        <v>6138.7095</v>
      </c>
      <c r="D128" s="142">
        <f>ROUND(HLOOKUP($D$3,cf!$C$1:$Z$68,MATCH("*"&amp;A128&amp;"*",cf!$B$1:$B$68,),FALSE),0)/IF(ISNUMBER(SEARCH("亿",$A$2)),100000000,IF(ISNUMBER(SEARCH("万",$A$2)),10000,1))</f>
        <v>6826.6898</v>
      </c>
      <c r="E128" s="142">
        <f>ROUND(HLOOKUP($E$3,cf!$C$1:$Z$68,MATCH("*"&amp;A128&amp;"*",cf!$B$1:$B$68,),FALSE),0)/IF(ISNUMBER(SEARCH("亿",$A$2)),100000000,IF(ISNUMBER(SEARCH("万",$A$2)),10000,1))</f>
        <v>14152.8708</v>
      </c>
      <c r="H128" s="143">
        <f t="shared" si="13"/>
        <v>865418.7096</v>
      </c>
      <c r="I128" t="str">
        <f t="shared" si="8"/>
        <v>经营活动现金流入小计</v>
      </c>
      <c r="J128" t="str">
        <f t="shared" si="14"/>
        <v>2022年-2024年及2025年09月，拟承租人经营活动现金流入小计分别为1.42亿元、0.68亿元、0.61亿元及83.83亿元。</v>
      </c>
      <c r="M128" s="103">
        <f t="shared" si="15"/>
        <v>-0.100778022754161</v>
      </c>
      <c r="N128" s="103">
        <f t="shared" si="16"/>
        <v>-0.517646285586102</v>
      </c>
    </row>
    <row r="129" ht="18.75" customHeight="1" spans="1:14">
      <c r="A129" s="141" t="s">
        <v>556</v>
      </c>
      <c r="B129" s="142">
        <f>ROUND(HLOOKUP($B$3,cf!$C$1:$Z$68,MATCH("*"&amp;A129&amp;"*",cf!$B$1:$B$68,),FALSE),0)/IF(ISNUMBER(SEARCH("亿",$A$2)),100000000,IF(ISNUMBER(SEARCH("万",$A$2)),10000,1))</f>
        <v>517464.5227</v>
      </c>
      <c r="C129" s="142">
        <f>ROUND(HLOOKUP($C$3,cf!$C$1:$Z$68,MATCH("*"&amp;A129&amp;"*",cf!$B$1:$B$68,),FALSE),0)/IF(ISNUMBER(SEARCH("亿",$A$2)),100000000,IF(ISNUMBER(SEARCH("万",$A$2)),10000,1))</f>
        <v>1959.777</v>
      </c>
      <c r="D129" s="142">
        <f>ROUND(HLOOKUP($D$3,cf!$C$1:$Z$68,MATCH("*"&amp;A129&amp;"*",cf!$B$1:$B$68,),FALSE),0)/IF(ISNUMBER(SEARCH("亿",$A$2)),100000000,IF(ISNUMBER(SEARCH("万",$A$2)),10000,1))</f>
        <v>1849.2883</v>
      </c>
      <c r="E129" s="142">
        <f>ROUND(HLOOKUP($E$3,cf!$C$1:$Z$68,MATCH("*"&amp;A129&amp;"*",cf!$B$1:$B$68,),FALSE),0)/IF(ISNUMBER(SEARCH("亿",$A$2)),100000000,IF(ISNUMBER(SEARCH("万",$A$2)),10000,1))</f>
        <v>1805.8373</v>
      </c>
      <c r="H129" s="143">
        <f t="shared" si="13"/>
        <v>523079.4253</v>
      </c>
      <c r="I129" t="str">
        <f t="shared" si="8"/>
        <v>经营活动现金流出小计</v>
      </c>
      <c r="J129" t="str">
        <f t="shared" si="14"/>
        <v>2022年-2024年及2025年09月，拟承租人经营活动现金流出小计分别为0.18亿元、0.18亿元、0.20亿元及51.75亿元。</v>
      </c>
      <c r="M129" s="103">
        <f t="shared" si="15"/>
        <v>0.0597466063025436</v>
      </c>
      <c r="N129" s="103">
        <f t="shared" si="16"/>
        <v>0.0240614146135978</v>
      </c>
    </row>
    <row r="130" ht="18.75" customHeight="1" spans="1:14">
      <c r="A130" s="144" t="s">
        <v>495</v>
      </c>
      <c r="B130" s="142">
        <f>ROUND(HLOOKUP($B$3,cf!$C$1:$Z$68,MATCH("*"&amp;A130&amp;"*",cf!$B$1:$B$68,),FALSE),0)/IF(ISNUMBER(SEARCH("亿",$A$2)),100000000,IF(ISNUMBER(SEARCH("万",$A$2)),10000,1))</f>
        <v>320835.9167</v>
      </c>
      <c r="C130" s="142">
        <f>ROUND(HLOOKUP($C$3,cf!$C$1:$Z$68,MATCH("*"&amp;A130&amp;"*",cf!$B$1:$B$68,),FALSE),0)/IF(ISNUMBER(SEARCH("亿",$A$2)),100000000,IF(ISNUMBER(SEARCH("万",$A$2)),10000,1))</f>
        <v>4178.9325</v>
      </c>
      <c r="D130" s="142">
        <f>ROUND(HLOOKUP($D$3,cf!$C$1:$Z$68,MATCH("*"&amp;A130&amp;"*",cf!$B$1:$B$68,),FALSE),0)/IF(ISNUMBER(SEARCH("亿",$A$2)),100000000,IF(ISNUMBER(SEARCH("万",$A$2)),10000,1))</f>
        <v>4977.4015</v>
      </c>
      <c r="E130" s="142">
        <f>ROUND(HLOOKUP($E$3,cf!$C$1:$Z$68,MATCH("*"&amp;A130&amp;"*",cf!$B$1:$B$68,),FALSE),0)/IF(ISNUMBER(SEARCH("亿",$A$2)),100000000,IF(ISNUMBER(SEARCH("万",$A$2)),10000,1))</f>
        <v>12347.0335</v>
      </c>
      <c r="H130" s="143">
        <f t="shared" si="13"/>
        <v>342339.2842</v>
      </c>
      <c r="I130" t="str">
        <f t="shared" si="8"/>
        <v>经营活动产生的现金流量净额</v>
      </c>
      <c r="J130" t="str">
        <f t="shared" si="14"/>
        <v>2022年-2024年及2025年09月，拟承租人经营活动产生的现金流量净额分别为1.23亿元、0.50亿元、0.42亿元及32.08亿元。</v>
      </c>
      <c r="M130" s="103">
        <f t="shared" si="15"/>
        <v>-0.160418845053991</v>
      </c>
      <c r="N130" s="103">
        <f t="shared" si="16"/>
        <v>-0.596874706786857</v>
      </c>
    </row>
    <row r="131" ht="18.75" customHeight="1" spans="1:14">
      <c r="A131" s="141" t="s">
        <v>557</v>
      </c>
      <c r="B131" s="142">
        <f>ROUND(HLOOKUP($B$3,cf!$C$1:$Z$68,MATCH("*"&amp;A131&amp;"*",cf!$B$1:$B$68,),FALSE),0)/IF(ISNUMBER(SEARCH("亿",$A$2)),100000000,IF(ISNUMBER(SEARCH("万",$A$2)),10000,1))</f>
        <v>0</v>
      </c>
      <c r="C131" s="142">
        <f>ROUND(HLOOKUP($C$3,cf!$C$1:$Z$68,MATCH("*"&amp;A131&amp;"*",cf!$B$1:$B$68,),FALSE),0)/IF(ISNUMBER(SEARCH("亿",$A$2)),100000000,IF(ISNUMBER(SEARCH("万",$A$2)),10000,1))</f>
        <v>0.2747</v>
      </c>
      <c r="D131" s="142">
        <f>ROUND(HLOOKUP($D$3,cf!$C$1:$Z$68,MATCH("*"&amp;A131&amp;"*",cf!$B$1:$B$68,),FALSE),0)/IF(ISNUMBER(SEARCH("亿",$A$2)),100000000,IF(ISNUMBER(SEARCH("万",$A$2)),10000,1))</f>
        <v>0</v>
      </c>
      <c r="E131" s="142">
        <f>ROUND(HLOOKUP($E$3,cf!$C$1:$Z$68,MATCH("*"&amp;A131&amp;"*",cf!$B$1:$B$68,),FALSE),0)/IF(ISNUMBER(SEARCH("亿",$A$2)),100000000,IF(ISNUMBER(SEARCH("万",$A$2)),10000,1))</f>
        <v>0</v>
      </c>
      <c r="H131" s="143">
        <f t="shared" si="13"/>
        <v>0.2747</v>
      </c>
      <c r="I131" t="str">
        <f t="shared" si="8"/>
        <v>投资活动现金流入小计</v>
      </c>
      <c r="J131" t="str">
        <f t="shared" si="14"/>
        <v>2022年-2024年及2025年09月，拟承租人投资活动现金流入小计分别为0.00亿元、0.00亿元、0.00亿元及0.00亿元。</v>
      </c>
      <c r="M131" s="103" t="e">
        <f t="shared" si="15"/>
        <v>#DIV/0!</v>
      </c>
      <c r="N131" s="103" t="e">
        <f t="shared" si="16"/>
        <v>#DIV/0!</v>
      </c>
    </row>
    <row r="132" ht="18.75" customHeight="1" spans="1:14">
      <c r="A132" s="141" t="s">
        <v>558</v>
      </c>
      <c r="B132" s="142">
        <f>ROUND(HLOOKUP($B$3,cf!$C$1:$Z$68,MATCH("*"&amp;A132&amp;"*",cf!$B$1:$B$68,),FALSE),0)/IF(ISNUMBER(SEARCH("亿",$A$2)),100000000,IF(ISNUMBER(SEARCH("万",$A$2)),10000,1))</f>
        <v>47876.282</v>
      </c>
      <c r="C132" s="142">
        <f>ROUND(HLOOKUP($C$3,cf!$C$1:$Z$68,MATCH("*"&amp;A132&amp;"*",cf!$B$1:$B$68,),FALSE),0)/IF(ISNUMBER(SEARCH("亿",$A$2)),100000000,IF(ISNUMBER(SEARCH("万",$A$2)),10000,1))</f>
        <v>24.5834</v>
      </c>
      <c r="D132" s="142">
        <f>ROUND(HLOOKUP($D$3,cf!$C$1:$Z$68,MATCH("*"&amp;A132&amp;"*",cf!$B$1:$B$68,),FALSE),0)/IF(ISNUMBER(SEARCH("亿",$A$2)),100000000,IF(ISNUMBER(SEARCH("万",$A$2)),10000,1))</f>
        <v>189.7419</v>
      </c>
      <c r="E132" s="142">
        <f>ROUND(HLOOKUP($E$3,cf!$C$1:$Z$68,MATCH("*"&amp;A132&amp;"*",cf!$B$1:$B$68,),FALSE),0)/IF(ISNUMBER(SEARCH("亿",$A$2)),100000000,IF(ISNUMBER(SEARCH("万",$A$2)),10000,1))</f>
        <v>67.64</v>
      </c>
      <c r="H132" s="143">
        <f t="shared" si="13"/>
        <v>48158.2473</v>
      </c>
      <c r="I132" t="str">
        <f t="shared" si="8"/>
        <v>投资活动现金流出小计</v>
      </c>
      <c r="J132" t="str">
        <f t="shared" si="14"/>
        <v>2022年-2024年及2025年09月，拟承租人投资活动现金流出小计分别为0.01亿元、0.02亿元、0.00亿元及4.79亿元。</v>
      </c>
      <c r="M132" s="103">
        <f t="shared" si="15"/>
        <v>-0.870437684032889</v>
      </c>
      <c r="N132" s="103">
        <f t="shared" si="16"/>
        <v>1.80517297457126</v>
      </c>
    </row>
    <row r="133" ht="18.75" customHeight="1" spans="1:14">
      <c r="A133" s="144" t="s">
        <v>509</v>
      </c>
      <c r="B133" s="142">
        <f>ROUND(HLOOKUP($B$3,cf!$C$1:$Z$68,MATCH("*"&amp;A133&amp;"*",cf!$B$1:$B$68,),FALSE),0)/IF(ISNUMBER(SEARCH("亿",$A$2)),100000000,IF(ISNUMBER(SEARCH("万",$A$2)),10000,1))</f>
        <v>-47876.282</v>
      </c>
      <c r="C133" s="142">
        <f>ROUND(HLOOKUP($C$3,cf!$C$1:$Z$68,MATCH("*"&amp;A133&amp;"*",cf!$B$1:$B$68,),FALSE),0)/IF(ISNUMBER(SEARCH("亿",$A$2)),100000000,IF(ISNUMBER(SEARCH("万",$A$2)),10000,1))</f>
        <v>-24.3086</v>
      </c>
      <c r="D133" s="142">
        <f>ROUND(HLOOKUP($D$3,cf!$C$1:$Z$68,MATCH("*"&amp;A133&amp;"*",cf!$B$1:$B$68,),FALSE),0)/IF(ISNUMBER(SEARCH("亿",$A$2)),100000000,IF(ISNUMBER(SEARCH("万",$A$2)),10000,1))</f>
        <v>-189.7419</v>
      </c>
      <c r="E133" s="142">
        <f>ROUND(HLOOKUP($E$3,cf!$C$1:$Z$68,MATCH("*"&amp;A133&amp;"*",cf!$B$1:$B$68,),FALSE),0)/IF(ISNUMBER(SEARCH("亿",$A$2)),100000000,IF(ISNUMBER(SEARCH("万",$A$2)),10000,1))</f>
        <v>-67.64</v>
      </c>
      <c r="H133" s="143">
        <f t="shared" si="13"/>
        <v>-48157.9725</v>
      </c>
      <c r="I133" t="str">
        <f t="shared" si="8"/>
        <v>投资活动产生的现金流量净额</v>
      </c>
      <c r="J133" t="str">
        <f t="shared" si="14"/>
        <v>2022年-2024年及2025年09月，拟承租人投资活动产生的现金流量净额分别为-0.01亿元、-0.02亿元、0.00亿元及-4.79亿元。</v>
      </c>
      <c r="M133" s="103">
        <f t="shared" si="15"/>
        <v>-0.871885967200708</v>
      </c>
      <c r="N133" s="103">
        <f t="shared" si="16"/>
        <v>1.80517297457126</v>
      </c>
    </row>
    <row r="134" ht="18.75" customHeight="1" spans="1:14">
      <c r="A134" s="141" t="s">
        <v>559</v>
      </c>
      <c r="B134" s="142">
        <f>ROUND(HLOOKUP($B$3,cf!$C$1:$Z$68,MATCH("*"&amp;A134&amp;"*",cf!$B$1:$B$68,),FALSE),0)/IF(ISNUMBER(SEARCH("亿",$A$2)),100000000,IF(ISNUMBER(SEARCH("万",$A$2)),10000,1))</f>
        <v>586904.9437</v>
      </c>
      <c r="C134" s="142">
        <f>ROUND(HLOOKUP($C$3,cf!$C$1:$Z$68,MATCH("*"&amp;A134&amp;"*",cf!$B$1:$B$68,),FALSE),0)/IF(ISNUMBER(SEARCH("亿",$A$2)),100000000,IF(ISNUMBER(SEARCH("万",$A$2)),10000,1))</f>
        <v>1650</v>
      </c>
      <c r="D134" s="142">
        <f>ROUND(HLOOKUP($D$3,cf!$C$1:$Z$68,MATCH("*"&amp;A134&amp;"*",cf!$B$1:$B$68,),FALSE),0)/IF(ISNUMBER(SEARCH("亿",$A$2)),100000000,IF(ISNUMBER(SEARCH("万",$A$2)),10000,1))</f>
        <v>0</v>
      </c>
      <c r="E134" s="142">
        <f>ROUND(HLOOKUP($E$3,cf!$C$1:$Z$68,MATCH("*"&amp;A134&amp;"*",cf!$B$1:$B$68,),FALSE),0)/IF(ISNUMBER(SEARCH("亿",$A$2)),100000000,IF(ISNUMBER(SEARCH("万",$A$2)),10000,1))</f>
        <v>0</v>
      </c>
      <c r="H134" s="143">
        <f t="shared" si="13"/>
        <v>588554.9437</v>
      </c>
      <c r="I134" t="str">
        <f t="shared" si="8"/>
        <v>筹资活动现金流入小计</v>
      </c>
      <c r="J134" t="str">
        <f t="shared" si="14"/>
        <v>2022年-2024年及2025年09月，拟承租人筹资活动现金流入小计分别为0.00亿元、0.00亿元、0.17亿元及58.69亿元。</v>
      </c>
      <c r="M134" s="103" t="e">
        <f t="shared" si="15"/>
        <v>#DIV/0!</v>
      </c>
      <c r="N134" s="103" t="e">
        <f t="shared" si="16"/>
        <v>#DIV/0!</v>
      </c>
    </row>
    <row r="135" ht="18.75" customHeight="1" spans="1:14">
      <c r="A135" s="141" t="s">
        <v>560</v>
      </c>
      <c r="B135" s="142">
        <f>ROUND(HLOOKUP($B$3,cf!$C$1:$Z$68,MATCH("*"&amp;A135&amp;"*",cf!$B$1:$B$68,),FALSE),0)/IF(ISNUMBER(SEARCH("亿",$A$2)),100000000,IF(ISNUMBER(SEARCH("万",$A$2)),10000,1))</f>
        <v>866814.7287</v>
      </c>
      <c r="C135" s="142">
        <f>ROUND(HLOOKUP($C$3,cf!$C$1:$Z$68,MATCH("*"&amp;A135&amp;"*",cf!$B$1:$B$68,),FALSE),0)/IF(ISNUMBER(SEARCH("亿",$A$2)),100000000,IF(ISNUMBER(SEARCH("万",$A$2)),10000,1))</f>
        <v>5541.0231</v>
      </c>
      <c r="D135" s="142">
        <f>ROUND(HLOOKUP($D$3,cf!$C$1:$Z$68,MATCH("*"&amp;A135&amp;"*",cf!$B$1:$B$68,),FALSE),0)/IF(ISNUMBER(SEARCH("亿",$A$2)),100000000,IF(ISNUMBER(SEARCH("万",$A$2)),10000,1))</f>
        <v>7234.4071</v>
      </c>
      <c r="E135" s="142">
        <f>ROUND(HLOOKUP($E$3,cf!$C$1:$Z$68,MATCH("*"&amp;A135&amp;"*",cf!$B$1:$B$68,),FALSE),0)/IF(ISNUMBER(SEARCH("亿",$A$2)),100000000,IF(ISNUMBER(SEARCH("万",$A$2)),10000,1))</f>
        <v>10641.2381</v>
      </c>
      <c r="H135" s="143">
        <f t="shared" si="13"/>
        <v>890231.397</v>
      </c>
      <c r="I135" t="str">
        <f t="shared" ref="I135:I166" si="17">A135</f>
        <v>筹资活动现金流出小计</v>
      </c>
      <c r="J135" t="str">
        <f t="shared" si="14"/>
        <v>2022年-2024年及2025年09月，拟承租人筹资活动现金流出小计分别为1.06亿元、0.72亿元、0.55亿元及86.68亿元。</v>
      </c>
      <c r="M135" s="103">
        <f t="shared" si="15"/>
        <v>-0.234073639566123</v>
      </c>
      <c r="N135" s="103">
        <f t="shared" si="16"/>
        <v>-0.320153629491666</v>
      </c>
    </row>
    <row r="136" ht="18.75" customHeight="1" spans="1:14">
      <c r="A136" s="144" t="s">
        <v>561</v>
      </c>
      <c r="B136" s="142">
        <f>ROUND(HLOOKUP($B$3,cf!$C$1:$Z$68,MATCH("*"&amp;A136&amp;"*",cf!$B$1:$B$68,),FALSE),0)/IF(ISNUMBER(SEARCH("亿",$A$2)),100000000,IF(ISNUMBER(SEARCH("万",$A$2)),10000,1))</f>
        <v>-279909.785</v>
      </c>
      <c r="C136" s="142">
        <f>ROUND(HLOOKUP($C$3,cf!$C$1:$Z$68,MATCH("*"&amp;A136&amp;"*",cf!$B$1:$B$68,),FALSE),0)/IF(ISNUMBER(SEARCH("亿",$A$2)),100000000,IF(ISNUMBER(SEARCH("万",$A$2)),10000,1))</f>
        <v>-3891.0231</v>
      </c>
      <c r="D136" s="142">
        <f>ROUND(HLOOKUP($D$3,cf!$C$1:$Z$68,MATCH("*"&amp;A136&amp;"*",cf!$B$1:$B$68,),FALSE),0)/IF(ISNUMBER(SEARCH("亿",$A$2)),100000000,IF(ISNUMBER(SEARCH("万",$A$2)),10000,1))</f>
        <v>-7234.4071</v>
      </c>
      <c r="E136" s="142">
        <f>ROUND(HLOOKUP($E$3,cf!$C$1:$Z$68,MATCH("*"&amp;A136&amp;"*",cf!$B$1:$B$68,),FALSE),0)/IF(ISNUMBER(SEARCH("亿",$A$2)),100000000,IF(ISNUMBER(SEARCH("万",$A$2)),10000,1))</f>
        <v>-10641.2381</v>
      </c>
      <c r="H136" s="143">
        <f t="shared" si="13"/>
        <v>-301676.4533</v>
      </c>
      <c r="I136" t="str">
        <f t="shared" si="17"/>
        <v>筹资活动产生的现金流量净额</v>
      </c>
      <c r="J136" t="str">
        <f t="shared" si="14"/>
        <v>2022年-2024年及2025年09月，拟承租人筹资活动产生的现金流量净额分别为-1.06亿元、-0.72亿元、-0.39亿元及-27.99亿元。</v>
      </c>
      <c r="M136" s="103">
        <f t="shared" si="15"/>
        <v>-0.462150381335327</v>
      </c>
      <c r="N136" s="103">
        <f t="shared" si="16"/>
        <v>-0.320153629491666</v>
      </c>
    </row>
    <row r="137" ht="18.75" customHeight="1" spans="1:14">
      <c r="A137" s="144" t="s">
        <v>252</v>
      </c>
      <c r="B137" s="142">
        <f>ROUND(HLOOKUP($B$3,cf!$C$1:$Z$68,MATCH("*"&amp;A137&amp;"*",cf!$B$1:$B$68,),FALSE),0)/IF(ISNUMBER(SEARCH("亿",$A$2)),100000000,IF(ISNUMBER(SEARCH("万",$A$2)),10000,1))</f>
        <v>-6950.1503</v>
      </c>
      <c r="C137" s="142">
        <f>ROUND(HLOOKUP($C$3,cf!$C$1:$Z$68,MATCH("*"&amp;A137&amp;"*",cf!$B$1:$B$68,),FALSE),0)/IF(ISNUMBER(SEARCH("亿",$A$2)),100000000,IF(ISNUMBER(SEARCH("万",$A$2)),10000,1))</f>
        <v>263.6008</v>
      </c>
      <c r="D137" s="142">
        <f>ROUND(HLOOKUP($D$3,cf!$C$1:$Z$68,MATCH("*"&amp;A137&amp;"*",cf!$B$1:$B$68,),FALSE),0)/IF(ISNUMBER(SEARCH("亿",$A$2)),100000000,IF(ISNUMBER(SEARCH("万",$A$2)),10000,1))</f>
        <v>-2446.7475</v>
      </c>
      <c r="E137" s="142">
        <f>ROUND(HLOOKUP($E$3,cf!$C$1:$Z$68,MATCH("*"&amp;A137&amp;"*",cf!$B$1:$B$68,),FALSE),0)/IF(ISNUMBER(SEARCH("亿",$A$2)),100000000,IF(ISNUMBER(SEARCH("万",$A$2)),10000,1))</f>
        <v>1638.1554</v>
      </c>
      <c r="H137" s="143">
        <f t="shared" si="13"/>
        <v>-7495.1416</v>
      </c>
      <c r="I137" t="str">
        <f t="shared" si="17"/>
        <v>现金及现金等价物净增加额</v>
      </c>
      <c r="J137" t="str">
        <f t="shared" si="14"/>
        <v>2022年-2024年及2025年09月，拟承租人现金及现金等价物净增加额分别为0.16亿元、-0.24亿元、0.03亿元及-0.70亿元。</v>
      </c>
      <c r="M137" s="103">
        <f t="shared" si="15"/>
        <v>-1.10773518722304</v>
      </c>
      <c r="N137" s="103">
        <f t="shared" si="16"/>
        <v>-2.49359914205942</v>
      </c>
    </row>
    <row r="138" ht="44.25" customHeight="1" spans="1:14">
      <c r="A138" s="144" t="s">
        <v>562</v>
      </c>
      <c r="B138" s="149"/>
      <c r="C138" s="139"/>
      <c r="D138" s="139"/>
      <c r="E138" s="140"/>
      <c r="H138" s="143">
        <f t="shared" si="13"/>
        <v>0</v>
      </c>
      <c r="I138" t="str">
        <f t="shared" si="17"/>
        <v>现金流情况简要分析</v>
      </c>
    </row>
    <row r="139" ht="15.75" customHeight="1" spans="1:14">
      <c r="A139" s="138" t="s">
        <v>563</v>
      </c>
      <c r="B139" s="139"/>
      <c r="C139" s="139"/>
      <c r="D139" s="139"/>
      <c r="E139" s="140"/>
      <c r="H139" s="143"/>
      <c r="I139" t="str">
        <f t="shared" si="17"/>
        <v>偿债能力分析</v>
      </c>
      <c r="J139" t="str">
        <f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2022年-2024年及2025年09月，拟承租人偿债能力分析分别为0.00亿元、0.00亿元、0.00亿元及0.00亿元。</v>
      </c>
      <c r="M139" s="103"/>
      <c r="N139" s="103"/>
    </row>
    <row r="140" ht="15.75" customHeight="1" spans="1:14">
      <c r="A140" s="138" t="str">
        <f>$A$3</f>
        <v>项目</v>
      </c>
      <c r="B140" s="145" t="str">
        <f>TEXT(B$3,"YYYY年MM月")</f>
        <v>2025年09月</v>
      </c>
      <c r="C140" s="145" t="str">
        <f>TEXT(C$3,"YYYY年MM月")</f>
        <v>2024年12月</v>
      </c>
      <c r="D140" s="145" t="str">
        <f>TEXT(D$3,"YYYY年MM月")</f>
        <v>2023年12月</v>
      </c>
      <c r="E140" s="145" t="str">
        <f>TEXT(E$3,"YYYY年MM月")</f>
        <v>2022年12月</v>
      </c>
      <c r="H140" s="143"/>
      <c r="I140" t="str">
        <f t="shared" si="17"/>
        <v>项目</v>
      </c>
      <c r="M140" s="103">
        <f>(C140-D140)/D140</f>
        <v>0.00808643202757341</v>
      </c>
      <c r="N140" s="103">
        <f>(D140-E140)/E140</f>
        <v>0.00812990021382751</v>
      </c>
    </row>
    <row r="141" ht="18.35" customHeight="1" spans="1:14">
      <c r="A141" s="150" t="s">
        <v>564</v>
      </c>
      <c r="B141" s="151" t="e">
        <f>B27/B79</f>
        <v>#DIV/0!</v>
      </c>
      <c r="C141" s="151" t="e">
        <f>C27/C79</f>
        <v>#N/A</v>
      </c>
      <c r="D141" s="151" t="e">
        <f>D27/D79</f>
        <v>#N/A</v>
      </c>
      <c r="E141" s="151" t="e">
        <f>E27/E79</f>
        <v>#N/A</v>
      </c>
      <c r="G141" t="e">
        <f>CONCATENATE("从短期偿债能力指标看，近三年及一期，拟承租人",A141,"分别为",ROUND(E141,2),"、",ROUND(D141,2),"、",ROUND(C141,2),"和",ROUND(B141,2),"。")</f>
        <v>#N/A</v>
      </c>
      <c r="H141" s="143" t="e">
        <f>B141+C141+D141+E141</f>
        <v>#DIV/0!</v>
      </c>
      <c r="I141" t="str">
        <f t="shared" si="17"/>
        <v>流动比率</v>
      </c>
      <c r="J141" t="e">
        <f>_xlfn.CONCAT(TEXT($E$3,"YYYY"),"年-",TEXT($C$3,"YYYY"),"年及",TEXT($B$3,"YYYY年MM月"),"，","拟承租人",I141,"分别为",ROUND(E141,2),"、",ROUND(D141,2),"、",ROUND(C141,2),"和",ROUND(B141,2),"。")</f>
        <v>#N/A</v>
      </c>
      <c r="M141" s="103" t="e">
        <f>(C141-D141)/D141</f>
        <v>#N/A</v>
      </c>
      <c r="N141" s="103" t="e">
        <f>(D141-E141)/E141</f>
        <v>#N/A</v>
      </c>
    </row>
    <row r="142" ht="18.35" customHeight="1" spans="1:14">
      <c r="A142" s="150" t="s">
        <v>565</v>
      </c>
      <c r="B142" s="142" t="e">
        <f>(B27-B22)/B79</f>
        <v>#DIV/0!</v>
      </c>
      <c r="C142" s="142" t="e">
        <f>(C27-C22)/C79</f>
        <v>#N/A</v>
      </c>
      <c r="D142" s="142" t="e">
        <f>(D27-D22)/D79</f>
        <v>#N/A</v>
      </c>
      <c r="E142" s="142" t="e">
        <f>(E27-E22)/E79</f>
        <v>#N/A</v>
      </c>
      <c r="G142" t="e">
        <f>CONCATENATE("从短期偿债能力指标看，近三年及一期，拟承租人",A142,"分别为",ROUND(E142,2),"、",ROUND(D142,2),"、",ROUND(C142,2),"和",ROUND(B142,2),"。")</f>
        <v>#N/A</v>
      </c>
      <c r="H142" s="143" t="e">
        <f>B142+C142+D142+E142</f>
        <v>#DIV/0!</v>
      </c>
      <c r="I142" t="str">
        <f t="shared" si="17"/>
        <v>速动比率</v>
      </c>
      <c r="J142" t="e">
        <f>_xlfn.CONCAT(TEXT($E$3,"YYYY"),"年-",TEXT($C$3,"YYYY"),"年及",TEXT($B$3,"YYYY年MM月"),"，","拟承租人",I142,"分别为",ROUND(E142,2),"、",ROUND(D142,2),"、",ROUND(C142,2),"和",ROUND(B142,2),"。")</f>
        <v>#N/A</v>
      </c>
      <c r="M142" s="103" t="e">
        <f>(C142-D142)/D142</f>
        <v>#N/A</v>
      </c>
      <c r="N142" s="103" t="e">
        <f>(D142-E142)/E142</f>
        <v>#N/A</v>
      </c>
    </row>
    <row r="143" ht="18.35" customHeight="1" spans="1:14">
      <c r="A143" s="150" t="s">
        <v>566</v>
      </c>
      <c r="B143" s="152" t="e">
        <f>B94/B55</f>
        <v>#DIV/0!</v>
      </c>
      <c r="C143" s="152" t="e">
        <f>C94/C55</f>
        <v>#N/A</v>
      </c>
      <c r="D143" s="152" t="e">
        <f>D94/D55</f>
        <v>#N/A</v>
      </c>
      <c r="E143" s="152" t="e">
        <f>E94/E55</f>
        <v>#N/A</v>
      </c>
      <c r="G143" t="e">
        <f>CONCATENATE("近三年及一期，拟承租人",A143,"分别为",TEXT(E143,"0.00%"),"、",TEXT(D143,"0.00%"),"、",TEXT(C143,"0.00%"),"和",TEXT(B143,"0.00%"),"。")</f>
        <v>#N/A</v>
      </c>
      <c r="H143" s="143" t="e">
        <f>B143+C143+D143+E143</f>
        <v>#DIV/0!</v>
      </c>
      <c r="I143" t="str">
        <f t="shared" si="17"/>
        <v>资产负债率(%)</v>
      </c>
      <c r="J143" t="e">
        <f>_xlfn.CONCAT(TEXT($E$3,"YYYY"),"年-",TEXT($C$3,"YYYY"),"年及",TEXT($B$3,"YYYY年MM月"),"，","拟承租人",LEFT(I143,5),"分别为",TEXT(E143,"0.00%"),"、",TEXT(D143,"0.00%"),"、",TEXT(C143,"0.00%"),"和",TEXT(B143,"0.00%"),"。")</f>
        <v>#N/A</v>
      </c>
      <c r="M143" s="103" t="e">
        <f>(C143-D143)/D143</f>
        <v>#N/A</v>
      </c>
      <c r="N143" s="103" t="e">
        <f>(D143-E143)/E143</f>
        <v>#N/A</v>
      </c>
    </row>
    <row r="144" ht="18.35" customHeight="1" spans="1:14">
      <c r="A144" s="150" t="s">
        <v>567</v>
      </c>
      <c r="B144" s="153"/>
      <c r="C144" s="153"/>
      <c r="D144" s="153"/>
      <c r="E144" s="153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43">
        <f>B144+C144+D144+E144</f>
        <v>0</v>
      </c>
      <c r="I144" t="str">
        <f t="shared" si="17"/>
        <v>调整后的资产负债率（%）</v>
      </c>
    </row>
    <row r="145" ht="18.35" customHeight="1" spans="1:14">
      <c r="A145" s="150" t="s">
        <v>568</v>
      </c>
      <c r="B145" s="152" t="e">
        <f>B79/B94</f>
        <v>#DIV/0!</v>
      </c>
      <c r="C145" s="152" t="e">
        <f>C79/C94</f>
        <v>#N/A</v>
      </c>
      <c r="D145" s="152" t="e">
        <f>D79/D94</f>
        <v>#N/A</v>
      </c>
      <c r="E145" s="152" t="e">
        <f>E79/E94</f>
        <v>#N/A</v>
      </c>
      <c r="G145" t="e">
        <f>CONCATENATE("近三年及一期，拟承租人",A145,"分别为",TEXT(E145,"0.00%"),"、",TEXT(D145,"0.00%"),"、",TEXT(C145,"0.00%"),"和",TEXT(B145,"0.00%"),"。")</f>
        <v>#N/A</v>
      </c>
      <c r="H145" s="143" t="e">
        <f>B145+C145+D145+E145</f>
        <v>#DIV/0!</v>
      </c>
      <c r="I145" t="str">
        <f t="shared" si="17"/>
        <v>流动负债率(%)</v>
      </c>
      <c r="J145" t="e">
        <f>_xlfn.CONCAT(TEXT($E$3,"YYYY"),"年-",TEXT($C$3,"YYYY"),"年及",TEXT($B$3,"YYYY年MM月"),"，","拟承租人",LEFT(I145,5),"分别为",TEXT(E145,"0.00%"),"、",TEXT(D145,"0.00%"),"、",TEXT(C145,"0.00%"),"和",TEXT(B145,"0.00%"),"。")</f>
        <v>#N/A</v>
      </c>
      <c r="M145" s="103" t="e">
        <f>(C145-D145)/D145</f>
        <v>#N/A</v>
      </c>
      <c r="N145" s="103" t="e">
        <f>(D145-E145)/E145</f>
        <v>#N/A</v>
      </c>
    </row>
    <row r="146" ht="15.75" customHeight="1" spans="1:14">
      <c r="A146" s="154" t="s">
        <v>569</v>
      </c>
      <c r="B146" s="139"/>
      <c r="C146" s="139"/>
      <c r="D146" s="139"/>
      <c r="E146" s="140"/>
      <c r="H146" s="143"/>
      <c r="I146" t="str">
        <f t="shared" si="17"/>
        <v>经营效率分析</v>
      </c>
      <c r="M146" s="103"/>
      <c r="N146" s="103"/>
    </row>
    <row r="147" ht="15.75" customHeight="1" spans="1:14">
      <c r="A147" s="138" t="str">
        <f>$A$3</f>
        <v>项目</v>
      </c>
      <c r="B147" s="145" t="str">
        <f>TEXT(B$3,"YYYY年MM月")</f>
        <v>2025年09月</v>
      </c>
      <c r="C147" s="145" t="str">
        <f>TEXT(C$3,"YYYY年MM月")</f>
        <v>2024年12月</v>
      </c>
      <c r="D147" s="145" t="str">
        <f>TEXT(D$3,"YYYY年MM月")</f>
        <v>2023年12月</v>
      </c>
      <c r="E147" s="145" t="str">
        <f>TEXT(E$3,"YYYY年MM月")</f>
        <v>2022年12月</v>
      </c>
      <c r="H147" s="143"/>
      <c r="I147" t="str">
        <f t="shared" si="17"/>
        <v>项目</v>
      </c>
      <c r="M147" s="103">
        <f t="shared" ref="M147:M154" si="18">(C147-D147)/D147</f>
        <v>0.00808643202757341</v>
      </c>
      <c r="N147" s="103">
        <f t="shared" ref="N147:N154" si="19">(D147-E147)/E147</f>
        <v>0.00812990021382751</v>
      </c>
    </row>
    <row r="148" ht="18.35" customHeight="1" spans="1:14">
      <c r="A148" s="150" t="s">
        <v>570</v>
      </c>
      <c r="B148" s="155" t="e">
        <f>0+(B112/(B22+C22)*2)</f>
        <v>#N/A</v>
      </c>
      <c r="C148" s="155" t="e">
        <f>0+(C112/(C22+D22)*2)</f>
        <v>#N/A</v>
      </c>
      <c r="D148" s="155" t="e">
        <f>0+(D112/(D22+E22)*2)</f>
        <v>#N/A</v>
      </c>
      <c r="E148" s="155" t="e">
        <f>E112/E22</f>
        <v>#N/A</v>
      </c>
      <c r="H148" s="143" t="e">
        <f t="shared" ref="H148:H154" si="20">B148+C148+D148+E148</f>
        <v>#N/A</v>
      </c>
      <c r="I148" t="str">
        <f t="shared" si="17"/>
        <v>存货周转率(倍)</v>
      </c>
      <c r="J148" t="e">
        <f t="shared" ref="J148:J154" si="2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#N/A</v>
      </c>
      <c r="M148" s="103" t="e">
        <f t="shared" si="18"/>
        <v>#N/A</v>
      </c>
      <c r="N148" s="103" t="e">
        <f t="shared" si="19"/>
        <v>#N/A</v>
      </c>
    </row>
    <row r="149" ht="18.35" customHeight="1" spans="1:14">
      <c r="A149" s="150" t="s">
        <v>571</v>
      </c>
      <c r="B149" s="142" t="e">
        <f>0+(B111/(B55+C55)*2)</f>
        <v>#N/A</v>
      </c>
      <c r="C149" s="142" t="e">
        <f>0+(C111/(C55+D55)*2)</f>
        <v>#N/A</v>
      </c>
      <c r="D149" s="142" t="e">
        <f>0+(D111/(D55+E55)*2)</f>
        <v>#N/A</v>
      </c>
      <c r="E149" s="142" t="e">
        <f>E111/E55</f>
        <v>#N/A</v>
      </c>
      <c r="H149" s="143" t="e">
        <f t="shared" si="20"/>
        <v>#N/A</v>
      </c>
      <c r="I149" t="str">
        <f t="shared" si="17"/>
        <v>总资产周转率(倍)</v>
      </c>
      <c r="J149" t="e">
        <f t="shared" si="21"/>
        <v>#N/A</v>
      </c>
      <c r="M149" s="103" t="e">
        <f t="shared" si="18"/>
        <v>#N/A</v>
      </c>
      <c r="N149" s="103" t="e">
        <f t="shared" si="19"/>
        <v>#N/A</v>
      </c>
    </row>
    <row r="150" ht="18.35" customHeight="1" spans="1:14">
      <c r="A150" s="150" t="s">
        <v>572</v>
      </c>
      <c r="B150" s="142" t="e">
        <f>0+(B111/(B12+C12)*2)</f>
        <v>#N/A</v>
      </c>
      <c r="C150" s="142" t="e">
        <f>C111/(C12+D12)*2</f>
        <v>#N/A</v>
      </c>
      <c r="D150" s="142" t="e">
        <f>D111/(D12+E12)*2</f>
        <v>#N/A</v>
      </c>
      <c r="E150" s="142" t="e">
        <f>E111/E12</f>
        <v>#N/A</v>
      </c>
      <c r="H150" s="143" t="e">
        <f t="shared" si="20"/>
        <v>#N/A</v>
      </c>
      <c r="I150" t="str">
        <f t="shared" si="17"/>
        <v>应收账款周转率(倍)</v>
      </c>
      <c r="J150" t="e">
        <f t="shared" si="21"/>
        <v>#N/A</v>
      </c>
      <c r="M150" s="103" t="e">
        <f t="shared" si="18"/>
        <v>#N/A</v>
      </c>
      <c r="N150" s="103" t="e">
        <f t="shared" si="19"/>
        <v>#N/A</v>
      </c>
    </row>
    <row r="151" ht="18.35" customHeight="1" spans="1:14">
      <c r="A151" s="150" t="s">
        <v>573</v>
      </c>
      <c r="B151" s="152" t="e">
        <f>0+(B112/B111)</f>
        <v>#DIV/0!</v>
      </c>
      <c r="C151" s="152" t="e">
        <f>C112/C111</f>
        <v>#DIV/0!</v>
      </c>
      <c r="D151" s="152" t="e">
        <f>D112/D111</f>
        <v>#DIV/0!</v>
      </c>
      <c r="E151" s="152" t="e">
        <f>E112/E111</f>
        <v>#DIV/0!</v>
      </c>
      <c r="H151" s="143" t="e">
        <f t="shared" si="20"/>
        <v>#DIV/0!</v>
      </c>
      <c r="I151" t="str">
        <f t="shared" si="17"/>
        <v>主营成本比例(%)</v>
      </c>
      <c r="J151" t="e">
        <f t="shared" si="21"/>
        <v>#DIV/0!</v>
      </c>
      <c r="M151" s="103" t="e">
        <f t="shared" si="18"/>
        <v>#DIV/0!</v>
      </c>
      <c r="N151" s="103" t="e">
        <f t="shared" si="19"/>
        <v>#DIV/0!</v>
      </c>
    </row>
    <row r="152" ht="18.35" customHeight="1" spans="1:14">
      <c r="A152" s="150" t="s">
        <v>574</v>
      </c>
      <c r="B152" s="152" t="e">
        <f>0+(B114/B111)</f>
        <v>#DIV/0!</v>
      </c>
      <c r="C152" s="152" t="e">
        <f>C114/C111</f>
        <v>#DIV/0!</v>
      </c>
      <c r="D152" s="152" t="e">
        <f>D114/D111</f>
        <v>#DIV/0!</v>
      </c>
      <c r="E152" s="152" t="e">
        <f>E114/E111</f>
        <v>#DIV/0!</v>
      </c>
      <c r="H152" s="143" t="e">
        <f t="shared" si="20"/>
        <v>#DIV/0!</v>
      </c>
      <c r="I152" t="str">
        <f t="shared" si="17"/>
        <v>营业费用比例(%)</v>
      </c>
      <c r="J152" t="e">
        <f t="shared" si="21"/>
        <v>#DIV/0!</v>
      </c>
      <c r="M152" s="103" t="e">
        <f t="shared" si="18"/>
        <v>#DIV/0!</v>
      </c>
      <c r="N152" s="103" t="e">
        <f t="shared" si="19"/>
        <v>#DIV/0!</v>
      </c>
    </row>
    <row r="153" ht="18.35" customHeight="1" spans="1:14">
      <c r="A153" s="150" t="s">
        <v>575</v>
      </c>
      <c r="B153" s="152" t="e">
        <f>0+(B115/B111)</f>
        <v>#DIV/0!</v>
      </c>
      <c r="C153" s="152" t="e">
        <f>C115/C111</f>
        <v>#DIV/0!</v>
      </c>
      <c r="D153" s="152" t="e">
        <f>D115/D111</f>
        <v>#DIV/0!</v>
      </c>
      <c r="E153" s="152" t="e">
        <f>E115/E111</f>
        <v>#DIV/0!</v>
      </c>
      <c r="H153" s="143" t="e">
        <f t="shared" si="20"/>
        <v>#DIV/0!</v>
      </c>
      <c r="I153" t="str">
        <f t="shared" si="17"/>
        <v>管理费用比例(%)</v>
      </c>
      <c r="J153" t="e">
        <f t="shared" si="21"/>
        <v>#DIV/0!</v>
      </c>
      <c r="M153" s="103" t="e">
        <f t="shared" si="18"/>
        <v>#DIV/0!</v>
      </c>
      <c r="N153" s="103" t="e">
        <f t="shared" si="19"/>
        <v>#DIV/0!</v>
      </c>
    </row>
    <row r="154" ht="18.35" customHeight="1" spans="1:14">
      <c r="A154" s="150" t="s">
        <v>576</v>
      </c>
      <c r="B154" s="152" t="e">
        <f>0+(B117/B111)</f>
        <v>#DIV/0!</v>
      </c>
      <c r="C154" s="152" t="e">
        <f>C117/C111</f>
        <v>#DIV/0!</v>
      </c>
      <c r="D154" s="152" t="e">
        <f>D117/D111</f>
        <v>#DIV/0!</v>
      </c>
      <c r="E154" s="152" t="e">
        <f>E117/E111</f>
        <v>#DIV/0!</v>
      </c>
      <c r="H154" s="143" t="e">
        <f t="shared" si="20"/>
        <v>#DIV/0!</v>
      </c>
      <c r="I154" t="str">
        <f t="shared" si="17"/>
        <v>财务费用比例(%)</v>
      </c>
      <c r="J154" t="e">
        <f t="shared" si="21"/>
        <v>#DIV/0!</v>
      </c>
      <c r="M154" s="103" t="e">
        <f t="shared" si="18"/>
        <v>#DIV/0!</v>
      </c>
      <c r="N154" s="103" t="e">
        <f t="shared" si="19"/>
        <v>#DIV/0!</v>
      </c>
    </row>
    <row r="155" ht="15.75" customHeight="1" spans="1:14">
      <c r="A155" s="138" t="s">
        <v>577</v>
      </c>
      <c r="B155" s="139"/>
      <c r="C155" s="139"/>
      <c r="D155" s="139"/>
      <c r="E155" s="140"/>
      <c r="H155" s="143"/>
      <c r="I155" t="str">
        <f t="shared" si="17"/>
        <v>盈利能力分析</v>
      </c>
      <c r="M155" s="103"/>
      <c r="N155" s="103"/>
    </row>
    <row r="156" ht="15.75" customHeight="1" spans="1:14">
      <c r="A156" s="138" t="str">
        <f>$A$3</f>
        <v>项目</v>
      </c>
      <c r="B156" s="145" t="str">
        <f>TEXT(B$3,"YYYY年MM月")</f>
        <v>2025年09月</v>
      </c>
      <c r="C156" s="145" t="str">
        <f>TEXT(C$3,"YYYY年MM月")</f>
        <v>2024年12月</v>
      </c>
      <c r="D156" s="145" t="str">
        <f>TEXT(D$3,"YYYY年MM月")</f>
        <v>2023年12月</v>
      </c>
      <c r="E156" s="145" t="str">
        <f>TEXT(E$3,"YYYY年MM月")</f>
        <v>2022年12月</v>
      </c>
      <c r="H156" s="143"/>
      <c r="I156" t="str">
        <f t="shared" si="17"/>
        <v>项目</v>
      </c>
      <c r="M156" s="103">
        <f t="shared" ref="M156:M164" si="22">(C156-D156)/D156</f>
        <v>0.00808643202757341</v>
      </c>
      <c r="N156" s="103">
        <f t="shared" ref="N156:N164" si="23">(D156-E156)/E156</f>
        <v>0.00812990021382751</v>
      </c>
    </row>
    <row r="157" ht="15.75" customHeight="1" spans="1:14">
      <c r="A157" s="156" t="str">
        <f>A111</f>
        <v>营业总收入</v>
      </c>
      <c r="B157" s="157">
        <f>B111</f>
        <v>0</v>
      </c>
      <c r="C157" s="157">
        <f>C111</f>
        <v>0</v>
      </c>
      <c r="D157" s="157">
        <f>D111</f>
        <v>0</v>
      </c>
      <c r="E157" s="157">
        <f>E111</f>
        <v>0</v>
      </c>
      <c r="H157" s="143"/>
      <c r="I157" t="str">
        <f t="shared" si="17"/>
        <v>营业总收入</v>
      </c>
      <c r="J157" t="str">
        <f t="shared" ref="J157:J165" si="24">_xlfn.CONCAT(TEXT($E$3,"YYYY"),"年-",TEXT($C$3,"YYYY"),"年及",TEXT($B$3,"YYYY年MM月"),"，","拟承租人",I157,"分别为",TEXT(E157/10000,"0.00"),"亿元、",TEXT(D157/10000,"0.00"),"亿元、",TEXT(C157/10000,"0.00"),"亿元及",TEXT(B157/10000,"0.00"),"亿元。")</f>
        <v>2022年-2024年及2025年09月，拟承租人营业总收入分别为0.00亿元、0.00亿元、0.00亿元及0.00亿元。</v>
      </c>
      <c r="M157" s="103" t="e">
        <f t="shared" si="22"/>
        <v>#DIV/0!</v>
      </c>
      <c r="N157" s="103" t="e">
        <f t="shared" si="23"/>
        <v>#DIV/0!</v>
      </c>
    </row>
    <row r="158" ht="15.75" customHeight="1" spans="1:14">
      <c r="A158" s="156" t="str">
        <f>A112</f>
        <v>营业成本</v>
      </c>
      <c r="B158" s="157">
        <f>B112</f>
        <v>0</v>
      </c>
      <c r="C158" s="157">
        <f>C112</f>
        <v>0</v>
      </c>
      <c r="D158" s="157">
        <f>D112</f>
        <v>0</v>
      </c>
      <c r="E158" s="157">
        <f>E112</f>
        <v>0</v>
      </c>
      <c r="H158" s="143"/>
      <c r="I158" t="str">
        <f t="shared" si="17"/>
        <v>营业成本</v>
      </c>
      <c r="J158" t="str">
        <f t="shared" si="24"/>
        <v>2022年-2024年及2025年09月，拟承租人营业成本分别为0.00亿元、0.00亿元、0.00亿元及0.00亿元。</v>
      </c>
      <c r="M158" s="103" t="e">
        <f t="shared" si="22"/>
        <v>#DIV/0!</v>
      </c>
      <c r="N158" s="103" t="e">
        <f t="shared" si="23"/>
        <v>#DIV/0!</v>
      </c>
    </row>
    <row r="159" ht="15.75" customHeight="1" spans="1:14">
      <c r="A159" s="156" t="str">
        <f>A121</f>
        <v>利润总额</v>
      </c>
      <c r="B159" s="157">
        <f>B121</f>
        <v>0</v>
      </c>
      <c r="C159" s="157">
        <f>C121</f>
        <v>0</v>
      </c>
      <c r="D159" s="157">
        <f>D121</f>
        <v>0</v>
      </c>
      <c r="E159" s="157">
        <f>E121</f>
        <v>0</v>
      </c>
      <c r="H159" s="143"/>
      <c r="I159" t="str">
        <f t="shared" si="17"/>
        <v>利润总额</v>
      </c>
      <c r="J159" t="str">
        <f t="shared" si="24"/>
        <v>2022年-2024年及2025年09月，拟承租人利润总额分别为0.00亿元、0.00亿元、0.00亿元及0.00亿元。</v>
      </c>
      <c r="M159" s="103" t="e">
        <f t="shared" si="22"/>
        <v>#DIV/0!</v>
      </c>
      <c r="N159" s="103" t="e">
        <f t="shared" si="23"/>
        <v>#DIV/0!</v>
      </c>
    </row>
    <row r="160" ht="18.35" customHeight="1" spans="1:14">
      <c r="A160" s="150" t="s">
        <v>578</v>
      </c>
      <c r="B160" s="152" t="e">
        <f>B123/B111</f>
        <v>#DIV/0!</v>
      </c>
      <c r="C160" s="152" t="e">
        <f>C123/C111</f>
        <v>#DIV/0!</v>
      </c>
      <c r="D160" s="152" t="e">
        <f>D123/D111</f>
        <v>#DIV/0!</v>
      </c>
      <c r="E160" s="152" t="e">
        <f>E123/E111</f>
        <v>#DIV/0!</v>
      </c>
      <c r="H160" s="143" t="e">
        <f>B160+C160+D160+E160</f>
        <v>#DIV/0!</v>
      </c>
      <c r="I160" t="str">
        <f t="shared" si="17"/>
        <v>净利润率(%)</v>
      </c>
      <c r="J160" t="e">
        <f t="shared" si="24"/>
        <v>#DIV/0!</v>
      </c>
      <c r="M160" s="103" t="e">
        <f t="shared" si="22"/>
        <v>#DIV/0!</v>
      </c>
      <c r="N160" s="103" t="e">
        <f t="shared" si="23"/>
        <v>#DIV/0!</v>
      </c>
    </row>
    <row r="161" ht="18.35" customHeight="1" spans="1:14">
      <c r="A161" s="150" t="s">
        <v>579</v>
      </c>
      <c r="B161" s="152" t="e">
        <f>(B111-B112)/B111</f>
        <v>#DIV/0!</v>
      </c>
      <c r="C161" s="152" t="e">
        <f>(C111-C112)/C111</f>
        <v>#DIV/0!</v>
      </c>
      <c r="D161" s="152" t="e">
        <f>(D111-D112)/D111</f>
        <v>#DIV/0!</v>
      </c>
      <c r="E161" s="152" t="e">
        <f>(E111-E112)/E111</f>
        <v>#DIV/0!</v>
      </c>
      <c r="G161" s="20" t="e">
        <f>CONCATENATE("近三年及一期，拟承租人营业毛利率分别为",TEXT(E161,"0.00%"),"、",TEXT(D161,"0.00%"),"、",TEXT(C161,"0.00%"),"及",TEXT(B161,"0.00%"),"。")</f>
        <v>#DIV/0!</v>
      </c>
      <c r="H161" s="143" t="e">
        <f>B161+C161+D161+E161</f>
        <v>#DIV/0!</v>
      </c>
      <c r="I161" t="str">
        <f t="shared" si="17"/>
        <v>营业毛利率(%)</v>
      </c>
      <c r="J161" t="e">
        <f t="shared" si="24"/>
        <v>#DIV/0!</v>
      </c>
      <c r="M161" s="103" t="e">
        <f t="shared" si="22"/>
        <v>#DIV/0!</v>
      </c>
      <c r="N161" s="103" t="e">
        <f t="shared" si="23"/>
        <v>#DIV/0!</v>
      </c>
    </row>
    <row r="162" ht="18.35" customHeight="1" spans="1:14">
      <c r="A162" s="150" t="s">
        <v>580</v>
      </c>
      <c r="B162" s="152" t="e">
        <f>B120/(B55+C55)*2</f>
        <v>#N/A</v>
      </c>
      <c r="C162" s="152" t="e">
        <f>C120/(C55+D55)*2</f>
        <v>#N/A</v>
      </c>
      <c r="D162" s="152" t="e">
        <f>D120/(D55+E55)*2</f>
        <v>#N/A</v>
      </c>
      <c r="E162" s="152" t="e">
        <f>E120/E55</f>
        <v>#N/A</v>
      </c>
      <c r="H162" s="143" t="e">
        <f>B162+C162+D162+E162</f>
        <v>#N/A</v>
      </c>
      <c r="I162" t="str">
        <f t="shared" si="17"/>
        <v>资产利润率(%)</v>
      </c>
      <c r="J162" t="e">
        <f t="shared" si="24"/>
        <v>#N/A</v>
      </c>
      <c r="M162" s="103" t="e">
        <f t="shared" si="22"/>
        <v>#N/A</v>
      </c>
      <c r="N162" s="103" t="e">
        <f t="shared" si="23"/>
        <v>#N/A</v>
      </c>
    </row>
    <row r="163" ht="18.35" customHeight="1" spans="1:14">
      <c r="A163" s="150" t="s">
        <v>581</v>
      </c>
      <c r="B163" s="152" t="e">
        <f>B123/(B55+C55)*2</f>
        <v>#N/A</v>
      </c>
      <c r="C163" s="152" t="e">
        <f>C123/(C55+D55)*2</f>
        <v>#N/A</v>
      </c>
      <c r="D163" s="152" t="e">
        <f>D123/(D55+E55)*2</f>
        <v>#N/A</v>
      </c>
      <c r="E163" s="152" t="e">
        <f>E123/E55</f>
        <v>#N/A</v>
      </c>
      <c r="H163" s="143" t="e">
        <f>B163+C163+D163+E163</f>
        <v>#N/A</v>
      </c>
      <c r="I163" t="str">
        <f t="shared" si="17"/>
        <v>资产净利润率(%)</v>
      </c>
      <c r="J163" t="e">
        <f t="shared" si="24"/>
        <v>#N/A</v>
      </c>
      <c r="M163" s="103" t="e">
        <f t="shared" si="22"/>
        <v>#N/A</v>
      </c>
      <c r="N163" s="103" t="e">
        <f t="shared" si="23"/>
        <v>#N/A</v>
      </c>
    </row>
    <row r="164" ht="18.35" customHeight="1" spans="1:14">
      <c r="A164" s="150" t="s">
        <v>582</v>
      </c>
      <c r="B164" s="152" t="e">
        <f>B123/(B108+C108)*2</f>
        <v>#N/A</v>
      </c>
      <c r="C164" s="152" t="e">
        <f>C123/(C108+D108)*2</f>
        <v>#N/A</v>
      </c>
      <c r="D164" s="152" t="e">
        <f>D123/(D108+E108)*2</f>
        <v>#N/A</v>
      </c>
      <c r="E164" s="152" t="e">
        <f>E123/E108</f>
        <v>#N/A</v>
      </c>
      <c r="H164" s="143" t="e">
        <f>B164+C164+D164+E164</f>
        <v>#N/A</v>
      </c>
      <c r="I164" t="str">
        <f t="shared" si="17"/>
        <v>净资产收益率(%)</v>
      </c>
      <c r="J164" t="e">
        <f t="shared" si="24"/>
        <v>#N/A</v>
      </c>
      <c r="M164" s="103" t="e">
        <f t="shared" si="22"/>
        <v>#N/A</v>
      </c>
      <c r="N164" s="103" t="e">
        <f t="shared" si="23"/>
        <v>#N/A</v>
      </c>
    </row>
    <row r="165" ht="15.75" customHeight="1" spans="1:14">
      <c r="A165" s="138" t="s">
        <v>583</v>
      </c>
      <c r="B165" s="139"/>
      <c r="C165" s="139"/>
      <c r="D165" s="139"/>
      <c r="E165" s="140"/>
      <c r="H165" s="143"/>
      <c r="I165" t="str">
        <f t="shared" si="17"/>
        <v>财务结构分析</v>
      </c>
      <c r="J165" t="str">
        <f t="shared" si="24"/>
        <v>2022年-2024年及2025年09月，拟承租人财务结构分析分别为0.00亿元、0.00亿元、0.00亿元及0.00亿元。</v>
      </c>
      <c r="M165" s="103"/>
      <c r="N165" s="103"/>
    </row>
    <row r="166" ht="15.75" customHeight="1" spans="1:14">
      <c r="A166" s="138" t="str">
        <f>$A$3</f>
        <v>项目</v>
      </c>
      <c r="B166" s="145" t="str">
        <f>TEXT(B$3,"YYYY年MM月")</f>
        <v>2025年09月</v>
      </c>
      <c r="C166" s="145" t="str">
        <f>TEXT(C$3,"YYYY年MM月")</f>
        <v>2024年12月</v>
      </c>
      <c r="D166" s="145" t="str">
        <f>TEXT(D$3,"YYYY年MM月")</f>
        <v>2023年12月</v>
      </c>
      <c r="E166" s="145" t="str">
        <f>TEXT(E$3,"YYYY年MM月")</f>
        <v>2022年12月</v>
      </c>
      <c r="H166" s="143"/>
      <c r="I166" t="str">
        <f t="shared" si="17"/>
        <v>项目</v>
      </c>
      <c r="M166" s="103">
        <f>(C166-D166)/D166</f>
        <v>0.00808643202757341</v>
      </c>
      <c r="N166" s="103">
        <f>(D166-E166)/E166</f>
        <v>0.00812990021382751</v>
      </c>
    </row>
    <row r="167" ht="18.35" customHeight="1" spans="1:14">
      <c r="A167" s="150" t="s">
        <v>584</v>
      </c>
      <c r="B167" s="152" t="e">
        <f>B108/B55</f>
        <v>#DIV/0!</v>
      </c>
      <c r="C167" s="152" t="e">
        <f>C108/C55</f>
        <v>#N/A</v>
      </c>
      <c r="D167" s="152" t="e">
        <f>D108/D55</f>
        <v>#N/A</v>
      </c>
      <c r="E167" s="152" t="e">
        <f>E108/E55</f>
        <v>#N/A</v>
      </c>
      <c r="H167" s="143" t="e">
        <f>B167+C167+D167+E167</f>
        <v>#DIV/0!</v>
      </c>
      <c r="I167" t="str">
        <f>A167</f>
        <v>股东权益比(%)</v>
      </c>
      <c r="J167" t="e">
        <f>_xlfn.CONCAT(TEXT($E$3,"YYYY"),"年-",TEXT($C$3,"YYYY"),"年及",TEXT($B$3,"YYYY年MM月"),"，","拟承租人",I167,"分别为",TEXT(E167/10000,"0.00"),"亿元、",TEXT(D167/10000,"0.00"),"亿元、",TEXT(C167/10000,"0.00"),"亿元及",TEXT(B167/10000,"0.00"),"亿元。")</f>
        <v>#N/A</v>
      </c>
      <c r="M167" s="103" t="e">
        <f>(C167-D167)/D167</f>
        <v>#N/A</v>
      </c>
      <c r="N167" s="103" t="e">
        <f>(D167-E167)/E167</f>
        <v>#N/A</v>
      </c>
    </row>
    <row r="168" ht="18.35" customHeight="1" spans="1:14">
      <c r="A168" s="150" t="s">
        <v>585</v>
      </c>
      <c r="B168" s="152" t="e">
        <f>B93/B55</f>
        <v>#DIV/0!</v>
      </c>
      <c r="C168" s="152" t="e">
        <f>C93/C55</f>
        <v>#N/A</v>
      </c>
      <c r="D168" s="152" t="e">
        <f>D93/D55</f>
        <v>#N/A</v>
      </c>
      <c r="E168" s="152" t="e">
        <f>E93/E55</f>
        <v>#N/A</v>
      </c>
      <c r="H168" s="143" t="e">
        <f>B168+C168+D168+E168</f>
        <v>#DIV/0!</v>
      </c>
      <c r="I168" t="str">
        <f>A168</f>
        <v>长期负债资产比(%)</v>
      </c>
      <c r="J168" t="e">
        <f>_xlfn.CONCAT(TEXT($E$3,"YYYY"),"年-",TEXT($C$3,"YYYY"),"年及",TEXT($B$3,"YYYY年MM月"),"，","拟承租人",I168,"分别为",TEXT(E168/10000,"0.00"),"亿元、",TEXT(D168/10000,"0.00"),"亿元、",TEXT(C168/10000,"0.00"),"亿元及",TEXT(B168/10000,"0.00"),"亿元。")</f>
        <v>#N/A</v>
      </c>
      <c r="M168" s="103" t="e">
        <f>(C168-D168)/D168</f>
        <v>#N/A</v>
      </c>
      <c r="N168" s="103" t="e">
        <f>(D168-E168)/E168</f>
        <v>#N/A</v>
      </c>
    </row>
    <row r="169" ht="15.75" customHeight="1" spans="1:14">
      <c r="A169" s="138" t="s">
        <v>586</v>
      </c>
      <c r="B169" s="139"/>
      <c r="C169" s="139"/>
      <c r="D169" s="139"/>
      <c r="E169" s="140"/>
      <c r="H169" s="143"/>
      <c r="I169" t="str">
        <f>A169</f>
        <v>现金流量分析</v>
      </c>
      <c r="J169" t="str">
        <f>_xlfn.CONCAT(TEXT($E$3,"YYYY"),"年-",TEXT($C$3,"YYYY"),"年及",TEXT($B$3,"YYYY年MM月"),"，","拟承租人",I169,"分别为",TEXT(E169/10000,"0.00"),"亿元、",TEXT(D169/10000,"0.00"),"亿元、",TEXT(C169/10000,"0.00"),"亿元及",TEXT(B169/10000,"0.00"),"亿元。")</f>
        <v>2022年-2024年及2025年09月，拟承租人现金流量分析分别为0.00亿元、0.00亿元、0.00亿元及0.00亿元。</v>
      </c>
      <c r="M169" s="103"/>
      <c r="N169" s="103"/>
    </row>
    <row r="170" ht="15.75" customHeight="1" spans="1:14">
      <c r="A170" s="138" t="str">
        <f>$A$3</f>
        <v>项目</v>
      </c>
      <c r="B170" s="145" t="str">
        <f>TEXT(B$3,"YYYY年MM月")</f>
        <v>2025年09月</v>
      </c>
      <c r="C170" s="145" t="str">
        <f>TEXT(C$3,"YYYY年MM月")</f>
        <v>2024年12月</v>
      </c>
      <c r="D170" s="145" t="str">
        <f>TEXT(D$3,"YYYY年MM月")</f>
        <v>2023年12月</v>
      </c>
      <c r="E170" s="145" t="str">
        <f>TEXT(E$3,"YYYY年MM月")</f>
        <v>2022年12月</v>
      </c>
      <c r="H170" s="143"/>
      <c r="I170" t="str">
        <f>A170</f>
        <v>项目</v>
      </c>
      <c r="M170" s="103">
        <f>(C170-D170)/D170</f>
        <v>0.00808643202757341</v>
      </c>
      <c r="N170" s="103">
        <f>(D170-E170)/E170</f>
        <v>0.00812990021382751</v>
      </c>
    </row>
    <row r="171" ht="36.75" customHeight="1" spans="1:14">
      <c r="A171" s="158" t="s">
        <v>587</v>
      </c>
      <c r="B171" s="142" t="e">
        <f>B127/B111</f>
        <v>#DIV/0!</v>
      </c>
      <c r="C171" s="142" t="e">
        <f>C127/C111</f>
        <v>#DIV/0!</v>
      </c>
      <c r="D171" s="142" t="e">
        <f>D127/D111</f>
        <v>#DIV/0!</v>
      </c>
      <c r="E171" s="142" t="e">
        <f>E127/E111</f>
        <v>#DIV/0!</v>
      </c>
      <c r="H171" s="143" t="e">
        <f>B171+C171+D171+E171</f>
        <v>#DIV/0!</v>
      </c>
      <c r="I171" t="str">
        <f>A171</f>
        <v>销售商品收到的现金与主营业务比</v>
      </c>
      <c r="J171" t="e">
        <f>_xlfn.CONCAT(TEXT($E$3,"YYYY"),"年-",TEXT($C$3,"YYYY"),"年及",TEXT($B$3,"YYYY年MM月"),"，","拟承租人",I171,"分别为",TEXT(E171/10000,"0.00"),"亿元、",TEXT(D171/10000,"0.00"),"亿元、",TEXT(C171/10000,"0.00"),"亿元及",TEXT(B171/10000,"0.00"),"亿元。")</f>
        <v>#DIV/0!</v>
      </c>
      <c r="M171" s="103" t="e">
        <f>(C171-D171)/D171</f>
        <v>#DIV/0!</v>
      </c>
      <c r="N171" s="103" t="e">
        <f>(D171-E171)/E171</f>
        <v>#DIV/0!</v>
      </c>
    </row>
    <row r="172" ht="18.75" customHeight="1" spans="1:14">
      <c r="A172" s="158" t="s">
        <v>588</v>
      </c>
      <c r="B172" s="142" t="e">
        <f>B130/B121</f>
        <v>#DIV/0!</v>
      </c>
      <c r="C172" s="142" t="e">
        <f>C130/C121</f>
        <v>#DIV/0!</v>
      </c>
      <c r="D172" s="142" t="e">
        <f>D130/D121</f>
        <v>#DIV/0!</v>
      </c>
      <c r="E172" s="142" t="e">
        <f>E130/E121</f>
        <v>#DIV/0!</v>
      </c>
      <c r="H172" s="143" t="e">
        <f>B172+C172+D172+E172</f>
        <v>#DIV/0!</v>
      </c>
      <c r="I172" t="str">
        <f>A172</f>
        <v>经营活动现金流量与总利润比例</v>
      </c>
      <c r="J172" t="e">
        <f>_xlfn.CONCAT(TEXT($E$3,"YYYY"),"年-",TEXT($C$3,"YYYY"),"年及",TEXT($B$3,"YYYY年MM月"),"，","拟承租人",I172,"分别为",TEXT(E172/10000,"0.00"),"亿元、",TEXT(D172/10000,"0.00"),"亿元、",TEXT(C172/10000,"0.00"),"亿元及",TEXT(B172/10000,"0.00"),"亿元。")</f>
        <v>#DIV/0!</v>
      </c>
      <c r="M172" s="103" t="e">
        <f>(C172-D172)/D172</f>
        <v>#DIV/0!</v>
      </c>
      <c r="N172" s="103" t="e">
        <f>(D172-E172)/E172</f>
        <v>#DIV/0!</v>
      </c>
    </row>
    <row r="173" ht="18.75" customHeight="1" spans="1:14">
      <c r="A173" s="158" t="s">
        <v>589</v>
      </c>
      <c r="B173" s="142" t="e">
        <f>B137/B121</f>
        <v>#DIV/0!</v>
      </c>
      <c r="C173" s="142" t="e">
        <f>C137/C121</f>
        <v>#DIV/0!</v>
      </c>
      <c r="D173" s="142" t="e">
        <f>D137/D121</f>
        <v>#DIV/0!</v>
      </c>
      <c r="E173" s="142" t="e">
        <f>E137/E121</f>
        <v>#DIV/0!</v>
      </c>
      <c r="H173" s="143" t="e">
        <f>B173+C173+D173+E173</f>
        <v>#DIV/0!</v>
      </c>
      <c r="I173" t="str">
        <f>A173</f>
        <v>现金净流量与总利润比</v>
      </c>
      <c r="J173" t="e">
        <f>_xlfn.CONCAT(TEXT($E$3,"YYYY"),"年-",TEXT($C$3,"YYYY"),"年及",TEXT($B$3,"YYYY年MM月"),"，","拟承租人",I173,"分别为",TEXT(E173/10000,"0.00"),"亿元、",TEXT(D173/10000,"0.00"),"亿元、",TEXT(C173/10000,"0.00"),"亿元及",TEXT(B173/10000,"0.00"),"亿元。")</f>
        <v>#DIV/0!</v>
      </c>
      <c r="M173" s="103" t="e">
        <f>(C173-D173)/D173</f>
        <v>#DIV/0!</v>
      </c>
      <c r="N173" s="103" t="e">
        <f>(D173-E173)/E173</f>
        <v>#DIV/0!</v>
      </c>
    </row>
  </sheetData>
  <autoFilter xmlns:etc="http://www.wps.cn/officeDocument/2017/etCustomData" ref="F5:H173" etc:filterBottomFollowUsedRange="0">
    <extLst/>
  </autoFilter>
  <mergeCells count="13">
    <mergeCell ref="A1:E1"/>
    <mergeCell ref="A2:E2"/>
    <mergeCell ref="A5:E5"/>
    <mergeCell ref="A109:E109"/>
    <mergeCell ref="B124:E124"/>
    <mergeCell ref="A125:E125"/>
    <mergeCell ref="B138:E138"/>
    <mergeCell ref="A139:E139"/>
    <mergeCell ref="A146:E146"/>
    <mergeCell ref="A155:E155"/>
    <mergeCell ref="A165:E165"/>
    <mergeCell ref="A169:E169"/>
    <mergeCell ref="A3:A4"/>
  </mergeCells>
  <dataValidations count="1">
    <dataValidation type="list" allowBlank="1" showInputMessage="1" showErrorMessage="1" sqref="A2">
      <formula1>"单位：元,单位：万元,单位：亿元"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G75"/>
  <sheetViews>
    <sheetView workbookViewId="0">
      <selection activeCell="A1" sqref="A1"/>
    </sheetView>
  </sheetViews>
  <sheetFormatPr defaultColWidth="10.2857142857143" defaultRowHeight="17.6" outlineLevelCol="6"/>
  <cols>
    <col min="1" max="1" width="20.7142857142857" style="114" customWidth="1"/>
    <col min="2" max="5" width="13.5714285714286" style="115" customWidth="1"/>
    <col min="6" max="16384" width="10.2857142857143" style="114" customWidth="1"/>
  </cols>
  <sheetData>
    <row r="1" spans="1:7">
      <c r="A1" s="116" t="s">
        <v>527</v>
      </c>
      <c r="B1" s="117">
        <v>43465</v>
      </c>
      <c r="C1" s="117">
        <f>DATE(YEAR(B1)+1,MONTH(B1),DAY(B1))</f>
        <v>43830</v>
      </c>
      <c r="D1" s="118">
        <f>DATE(YEAR(B1)+2,MONTH(B1),DAY(B1))</f>
        <v>44196</v>
      </c>
      <c r="E1" s="118" t="e">
        <f>bs!#REF!</f>
        <v>#REF!</v>
      </c>
    </row>
    <row r="2" spans="1:7">
      <c r="A2" s="119" t="s">
        <v>590</v>
      </c>
      <c r="B2" s="120" t="e">
        <f>ROUND(HLOOKUP(B1,bs!$C$1:$AB$110,ROW(bs!#REF!),FALSE),0)/IF(LEN($G$6)&gt;4,10000,1)</f>
        <v>#REF!</v>
      </c>
      <c r="C2" s="120" t="e">
        <f>ROUND(HLOOKUP(C1,bs!$C$1:$AB$110,ROW(bs!#REF!),FALSE),0)/IF(LEN($G$6)&gt;4,10000,1)</f>
        <v>#REF!</v>
      </c>
      <c r="D2" s="120" t="e">
        <f>ROUND(HLOOKUP(D1,bs!$C$1:$AB$110,ROW(bs!F7),FALSE),0)/IF(LEN($G$6)&gt;4,10000,1)</f>
        <v>#N/A</v>
      </c>
      <c r="E2" s="120" t="e">
        <f>ROUND(HLOOKUP(E1,bs!$C$1:$AB$110,ROW(bs!E7),FALSE),0)/IF(LEN($G$6)&gt;4,10000,1)</f>
        <v>#REF!</v>
      </c>
    </row>
    <row r="3" spans="1:7">
      <c r="A3" s="119" t="s">
        <v>591</v>
      </c>
      <c r="B3" s="120" t="e">
        <f>ROUND(HLOOKUP(B1,bs!$C$1:$AB$110,ROW(bs!#REF!),FALSE),0)/IF(LEN($G$6)&gt;4,10000,1)</f>
        <v>#REF!</v>
      </c>
      <c r="C3" s="120" t="e">
        <f>ROUND(HLOOKUP(C1,bs!$C$1:$AB$110,ROW(bs!#REF!),FALSE),0)/IF(LEN($G$6)&gt;4,10000,1)</f>
        <v>#REF!</v>
      </c>
      <c r="D3" s="120" t="e">
        <f>ROUND(HLOOKUP(D1,bs!$C$1:$AB$110,ROW(bs!F5),FALSE),0)/IF(LEN($G$6)&gt;4,10000,1)</f>
        <v>#N/A</v>
      </c>
      <c r="E3" s="120" t="e">
        <f>ROUND(HLOOKUP(E1,bs!$C$1:$AB$110,ROW(bs!E5),FALSE),0)/IF(LEN($G$6)&gt;4,10000,1)</f>
        <v>#REF!</v>
      </c>
    </row>
    <row r="4" spans="1:7">
      <c r="A4" s="119" t="s">
        <v>592</v>
      </c>
      <c r="B4" s="120" t="e">
        <f>ROUND(HLOOKUP(B1,bs!$C$1:$AB$110,ROW(bs!#REF!),FALSE),0)/IF(LEN($G$6)&gt;4,10000,1)</f>
        <v>#REF!</v>
      </c>
      <c r="C4" s="120" t="e">
        <f>ROUND(HLOOKUP(C1,bs!$C$1:$AB$110,ROW(bs!#REF!),FALSE),0)/IF(LEN($G$6)&gt;4,10000,1)</f>
        <v>#REF!</v>
      </c>
      <c r="D4" s="120" t="e">
        <f>ROUND(HLOOKUP(D1,bs!$C$1:$AB$110,ROW(bs!F24),FALSE),0)/IF(LEN($G$6)&gt;4,10000,1)</f>
        <v>#N/A</v>
      </c>
      <c r="E4" s="120" t="e">
        <f>ROUND(HLOOKUP(E1,bs!$C$1:$AB$110,ROW(bs!E24),FALSE),0)/IF(LEN($G$6)&gt;4,10000,1)</f>
        <v>#REF!</v>
      </c>
    </row>
    <row r="5" spans="1:7">
      <c r="A5" s="119" t="s">
        <v>593</v>
      </c>
      <c r="B5" s="120" t="e">
        <f>ROUND(HLOOKUP(B1,bs!$C$1:$AB$110,ROW(bs!#REF!),FALSE),0)/IF(LEN($G$6)&gt;4,10000,1)</f>
        <v>#REF!</v>
      </c>
      <c r="C5" s="120" t="e">
        <f>ROUND(HLOOKUP(C1,bs!$C$1:$AB$110,ROW(bs!#REF!),FALSE),0)/IF(LEN($G$6)&gt;4,10000,1)</f>
        <v>#REF!</v>
      </c>
      <c r="D5" s="120" t="e">
        <f>ROUND(HLOOKUP(D1,bs!$C$1:$AB$110,ROW(bs!F33),FALSE),0)/IF(LEN($G$6)&gt;4,10000,1)</f>
        <v>#N/A</v>
      </c>
      <c r="E5" s="120" t="e">
        <f>ROUND(HLOOKUP(E1,bs!$C$1:$AB$110,ROW(bs!E33),FALSE),0)/IF(LEN($G$6)&gt;4,10000,1)</f>
        <v>#REF!</v>
      </c>
    </row>
    <row r="6" spans="1:7">
      <c r="A6" s="119" t="s">
        <v>594</v>
      </c>
      <c r="B6" s="120" t="e">
        <f>ROUND(HLOOKUP(B1,bs!$C$1:$AB$110,ROW(bs!#REF!),FALSE),0)/IF(LEN($G$6)&gt;4,10000,1)</f>
        <v>#REF!</v>
      </c>
      <c r="C6" s="120" t="e">
        <f>ROUND(HLOOKUP(C1,bs!$C$1:$AB$110,ROW(bs!#REF!),FALSE),0)/IF(LEN($G$6)&gt;4,10000,1)</f>
        <v>#REF!</v>
      </c>
      <c r="D6" s="120" t="e">
        <f>ROUND(HLOOKUP(D1,bs!$C$1:$AB$110,ROW(bs!F35),FALSE),0)/IF(LEN($G$6)&gt;4,10000,1)</f>
        <v>#N/A</v>
      </c>
      <c r="E6" s="120" t="e">
        <f>ROUND(HLOOKUP(E1,bs!$C$1:$AB$110,ROW(bs!E35),FALSE),0)/IF(LEN($G$6)&gt;4,10000,1)</f>
        <v>#REF!</v>
      </c>
      <c r="G6" s="121" t="s">
        <v>526</v>
      </c>
    </row>
    <row r="7" spans="1:7">
      <c r="A7" s="119" t="s">
        <v>595</v>
      </c>
      <c r="B7" s="120" t="e">
        <f>ROUND(HLOOKUP(B1,bs!$C$1:$AB$110,ROW(bs!#REF!),FALSE),0)/IF(LEN($G$6)&gt;4,10000,1)</f>
        <v>#REF!</v>
      </c>
      <c r="C7" s="120" t="e">
        <f>ROUND(HLOOKUP(C1,bs!$C$1:$AB$110,ROW(bs!#REF!),FALSE),0)/IF(LEN($G$6)&gt;4,10000,1)</f>
        <v>#REF!</v>
      </c>
      <c r="D7" s="120" t="e">
        <f>ROUND(HLOOKUP(D1,bs!$C$1:$AB$110,ROW(bs!F53),FALSE),0)/IF(LEN($G$6)&gt;4,10000,1)</f>
        <v>#N/A</v>
      </c>
      <c r="E7" s="120" t="e">
        <f>ROUND(HLOOKUP(E1,bs!$C$1:$AB$110,ROW(bs!E53),FALSE),0)/IF(LEN($G$6)&gt;4,10000,1)</f>
        <v>#REF!</v>
      </c>
    </row>
    <row r="8" spans="1:7">
      <c r="A8" s="119" t="s">
        <v>596</v>
      </c>
      <c r="B8" s="120" t="e">
        <f>ROUND(HLOOKUP(B1,bs!$C$1:$AB$110,ROW(bs!#REF!),FALSE),0)/IF(LEN($G$6)&gt;4,10000,1)</f>
        <v>#REF!</v>
      </c>
      <c r="C8" s="120" t="e">
        <f>ROUND(HLOOKUP(C1,bs!$C$1:$AB$110,ROW(bs!#REF!),FALSE),0)/IF(LEN($G$6)&gt;4,10000,1)</f>
        <v>#REF!</v>
      </c>
      <c r="D8" s="120" t="e">
        <f>ROUND(HLOOKUP(D1,bs!$C$1:$AB$110,ROW(bs!F54),FALSE),0)/IF(LEN($G$6)&gt;4,10000,1)</f>
        <v>#N/A</v>
      </c>
      <c r="E8" s="120" t="e">
        <f>ROUND(HLOOKUP(E1,bs!$C$1:$AB$110,ROW(bs!E54),FALSE),0)/IF(LEN($G$6)&gt;4,10000,1)</f>
        <v>#REF!</v>
      </c>
    </row>
    <row r="9" spans="1:7">
      <c r="A9" s="119" t="s">
        <v>597</v>
      </c>
      <c r="B9" s="120" t="e">
        <f>ROUND(HLOOKUP(B1,bs!$C$1:$AB$110,ROW(bs!#REF!),FALSE),0)/IF(LEN($G$6)&gt;4,10000,1)</f>
        <v>#REF!</v>
      </c>
      <c r="C9" s="120" t="e">
        <f>ROUND(HLOOKUP(C1,bs!$C$1:$AB$110,ROW(bs!#REF!),FALSE),0)/IF(LEN($G$6)&gt;4,10000,1)</f>
        <v>#REF!</v>
      </c>
      <c r="D9" s="120" t="e">
        <f>ROUND(HLOOKUP(D1,bs!$C$1:$AB$110,ROW(bs!F63),FALSE),0)/IF(LEN($G$6)&gt;4,10000,1)</f>
        <v>#N/A</v>
      </c>
      <c r="E9" s="120" t="e">
        <f>ROUND(HLOOKUP(E1,bs!$C$1:$AB$110,ROW(bs!E63),FALSE),0)/IF(LEN($G$6)&gt;4,10000,1)</f>
        <v>#REF!</v>
      </c>
    </row>
    <row r="10" spans="1:7">
      <c r="A10" s="119" t="s">
        <v>598</v>
      </c>
      <c r="B10" s="120" t="e">
        <f>ROUND(HLOOKUP(B1,bs!$C$1:$AB$110,ROW(bs!#REF!),FALSE),0)/IF(LEN($G$6)&gt;4,10000,1)</f>
        <v>#REF!</v>
      </c>
      <c r="C10" s="120" t="e">
        <f>ROUND(HLOOKUP(C1,bs!$C$1:$AB$110,ROW(bs!#REF!),FALSE),0)/IF(LEN($G$6)&gt;4,10000,1)</f>
        <v>#REF!</v>
      </c>
      <c r="D10" s="120" t="e">
        <f>ROUND(HLOOKUP(D1,bs!$C$1:$AB$110,ROW(bs!F78),FALSE),0)/IF(LEN($G$6)&gt;4,10000,1)</f>
        <v>#N/A</v>
      </c>
      <c r="E10" s="120" t="e">
        <f>ROUND(HLOOKUP(E1,bs!$C$1:$AB$110,ROW(bs!E78),FALSE),0)/IF(LEN($G$6)&gt;4,10000,1)</f>
        <v>#REF!</v>
      </c>
    </row>
    <row r="11" spans="1:7">
      <c r="A11" s="119" t="s">
        <v>599</v>
      </c>
      <c r="B11" s="120" t="e">
        <f>ROUND(HLOOKUP(B1,bs!$C$1:$AB$110,ROW(bs!#REF!),FALSE),0)/IF(LEN($G$6)&gt;4,10000,1)</f>
        <v>#REF!</v>
      </c>
      <c r="C11" s="120" t="e">
        <f>ROUND(HLOOKUP(C1,bs!$C$1:$AB$110,ROW(bs!#REF!),FALSE),0)/IF(LEN($G$6)&gt;4,10000,1)</f>
        <v>#REF!</v>
      </c>
      <c r="D11" s="120" t="e">
        <f>ROUND(HLOOKUP(D1,bs!$C$1:$AB$110,ROW(bs!F79),FALSE),0)/IF(LEN($G$6)&gt;4,10000,1)</f>
        <v>#N/A</v>
      </c>
      <c r="E11" s="120" t="e">
        <f>ROUND(HLOOKUP(E1,bs!$C$1:$AB$110,ROW(bs!E79),FALSE),0)/IF(LEN($G$6)&gt;4,10000,1)</f>
        <v>#REF!</v>
      </c>
    </row>
    <row r="12" spans="1:7">
      <c r="A12" s="119" t="s">
        <v>600</v>
      </c>
      <c r="B12" s="120" t="e">
        <f>ROUND(HLOOKUP(B1,bs!$C$1:$AB$110,ROW(bs!#REF!),FALSE),0)/IF(LEN($G$6)&gt;4,10000,1)</f>
        <v>#REF!</v>
      </c>
      <c r="C12" s="120" t="e">
        <f>ROUND(HLOOKUP(C1,bs!$C$1:$AB$110,ROW(bs!#REF!),FALSE),0)/IF(LEN($G$6)&gt;4,10000,1)</f>
        <v>#REF!</v>
      </c>
      <c r="D12" s="120" t="e">
        <f>ROUND(HLOOKUP(D1,bs!$C$1:$AB$110,ROW(bs!F81),FALSE),0)/IF(LEN($G$6)&gt;4,10000,1)</f>
        <v>#N/A</v>
      </c>
      <c r="E12" s="120" t="e">
        <f>ROUND(HLOOKUP(E1,bs!$C$1:$AB$110,ROW(bs!E81),FALSE),0)/IF(LEN($G$6)&gt;4,10000,1)</f>
        <v>#REF!</v>
      </c>
    </row>
    <row r="13" spans="1:7">
      <c r="A13" s="119" t="s">
        <v>601</v>
      </c>
      <c r="B13" s="120" t="e">
        <f>ROUND(HLOOKUP(B1,bs!$C$1:$AB$110,ROW(bs!#REF!),FALSE),0)/IF(LEN($G$6)&gt;4,10000,1)</f>
        <v>#REF!</v>
      </c>
      <c r="C13" s="120" t="e">
        <f>ROUND(HLOOKUP(C1,bs!$C$1:$AB$110,ROW(bs!#REF!),FALSE),0)/IF(LEN($G$6)&gt;4,10000,1)</f>
        <v>#REF!</v>
      </c>
      <c r="D13" s="120" t="e">
        <f>ROUND(HLOOKUP(D1,bs!$C$1:$AB$110,ROW(bs!F93),FALSE),0)/IF(LEN($G$6)&gt;4,10000,1)</f>
        <v>#N/A</v>
      </c>
      <c r="E13" s="120" t="e">
        <f>ROUND(HLOOKUP(E1,bs!$C$1:$AB$110,ROW(bs!E93),FALSE),0)/IF(LEN($G$6)&gt;4,10000,1)</f>
        <v>#REF!</v>
      </c>
    </row>
    <row r="14" spans="1:7">
      <c r="A14" s="119" t="s">
        <v>602</v>
      </c>
      <c r="B14" s="120" t="e">
        <f>ROUND(HLOOKUP(B1,bs!$C$1:$AB$110,ROW(bs!#REF!),FALSE),0)/IF(LEN($G$6)&gt;4,10000,1)</f>
        <v>#REF!</v>
      </c>
      <c r="C14" s="120" t="e">
        <f>ROUND(HLOOKUP(C1,bs!$C$1:$AB$110,ROW(bs!#REF!),FALSE),0)/IF(LEN($G$6)&gt;4,10000,1)</f>
        <v>#REF!</v>
      </c>
      <c r="D14" s="120" t="e">
        <f>ROUND(HLOOKUP(D1,bs!$C$1:$AB$110,ROW(bs!F94),FALSE),0)/IF(LEN($G$6)&gt;4,10000,1)</f>
        <v>#N/A</v>
      </c>
      <c r="E14" s="120" t="e">
        <f>ROUND(HLOOKUP(E1,bs!$C$1:$AB$110,ROW(bs!E94),FALSE),0)/IF(LEN($G$6)&gt;4,10000,1)</f>
        <v>#REF!</v>
      </c>
    </row>
    <row r="15" spans="1:7">
      <c r="A15" s="119" t="s">
        <v>603</v>
      </c>
      <c r="B15" s="120" t="e">
        <f>ROUND(HLOOKUP(B1,bs!$C$1:$AB$110,ROW(bs!#REF!),FALSE),0)/IF(LEN($G$6)&gt;4,10000,1)</f>
        <v>#REF!</v>
      </c>
      <c r="C15" s="120" t="e">
        <f>ROUND(HLOOKUP(C1,bs!$C$1:$AB$110,ROW(bs!#REF!),FALSE),0)/IF(LEN($G$6)&gt;4,10000,1)</f>
        <v>#REF!</v>
      </c>
      <c r="D15" s="120" t="e">
        <f>ROUND(HLOOKUP(D1,bs!$C$1:$AB$110,ROW(bs!F109),FALSE),0)/IF(LEN($G$6)&gt;4,10000,1)</f>
        <v>#N/A</v>
      </c>
      <c r="E15" s="120" t="e">
        <f>ROUND(HLOOKUP(E1,bs!$C$1:$AB$110,ROW(bs!E109),FALSE),0)/IF(LEN($G$6)&gt;4,10000,1)</f>
        <v>#REF!</v>
      </c>
    </row>
    <row r="16" spans="1:7">
      <c r="A16" s="119" t="s">
        <v>604</v>
      </c>
      <c r="B16" s="120" t="e">
        <f>ROUND(HLOOKUP(B1,pl!$C$1:$CF$46,ROW(pl!#REF!),FALSE),0)/IF(LEN($G$6)&gt;4,10000,1)</f>
        <v>#REF!</v>
      </c>
      <c r="C16" s="120" t="e">
        <f>ROUND(HLOOKUP(C1,pl!$C$1:$CF$46,ROW(pl!#REF!),FALSE),0)/IF(LEN($G$6)&gt;4,10000,1)</f>
        <v>#REF!</v>
      </c>
      <c r="D16" s="120" t="e">
        <f>ROUND(HLOOKUP(D1,pl!$C$1:$CF$46,ROW(pl!#REF!),FALSE),0)/IF(LEN($G$6)&gt;4,10000,1)</f>
        <v>#REF!</v>
      </c>
      <c r="E16" s="120" t="e">
        <f>ROUND(HLOOKUP(E1,pl!$C$1:$CF$46,ROW(pl!F2),FALSE),0)/IF(LEN($G$6)&gt;4,10000,1)</f>
        <v>#REF!</v>
      </c>
    </row>
    <row r="17" spans="1:7">
      <c r="A17" s="119" t="s">
        <v>605</v>
      </c>
      <c r="B17" s="120" t="e">
        <f>ROUND(HLOOKUP(B1,pl!$C$1:$CF$46,ROW(pl!#REF!),FALSE),0)/IF(LEN($G$6)&gt;4,10000,1)</f>
        <v>#REF!</v>
      </c>
      <c r="C17" s="120" t="e">
        <f>ROUND(HLOOKUP(C1,pl!$C$1:$CF$46,ROW(pl!#REF!),FALSE),0)/IF(LEN($G$6)&gt;4,10000,1)</f>
        <v>#REF!</v>
      </c>
      <c r="D17" s="120" t="e">
        <f>ROUND(HLOOKUP(D1,pl!$C$1:$CF$46,ROW(pl!#REF!),FALSE),0)/IF(LEN($G$6)&gt;4,10000,1)</f>
        <v>#REF!</v>
      </c>
      <c r="E17" s="120" t="e">
        <f>ROUND(HLOOKUP(E1,pl!$C$1:$CF$46,ROW(pl!F8),FALSE),0)/IF(LEN($G$6)&gt;4,10000,1)</f>
        <v>#REF!</v>
      </c>
    </row>
    <row r="18" spans="1:7">
      <c r="A18" s="119" t="s">
        <v>606</v>
      </c>
      <c r="B18" s="120" t="e">
        <f>ROUND(HLOOKUP(B1,pl!$C$1:$CF$46,ROW(pl!#REF!),FALSE),0)/IF(LEN($G$6)&gt;4,10000,1)</f>
        <v>#REF!</v>
      </c>
      <c r="C18" s="120" t="e">
        <f>ROUND(HLOOKUP(C1,pl!$C$1:$CF$46,ROW(pl!#REF!),FALSE),0)/IF(LEN($G$6)&gt;4,10000,1)</f>
        <v>#REF!</v>
      </c>
      <c r="D18" s="120" t="e">
        <f>ROUND(HLOOKUP(D1,pl!$C$1:$CF$46,ROW(pl!#REF!),FALSE),0)/IF(LEN($G$6)&gt;4,10000,1)</f>
        <v>#REF!</v>
      </c>
      <c r="E18" s="120" t="e">
        <f>ROUND(HLOOKUP(E1,pl!$C$1:$CF$46,ROW(pl!F12),FALSE),0)/IF(LEN($G$6)&gt;4,10000,1)</f>
        <v>#REF!</v>
      </c>
    </row>
    <row r="19" spans="1:7">
      <c r="A19" s="119" t="s">
        <v>546</v>
      </c>
      <c r="B19" s="120" t="e">
        <f>ROUND(HLOOKUP(B1,pl!$C$1:$CF$46,ROW(pl!#REF!),FALSE),0)/IF(LEN($G$6)&gt;4,10000,1)</f>
        <v>#REF!</v>
      </c>
      <c r="C19" s="120" t="e">
        <f>ROUND(HLOOKUP(C1,pl!$C$1:$CF$46,ROW(pl!#REF!),FALSE),0)/IF(LEN($G$6)&gt;4,10000,1)</f>
        <v>#REF!</v>
      </c>
      <c r="D19" s="120" t="e">
        <f>ROUND(HLOOKUP(D1,pl!$C$1:$CF$46,ROW(pl!#REF!),FALSE),0)/IF(LEN($G$6)&gt;4,10000,1)</f>
        <v>#REF!</v>
      </c>
      <c r="E19" s="120" t="e">
        <f>ROUND(HLOOKUP(E1,pl!$C$1:$CF$46,ROW(pl!F13),FALSE),0)/IF(LEN($G$6)&gt;4,10000,1)</f>
        <v>#REF!</v>
      </c>
    </row>
    <row r="20" spans="1:7">
      <c r="A20" s="119" t="s">
        <v>548</v>
      </c>
      <c r="B20" s="120" t="e">
        <f>ROUND(HLOOKUP(B1,pl!$C$1:$CF$46,ROW(pl!#REF!),FALSE),0)/IF(LEN($G$6)&gt;4,10000,1)</f>
        <v>#REF!</v>
      </c>
      <c r="C20" s="120" t="e">
        <f>ROUND(HLOOKUP(C1,pl!$C$1:$CF$46,ROW(pl!#REF!),FALSE),0)/IF(LEN($G$6)&gt;4,10000,1)</f>
        <v>#REF!</v>
      </c>
      <c r="D20" s="120" t="e">
        <f>ROUND(HLOOKUP(D1,pl!$C$1:$CF$46,ROW(pl!#REF!),FALSE),0)/IF(LEN($G$6)&gt;4,10000,1)</f>
        <v>#REF!</v>
      </c>
      <c r="E20" s="120" t="e">
        <f>ROUND(HLOOKUP(E1,pl!$C$1:$CF$46,ROW(pl!F14),FALSE),0)/IF(LEN($G$6)&gt;4,10000,1)</f>
        <v>#REF!</v>
      </c>
      <c r="F20" s="122"/>
      <c r="G20" s="122"/>
    </row>
    <row r="21" spans="1:7">
      <c r="A21" s="119" t="s">
        <v>170</v>
      </c>
      <c r="B21" s="120" t="e">
        <f>ROUND(HLOOKUP(B1,pl!$C$1:$CF$46,ROW(pl!#REF!),FALSE),0)/IF(LEN($G$6)&gt;4,10000,1)</f>
        <v>#REF!</v>
      </c>
      <c r="C21" s="120" t="e">
        <f>ROUND(HLOOKUP(C1,pl!$C$1:$CF$46,ROW(pl!#REF!),FALSE),0)/IF(LEN($G$6)&gt;4,10000,1)</f>
        <v>#REF!</v>
      </c>
      <c r="D21" s="120" t="e">
        <f>ROUND(HLOOKUP(D1,pl!$C$1:$CF$46,ROW(pl!#REF!),FALSE),0)/IF(LEN($G$6)&gt;4,10000,1)</f>
        <v>#REF!</v>
      </c>
      <c r="E21" s="120" t="e">
        <f>ROUND(HLOOKUP(E1,pl!$C$1:$CF$46,ROW(pl!F18),FALSE),0)/IF(LEN($G$6)&gt;4,10000,1)</f>
        <v>#REF!</v>
      </c>
    </row>
    <row r="22" spans="1:7">
      <c r="A22" s="119" t="s">
        <v>176</v>
      </c>
      <c r="B22" s="120" t="e">
        <f>ROUND(HLOOKUP(B1,pl!$C$1:$CF$46,ROW(pl!#REF!),FALSE),0)/IF(LEN($G$6)&gt;4,10000,1)</f>
        <v>#REF!</v>
      </c>
      <c r="C22" s="120" t="e">
        <f>ROUND(HLOOKUP(C1,pl!$C$1:$CF$46,ROW(pl!#REF!),FALSE),0)/IF(LEN($G$6)&gt;4,10000,1)</f>
        <v>#REF!</v>
      </c>
      <c r="D22" s="120" t="e">
        <f>ROUND(HLOOKUP(D1,pl!$C$1:$CF$46,ROW(pl!#REF!),FALSE),0)/IF(LEN($G$6)&gt;4,10000,1)</f>
        <v>#REF!</v>
      </c>
      <c r="E22" s="120" t="e">
        <f>ROUND(HLOOKUP(E1,pl!$C$1:$CF$46,ROW(pl!F21),FALSE),0)/IF(LEN($G$6)&gt;4,10000,1)</f>
        <v>#REF!</v>
      </c>
    </row>
    <row r="23" spans="1:7">
      <c r="A23" s="119" t="s">
        <v>181</v>
      </c>
      <c r="B23" s="120" t="e">
        <f>ROUND(HLOOKUP(B1,pl!$C$1:$CF$46,ROW(pl!#REF!),FALSE),0)/IF(LEN($G$6)&gt;4,10000,1)</f>
        <v>#REF!</v>
      </c>
      <c r="C23" s="120" t="e">
        <f>ROUND(HLOOKUP(C1,pl!$C$1:$CF$46,ROW(pl!#REF!),FALSE),0)/IF(LEN($G$6)&gt;4,10000,1)</f>
        <v>#REF!</v>
      </c>
      <c r="D23" s="120" t="e">
        <f>ROUND(HLOOKUP(D1,pl!$C$1:$CF$46,ROW(pl!#REF!),FALSE),0)/IF(LEN($G$6)&gt;4,10000,1)</f>
        <v>#REF!</v>
      </c>
      <c r="E23" s="120" t="e">
        <f>ROUND(HLOOKUP(E1,pl!$C$1:$CF$46,ROW(pl!F23),FALSE),0)/IF(LEN($G$6)&gt;4,10000,1)</f>
        <v>#REF!</v>
      </c>
    </row>
    <row r="24" spans="1:7">
      <c r="A24" s="119" t="s">
        <v>607</v>
      </c>
      <c r="B24" s="120" t="e">
        <f>ROUND(HLOOKUP(B1,cf!$C$1:$CI$39,ROW(pl!#REF!),FALSE),0)/IF(LEN($G$6)&gt;4,10000,1)</f>
        <v>#REF!</v>
      </c>
      <c r="C24" s="120" t="e">
        <f>ROUND(HLOOKUP(C1,cf!$C$1:$CI$39,ROW(pl!#REF!),FALSE),0)/IF(LEN($G$6)&gt;4,10000,1)</f>
        <v>#REF!</v>
      </c>
      <c r="D24" s="120" t="e">
        <f>ROUND(HLOOKUP(D1,cf!$C$1:$CI$39,ROW(pl!#REF!),FALSE),0)/IF(LEN($G$6)&gt;4,10000,1)</f>
        <v>#REF!</v>
      </c>
      <c r="E24" s="120" t="e">
        <f>ROUND(HLOOKUP(E1,cf!$C$1:$CI$39,ROW(pl!#REF!),FALSE),0)/IF(LEN($G$6)&gt;4,10000,1)</f>
        <v>#REF!</v>
      </c>
    </row>
    <row r="25" spans="1:7">
      <c r="A25" s="119" t="s">
        <v>608</v>
      </c>
      <c r="B25" s="120" t="e">
        <f>ROUND(HLOOKUP(B1,cf!$C$1:$CI$39,ROW(pl!#REF!),FALSE),0)/IF(LEN($G$6)&gt;4,10000,1)</f>
        <v>#REF!</v>
      </c>
      <c r="C25" s="120" t="e">
        <f>ROUND(HLOOKUP(C1,cf!$C$1:$CI$39,ROW(pl!#REF!),FALSE),0)/IF(LEN($G$6)&gt;4,10000,1)</f>
        <v>#REF!</v>
      </c>
      <c r="D25" s="120" t="e">
        <f>ROUND(HLOOKUP(D1,cf!$C$1:$CI$39,ROW(pl!#REF!),FALSE),0)/IF(LEN($G$6)&gt;4,10000,1)</f>
        <v>#REF!</v>
      </c>
      <c r="E25" s="120" t="e">
        <f>ROUND(HLOOKUP(E1,cf!$C$1:$CI$39,ROW(pl!#REF!),FALSE),0)/IF(LEN($G$6)&gt;4,10000,1)</f>
        <v>#REF!</v>
      </c>
    </row>
    <row r="26" spans="1:7">
      <c r="A26" s="123" t="s">
        <v>563</v>
      </c>
      <c r="B26" s="93"/>
      <c r="C26" s="93"/>
      <c r="D26" s="93"/>
      <c r="E26" s="93"/>
    </row>
    <row r="27" spans="1:7">
      <c r="A27" s="119" t="s">
        <v>564</v>
      </c>
      <c r="B27" s="124" t="e">
        <f>B4/B10</f>
        <v>#REF!</v>
      </c>
      <c r="C27" s="124" t="e">
        <f>C4/C10</f>
        <v>#REF!</v>
      </c>
      <c r="D27" s="124" t="e">
        <f>D4/D10</f>
        <v>#N/A</v>
      </c>
      <c r="E27" s="124" t="e">
        <f>E4/E10</f>
        <v>#REF!</v>
      </c>
    </row>
    <row r="28" spans="1:7">
      <c r="A28" s="119" t="s">
        <v>565</v>
      </c>
      <c r="B28" s="124" t="e">
        <f>(B4-B2)/B10</f>
        <v>#REF!</v>
      </c>
      <c r="C28" s="124" t="e">
        <f>(C4-C2)/C10</f>
        <v>#REF!</v>
      </c>
      <c r="D28" s="124" t="e">
        <f>(D4-D2)/D10</f>
        <v>#N/A</v>
      </c>
      <c r="E28" s="124" t="e">
        <f>(E4-E2)/E10</f>
        <v>#REF!</v>
      </c>
    </row>
    <row r="29" spans="1:7">
      <c r="A29" s="119" t="s">
        <v>584</v>
      </c>
      <c r="B29" s="125" t="e">
        <f>B15/B7</f>
        <v>#REF!</v>
      </c>
      <c r="C29" s="125" t="e">
        <f>C15/C7</f>
        <v>#REF!</v>
      </c>
      <c r="D29" s="126" t="e">
        <f>D15/D7</f>
        <v>#N/A</v>
      </c>
      <c r="E29" s="126" t="e">
        <f>E15/E7</f>
        <v>#REF!</v>
      </c>
    </row>
    <row r="30" spans="1:7">
      <c r="A30" s="119" t="s">
        <v>566</v>
      </c>
      <c r="B30" s="125" t="e">
        <f>B14/B7</f>
        <v>#REF!</v>
      </c>
      <c r="C30" s="125" t="e">
        <f>C14/C7</f>
        <v>#REF!</v>
      </c>
      <c r="D30" s="126" t="e">
        <f>D14/D7</f>
        <v>#N/A</v>
      </c>
      <c r="E30" s="126" t="e">
        <f>E14/E7</f>
        <v>#REF!</v>
      </c>
    </row>
    <row r="31" spans="1:7">
      <c r="A31" s="119" t="s">
        <v>568</v>
      </c>
      <c r="B31" s="125" t="e">
        <f>B10/B14</f>
        <v>#REF!</v>
      </c>
      <c r="C31" s="125" t="e">
        <f>C10/C14</f>
        <v>#REF!</v>
      </c>
      <c r="D31" s="126" t="e">
        <f>D10/D14</f>
        <v>#N/A</v>
      </c>
      <c r="E31" s="126" t="e">
        <f>E10/E14</f>
        <v>#REF!</v>
      </c>
    </row>
    <row r="32" spans="1:7">
      <c r="A32" s="119" t="s">
        <v>609</v>
      </c>
      <c r="B32" s="124" t="e">
        <f>(B22+B20)/B20</f>
        <v>#REF!</v>
      </c>
      <c r="C32" s="124" t="e">
        <f>(C22+C20)/C20</f>
        <v>#REF!</v>
      </c>
      <c r="D32" s="124" t="e">
        <f>(D22+D20)/D20</f>
        <v>#REF!</v>
      </c>
      <c r="E32" s="124" t="e">
        <f>(E22+E20)/E20</f>
        <v>#REF!</v>
      </c>
    </row>
    <row r="33" spans="1:5">
      <c r="A33" s="127" t="s">
        <v>569</v>
      </c>
      <c r="B33" s="2"/>
      <c r="C33" s="2"/>
      <c r="D33" s="2"/>
      <c r="E33" s="2"/>
    </row>
    <row r="34" spans="1:5">
      <c r="A34" s="119" t="s">
        <v>570</v>
      </c>
      <c r="B34" s="124" t="e">
        <f>0+(B17/(B2+C2)*2)</f>
        <v>#REF!</v>
      </c>
      <c r="C34" s="124" t="e">
        <f>C17/(C2+D2)*2</f>
        <v>#REF!</v>
      </c>
      <c r="D34" s="124" t="e">
        <f>D17/(D2+E2)*2</f>
        <v>#REF!</v>
      </c>
      <c r="E34" s="124" t="e">
        <f>E17/E2</f>
        <v>#REF!</v>
      </c>
    </row>
    <row r="35" spans="1:5">
      <c r="A35" s="119" t="s">
        <v>571</v>
      </c>
      <c r="B35" s="124" t="e">
        <f>0+(B16/(B7+C7)*2)</f>
        <v>#REF!</v>
      </c>
      <c r="C35" s="124" t="e">
        <f>C16/(C7+D7)*2</f>
        <v>#REF!</v>
      </c>
      <c r="D35" s="124" t="e">
        <f>D16/(D7+E7)*2</f>
        <v>#REF!</v>
      </c>
      <c r="E35" s="124" t="e">
        <f>E16/E7</f>
        <v>#REF!</v>
      </c>
    </row>
    <row r="36" spans="1:5">
      <c r="A36" s="119" t="s">
        <v>610</v>
      </c>
      <c r="B36" s="124" t="e">
        <f>0+(B16/(B3+C3)*2)</f>
        <v>#REF!</v>
      </c>
      <c r="C36" s="124" t="e">
        <f>C16/(C3+D3)*2</f>
        <v>#REF!</v>
      </c>
      <c r="D36" s="124" t="e">
        <f>D16/(D3+E3)*2</f>
        <v>#REF!</v>
      </c>
      <c r="E36" s="124" t="e">
        <f>E16/E3</f>
        <v>#REF!</v>
      </c>
    </row>
    <row r="37" spans="1:5">
      <c r="A37" s="119" t="s">
        <v>573</v>
      </c>
      <c r="B37" s="125" t="e">
        <f>0+(B17/B16)</f>
        <v>#REF!</v>
      </c>
      <c r="C37" s="125" t="e">
        <f>C17/C16</f>
        <v>#REF!</v>
      </c>
      <c r="D37" s="126" t="e">
        <f>D17/D16</f>
        <v>#REF!</v>
      </c>
      <c r="E37" s="126" t="e">
        <f>E17/E16</f>
        <v>#REF!</v>
      </c>
    </row>
    <row r="38" spans="1:5">
      <c r="A38" s="119" t="s">
        <v>574</v>
      </c>
      <c r="B38" s="125" t="e">
        <f>0+(B18/B16)</f>
        <v>#REF!</v>
      </c>
      <c r="C38" s="125" t="e">
        <f>C18/C16</f>
        <v>#REF!</v>
      </c>
      <c r="D38" s="126" t="e">
        <f>D18/D16</f>
        <v>#REF!</v>
      </c>
      <c r="E38" s="126" t="e">
        <f>E18/E16</f>
        <v>#REF!</v>
      </c>
    </row>
    <row r="39" spans="1:5">
      <c r="A39" s="119" t="s">
        <v>575</v>
      </c>
      <c r="B39" s="125" t="e">
        <f>0+(B19/B16)</f>
        <v>#REF!</v>
      </c>
      <c r="C39" s="125" t="e">
        <f>C19/C16</f>
        <v>#REF!</v>
      </c>
      <c r="D39" s="126" t="e">
        <f>D19/D16</f>
        <v>#REF!</v>
      </c>
      <c r="E39" s="126" t="e">
        <f>E19/E16</f>
        <v>#REF!</v>
      </c>
    </row>
    <row r="40" spans="1:5">
      <c r="A40" s="119" t="s">
        <v>576</v>
      </c>
      <c r="B40" s="125" t="e">
        <f>0+(B20/B16)</f>
        <v>#REF!</v>
      </c>
      <c r="C40" s="125" t="e">
        <f>C20/C16</f>
        <v>#REF!</v>
      </c>
      <c r="D40" s="126" t="e">
        <f>D20/D16</f>
        <v>#REF!</v>
      </c>
      <c r="E40" s="126" t="e">
        <f>E20/E16</f>
        <v>#REF!</v>
      </c>
    </row>
    <row r="41" spans="1:5">
      <c r="A41" s="127" t="s">
        <v>577</v>
      </c>
      <c r="B41" s="2"/>
      <c r="C41" s="2"/>
      <c r="D41" s="2"/>
      <c r="E41" s="2"/>
    </row>
    <row r="42" spans="1:5">
      <c r="A42" s="119" t="s">
        <v>578</v>
      </c>
      <c r="B42" s="125" t="e">
        <f>B23/B16</f>
        <v>#REF!</v>
      </c>
      <c r="C42" s="125" t="e">
        <f>C23/C16</f>
        <v>#REF!</v>
      </c>
      <c r="D42" s="126" t="e">
        <f>D23/D16</f>
        <v>#REF!</v>
      </c>
      <c r="E42" s="126" t="e">
        <f>E23/E16</f>
        <v>#REF!</v>
      </c>
    </row>
    <row r="43" spans="1:5">
      <c r="A43" s="119" t="s">
        <v>611</v>
      </c>
      <c r="B43" s="125" t="e">
        <f>B21/B16</f>
        <v>#REF!</v>
      </c>
      <c r="C43" s="125" t="e">
        <f>C21/C16</f>
        <v>#REF!</v>
      </c>
      <c r="D43" s="126" t="e">
        <f>D21/D16</f>
        <v>#REF!</v>
      </c>
      <c r="E43" s="126" t="e">
        <f>E21/E16</f>
        <v>#REF!</v>
      </c>
    </row>
    <row r="44" spans="1:5">
      <c r="A44" s="119" t="s">
        <v>580</v>
      </c>
      <c r="B44" s="125" t="e">
        <f>B22/(B7+C7)*2</f>
        <v>#REF!</v>
      </c>
      <c r="C44" s="125" t="e">
        <f>C22/(C7+D7)*2</f>
        <v>#REF!</v>
      </c>
      <c r="D44" s="126" t="e">
        <f>D22/(D7+E7)*2</f>
        <v>#REF!</v>
      </c>
      <c r="E44" s="126" t="e">
        <f>E22/E7</f>
        <v>#REF!</v>
      </c>
    </row>
    <row r="45" spans="1:5">
      <c r="A45" s="119" t="s">
        <v>581</v>
      </c>
      <c r="B45" s="125" t="e">
        <f>B23/(B7+C7)*2</f>
        <v>#REF!</v>
      </c>
      <c r="C45" s="125" t="e">
        <f>C23/(C7+D7)*2</f>
        <v>#REF!</v>
      </c>
      <c r="D45" s="126" t="e">
        <f>D23/(D7+E7)*2</f>
        <v>#REF!</v>
      </c>
      <c r="E45" s="126" t="e">
        <f>E23/E7</f>
        <v>#REF!</v>
      </c>
    </row>
    <row r="46" spans="1:5">
      <c r="A46" s="119" t="s">
        <v>582</v>
      </c>
      <c r="B46" s="125" t="e">
        <f>B23/(B15+C15)*2</f>
        <v>#REF!</v>
      </c>
      <c r="C46" s="125" t="e">
        <f>C23/(C15+D15)*2</f>
        <v>#REF!</v>
      </c>
      <c r="D46" s="126" t="e">
        <f>D23/(D15+E15)*2</f>
        <v>#REF!</v>
      </c>
      <c r="E46" s="126" t="e">
        <f>E23/E15</f>
        <v>#REF!</v>
      </c>
    </row>
    <row r="47" spans="1:5">
      <c r="A47" s="127" t="s">
        <v>612</v>
      </c>
      <c r="B47" s="2"/>
      <c r="C47" s="2"/>
      <c r="D47" s="2"/>
      <c r="E47" s="2"/>
    </row>
    <row r="48" spans="1:5">
      <c r="A48" s="119" t="s">
        <v>613</v>
      </c>
      <c r="B48" s="125" t="e">
        <f>(B16-C16)/C16</f>
        <v>#REF!</v>
      </c>
      <c r="C48" s="126" t="e">
        <f>(C16-D16)/D16</f>
        <v>#REF!</v>
      </c>
      <c r="D48" s="126" t="e">
        <f>(D16-E16)/E16</f>
        <v>#REF!</v>
      </c>
      <c r="E48" s="126" t="str">
        <f>IFERROR((E16-F16)/F16,"-")</f>
        <v>-</v>
      </c>
    </row>
    <row r="49" spans="1:5">
      <c r="A49" s="119" t="s">
        <v>614</v>
      </c>
      <c r="B49" s="125" t="e">
        <f>(B23-C23)/C23</f>
        <v>#REF!</v>
      </c>
      <c r="C49" s="126" t="e">
        <f>(C23-D23)/D23</f>
        <v>#REF!</v>
      </c>
      <c r="D49" s="126" t="e">
        <f>(D23-E23)/E23</f>
        <v>#REF!</v>
      </c>
      <c r="E49" s="126" t="str">
        <f>IFERROR((E23-F23)/F23,"-")</f>
        <v>-</v>
      </c>
    </row>
    <row r="50" spans="1:5">
      <c r="A50" s="119" t="s">
        <v>615</v>
      </c>
      <c r="B50" s="125" t="e">
        <f>(B7-C7)/C7</f>
        <v>#REF!</v>
      </c>
      <c r="C50" s="126" t="e">
        <f>(C7-D7)/D7</f>
        <v>#REF!</v>
      </c>
      <c r="D50" s="126" t="e">
        <f>(D7-E7)/E7</f>
        <v>#N/A</v>
      </c>
      <c r="E50" s="126" t="str">
        <f>IFERROR((E7-F7)/F7,"-")</f>
        <v>-</v>
      </c>
    </row>
    <row r="51" spans="1:5">
      <c r="A51" s="119" t="s">
        <v>616</v>
      </c>
      <c r="B51" s="125" t="e">
        <f>(B15-C15)/C15</f>
        <v>#REF!</v>
      </c>
      <c r="C51" s="126" t="e">
        <f>(C15-D15)/D15</f>
        <v>#REF!</v>
      </c>
      <c r="D51" s="126" t="e">
        <f>(D15-E15)/E15</f>
        <v>#N/A</v>
      </c>
      <c r="E51" s="126" t="str">
        <f>IFERROR((E15-F15)/F15,"-")</f>
        <v>-</v>
      </c>
    </row>
    <row r="52" spans="1:5">
      <c r="A52" s="119" t="s">
        <v>617</v>
      </c>
      <c r="B52" s="125" t="e">
        <f>(B21-C21)/C21</f>
        <v>#REF!</v>
      </c>
      <c r="C52" s="126" t="e">
        <f>(C21-D21)/D21</f>
        <v>#REF!</v>
      </c>
      <c r="D52" s="126" t="e">
        <f>(D21-E21)/E21</f>
        <v>#REF!</v>
      </c>
      <c r="E52" s="126" t="str">
        <f>IFERROR((E21-F21)/F21,"-")</f>
        <v>-</v>
      </c>
    </row>
    <row r="53" spans="1:5">
      <c r="A53" s="119" t="s">
        <v>618</v>
      </c>
      <c r="B53" s="125" t="e">
        <f>(B22-C22)/C22</f>
        <v>#REF!</v>
      </c>
      <c r="C53" s="126" t="e">
        <f>(C22-D22)/D22</f>
        <v>#REF!</v>
      </c>
      <c r="D53" s="126" t="e">
        <f>(D22-E22)/E22</f>
        <v>#REF!</v>
      </c>
      <c r="E53" s="126" t="str">
        <f>IFERROR((E22-F22)/F22,"-")</f>
        <v>-</v>
      </c>
    </row>
    <row r="54" spans="1:5">
      <c r="A54" s="127" t="s">
        <v>583</v>
      </c>
      <c r="B54" s="2"/>
      <c r="C54" s="2"/>
      <c r="D54" s="2"/>
      <c r="E54" s="2"/>
    </row>
    <row r="55" spans="1:5">
      <c r="A55" s="119" t="s">
        <v>566</v>
      </c>
      <c r="B55" s="125" t="e">
        <f>B14/B7</f>
        <v>#REF!</v>
      </c>
      <c r="C55" s="126" t="e">
        <f>C14/C7</f>
        <v>#REF!</v>
      </c>
      <c r="D55" s="126" t="e">
        <f>D14/D7</f>
        <v>#N/A</v>
      </c>
      <c r="E55" s="126" t="e">
        <f>E14/E7</f>
        <v>#REF!</v>
      </c>
    </row>
    <row r="56" spans="1:5">
      <c r="A56" s="119" t="s">
        <v>585</v>
      </c>
      <c r="B56" s="125" t="e">
        <f>B13/B7</f>
        <v>#REF!</v>
      </c>
      <c r="C56" s="126" t="e">
        <f>C13/C7</f>
        <v>#REF!</v>
      </c>
      <c r="D56" s="126" t="e">
        <f>D13/D7</f>
        <v>#N/A</v>
      </c>
      <c r="E56" s="126" t="e">
        <f>E13/E7</f>
        <v>#REF!</v>
      </c>
    </row>
    <row r="57" spans="1:5">
      <c r="A57" s="127" t="s">
        <v>586</v>
      </c>
      <c r="B57" s="2"/>
      <c r="C57" s="2"/>
      <c r="D57" s="2"/>
      <c r="E57" s="2"/>
    </row>
    <row r="58" ht="32" customHeight="1" spans="1:5">
      <c r="A58" s="119" t="s">
        <v>619</v>
      </c>
      <c r="B58" s="124" t="e">
        <f>B25/B23</f>
        <v>#REF!</v>
      </c>
      <c r="C58" s="124" t="e">
        <f>C25/C23</f>
        <v>#REF!</v>
      </c>
      <c r="D58" s="124" t="e">
        <f>D25/D23</f>
        <v>#REF!</v>
      </c>
      <c r="E58" s="124" t="e">
        <f>E25/E23</f>
        <v>#REF!</v>
      </c>
    </row>
    <row r="60" spans="1:5">
      <c r="A60" s="128" t="str">
        <f>A41</f>
        <v>盈利能力分析</v>
      </c>
      <c r="B60" s="93"/>
      <c r="C60" s="93"/>
      <c r="D60" s="93"/>
      <c r="E60" s="93"/>
    </row>
    <row r="61" spans="1:5">
      <c r="A61" s="129" t="str">
        <f>A1</f>
        <v>项目</v>
      </c>
      <c r="B61" s="130">
        <f>B1</f>
        <v>43465</v>
      </c>
      <c r="C61" s="130">
        <f>C1</f>
        <v>43830</v>
      </c>
      <c r="D61" s="130">
        <f>D1</f>
        <v>44196</v>
      </c>
      <c r="E61" s="130" t="e">
        <f>E1</f>
        <v>#REF!</v>
      </c>
    </row>
    <row r="62" spans="1:5">
      <c r="A62" s="119" t="s">
        <v>578</v>
      </c>
      <c r="B62" s="125" t="e">
        <f>B42</f>
        <v>#REF!</v>
      </c>
      <c r="C62" s="125" t="e">
        <f>C42</f>
        <v>#REF!</v>
      </c>
      <c r="D62" s="125" t="e">
        <f>D42</f>
        <v>#REF!</v>
      </c>
      <c r="E62" s="125" t="e">
        <f>E42</f>
        <v>#REF!</v>
      </c>
    </row>
    <row r="63" spans="1:5">
      <c r="A63" s="119" t="s">
        <v>611</v>
      </c>
      <c r="B63" s="125" t="e">
        <f>B43</f>
        <v>#REF!</v>
      </c>
      <c r="C63" s="125" t="e">
        <f>C43</f>
        <v>#REF!</v>
      </c>
      <c r="D63" s="125" t="e">
        <f>D43</f>
        <v>#REF!</v>
      </c>
      <c r="E63" s="125" t="e">
        <f>E43</f>
        <v>#REF!</v>
      </c>
    </row>
    <row r="64" spans="1:5">
      <c r="A64" s="119" t="s">
        <v>580</v>
      </c>
      <c r="B64" s="125" t="e">
        <f>B44</f>
        <v>#REF!</v>
      </c>
      <c r="C64" s="125" t="e">
        <f>C44</f>
        <v>#REF!</v>
      </c>
      <c r="D64" s="125" t="e">
        <f>D44</f>
        <v>#REF!</v>
      </c>
      <c r="E64" s="125" t="e">
        <f>E44</f>
        <v>#REF!</v>
      </c>
    </row>
    <row r="65" spans="1:5">
      <c r="A65" s="119" t="s">
        <v>581</v>
      </c>
      <c r="B65" s="125" t="e">
        <f>B45</f>
        <v>#REF!</v>
      </c>
      <c r="C65" s="125" t="e">
        <f>C45</f>
        <v>#REF!</v>
      </c>
      <c r="D65" s="125" t="e">
        <f>D45</f>
        <v>#REF!</v>
      </c>
      <c r="E65" s="125" t="e">
        <f>E45</f>
        <v>#REF!</v>
      </c>
    </row>
    <row r="66" spans="1:5">
      <c r="A66" s="119" t="s">
        <v>582</v>
      </c>
      <c r="B66" s="125" t="e">
        <f>B46</f>
        <v>#REF!</v>
      </c>
      <c r="C66" s="125" t="e">
        <f>C46</f>
        <v>#REF!</v>
      </c>
      <c r="D66" s="125" t="e">
        <f>D46</f>
        <v>#REF!</v>
      </c>
      <c r="E66" s="125" t="e">
        <f>E46</f>
        <v>#REF!</v>
      </c>
    </row>
    <row r="68" spans="1:5">
      <c r="A68" s="128" t="str">
        <f>A26</f>
        <v>偿债能力分析</v>
      </c>
      <c r="B68" s="93"/>
      <c r="C68" s="93"/>
      <c r="D68" s="93"/>
      <c r="E68" s="93"/>
    </row>
    <row r="69" spans="1:5">
      <c r="A69" s="129" t="str">
        <f>A1</f>
        <v>项目</v>
      </c>
      <c r="B69" s="130">
        <f>B1</f>
        <v>43465</v>
      </c>
      <c r="C69" s="130">
        <f>C1</f>
        <v>43830</v>
      </c>
      <c r="D69" s="130">
        <f>D1</f>
        <v>44196</v>
      </c>
      <c r="E69" s="130" t="e">
        <f>E1</f>
        <v>#REF!</v>
      </c>
    </row>
    <row r="70" spans="1:5">
      <c r="A70" s="119" t="str">
        <f t="shared" ref="A70:A75" si="0">A27</f>
        <v>流动比率</v>
      </c>
      <c r="B70" s="124" t="e">
        <f t="shared" ref="B70:B75" si="1">B27</f>
        <v>#REF!</v>
      </c>
      <c r="C70" s="124" t="e">
        <f t="shared" ref="C70:C75" si="2">C27</f>
        <v>#REF!</v>
      </c>
      <c r="D70" s="124" t="e">
        <f t="shared" ref="D70:D75" si="3">D27</f>
        <v>#N/A</v>
      </c>
      <c r="E70" s="124" t="e">
        <f t="shared" ref="E70:E75" si="4">E27</f>
        <v>#REF!</v>
      </c>
    </row>
    <row r="71" spans="1:5">
      <c r="A71" s="119" t="str">
        <f t="shared" si="0"/>
        <v>速动比率</v>
      </c>
      <c r="B71" s="124" t="e">
        <f t="shared" si="1"/>
        <v>#REF!</v>
      </c>
      <c r="C71" s="124" t="e">
        <f t="shared" si="2"/>
        <v>#REF!</v>
      </c>
      <c r="D71" s="124" t="e">
        <f t="shared" si="3"/>
        <v>#N/A</v>
      </c>
      <c r="E71" s="124" t="e">
        <f t="shared" si="4"/>
        <v>#REF!</v>
      </c>
    </row>
    <row r="72" spans="1:5">
      <c r="A72" s="119" t="str">
        <f t="shared" si="0"/>
        <v>股东权益比(%)</v>
      </c>
      <c r="B72" s="125" t="e">
        <f t="shared" si="1"/>
        <v>#REF!</v>
      </c>
      <c r="C72" s="125" t="e">
        <f t="shared" si="2"/>
        <v>#REF!</v>
      </c>
      <c r="D72" s="126" t="e">
        <f t="shared" si="3"/>
        <v>#N/A</v>
      </c>
      <c r="E72" s="126" t="e">
        <f t="shared" si="4"/>
        <v>#REF!</v>
      </c>
    </row>
    <row r="73" spans="1:5">
      <c r="A73" s="119" t="str">
        <f t="shared" si="0"/>
        <v>资产负债率(%)</v>
      </c>
      <c r="B73" s="125" t="e">
        <f t="shared" si="1"/>
        <v>#REF!</v>
      </c>
      <c r="C73" s="125" t="e">
        <f t="shared" si="2"/>
        <v>#REF!</v>
      </c>
      <c r="D73" s="126" t="e">
        <f t="shared" si="3"/>
        <v>#N/A</v>
      </c>
      <c r="E73" s="126" t="e">
        <f t="shared" si="4"/>
        <v>#REF!</v>
      </c>
    </row>
    <row r="74" spans="1:5">
      <c r="A74" s="119" t="str">
        <f t="shared" si="0"/>
        <v>流动负债率(%)</v>
      </c>
      <c r="B74" s="125" t="e">
        <f t="shared" si="1"/>
        <v>#REF!</v>
      </c>
      <c r="C74" s="125" t="e">
        <f t="shared" si="2"/>
        <v>#REF!</v>
      </c>
      <c r="D74" s="126" t="e">
        <f t="shared" si="3"/>
        <v>#N/A</v>
      </c>
      <c r="E74" s="126" t="e">
        <f t="shared" si="4"/>
        <v>#REF!</v>
      </c>
    </row>
    <row r="75" spans="1:5">
      <c r="A75" s="119" t="str">
        <f t="shared" si="0"/>
        <v>EBITDA利息倍数</v>
      </c>
      <c r="B75" s="124" t="e">
        <f t="shared" si="1"/>
        <v>#REF!</v>
      </c>
      <c r="C75" s="124" t="e">
        <f t="shared" si="2"/>
        <v>#REF!</v>
      </c>
      <c r="D75" s="124" t="e">
        <f t="shared" si="3"/>
        <v>#REF!</v>
      </c>
      <c r="E75" s="124" t="e">
        <f t="shared" si="4"/>
        <v>#REF!</v>
      </c>
    </row>
  </sheetData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bs!$C$1:$Q$1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P98"/>
  <sheetViews>
    <sheetView workbookViewId="0">
      <selection activeCell="I54" sqref="I54"/>
    </sheetView>
  </sheetViews>
  <sheetFormatPr defaultColWidth="9" defaultRowHeight="15.2"/>
  <cols>
    <col min="2" max="2" width="17" style="90" customWidth="1"/>
    <col min="3" max="3" width="10.2857142857143" style="91" customWidth="1"/>
    <col min="4" max="4" width="8.71428571428571" style="91" customWidth="1"/>
    <col min="5" max="5" width="10.2857142857143" style="91" customWidth="1"/>
    <col min="6" max="6" width="8.71428571428571" style="91" customWidth="1"/>
    <col min="7" max="7" width="10.2857142857143" style="91" customWidth="1"/>
    <col min="8" max="8" width="8.71428571428571" style="91" customWidth="1"/>
    <col min="9" max="9" width="10.2857142857143" style="91" customWidth="1"/>
    <col min="10" max="10" width="8.71428571428571" style="91" customWidth="1"/>
    <col min="12" max="12" width="7.85714285714286" customWidth="1"/>
    <col min="13" max="13" width="16.4285714285714" customWidth="1"/>
    <col min="14" max="14" width="30.7142857142857" customWidth="1"/>
  </cols>
  <sheetData>
    <row r="1" spans="2:16">
      <c r="B1" s="92" t="s">
        <v>526</v>
      </c>
      <c r="C1" s="93"/>
      <c r="D1" s="93"/>
      <c r="E1" s="93"/>
      <c r="F1" s="93"/>
      <c r="G1" s="93"/>
      <c r="H1" s="93"/>
      <c r="I1" s="93"/>
      <c r="J1" s="93"/>
      <c r="N1" s="94" t="s">
        <v>620</v>
      </c>
      <c r="O1" s="20"/>
    </row>
    <row r="2" spans="2:16">
      <c r="B2" s="95" t="s">
        <v>527</v>
      </c>
      <c r="C2" s="96">
        <f>'财务分析（2022）版'!B3</f>
        <v>45930</v>
      </c>
      <c r="D2" s="3"/>
      <c r="E2" s="96">
        <f>DATE(YEAR(C2)-1,12,31)</f>
        <v>45657</v>
      </c>
      <c r="F2" s="3"/>
      <c r="G2" s="96">
        <f>DATE(YEAR(E2)-1,12,31)</f>
        <v>45291</v>
      </c>
      <c r="H2" s="3"/>
      <c r="I2" s="96">
        <f>DATE(YEAR(G2)-1,12,31)</f>
        <v>44926</v>
      </c>
      <c r="J2" s="3"/>
      <c r="L2" s="20" t="s">
        <v>621</v>
      </c>
      <c r="M2" s="20"/>
      <c r="N2" s="97" t="str">
        <f>CONCATENATE(TEXT($I$2,"YYYY"),"年-",TEXT($C$2,"YYYY"),"年，")</f>
        <v>2022年-2025年，</v>
      </c>
    </row>
    <row r="3" spans="2:16">
      <c r="B3" s="57"/>
      <c r="C3" s="98" t="s">
        <v>622</v>
      </c>
      <c r="D3" s="98" t="s">
        <v>623</v>
      </c>
      <c r="E3" s="98" t="s">
        <v>622</v>
      </c>
      <c r="F3" s="98" t="s">
        <v>623</v>
      </c>
      <c r="G3" s="98" t="s">
        <v>622</v>
      </c>
      <c r="H3" s="98" t="s">
        <v>623</v>
      </c>
      <c r="I3" s="98" t="s">
        <v>622</v>
      </c>
      <c r="J3" s="98" t="s">
        <v>623</v>
      </c>
      <c r="L3" s="20" t="s">
        <v>624</v>
      </c>
      <c r="M3" s="20" t="s">
        <v>625</v>
      </c>
    </row>
    <row r="4" spans="2:16">
      <c r="B4" s="99" t="s">
        <v>626</v>
      </c>
      <c r="C4" s="100" t="e">
        <f>ROUND(HLOOKUP($C$2,bs!$C$1:$AB$110,MATCH(TRIM(B4),TRIM(bs!$B$1:$B$110),0),FALSE),0)/IF(ISNUMBER(SEARCH("亿",$B$1)),100000000,IF(ISNUMBER(SEARCH("万",$B$1)),10000,1))</f>
        <v>#VALUE!</v>
      </c>
      <c r="D4" s="101" t="e">
        <f t="shared" ref="D4:D45" si="0">C4/$C$45</f>
        <v>#VALUE!</v>
      </c>
      <c r="E4" s="100" t="e">
        <f>ROUND(HLOOKUP($E$2,bs!$C$1:$AB$110,MATCH(TRIM(B4),TRIM(bs!$B$1:$B$110),0),FALSE),0)/IF(ISNUMBER(SEARCH("亿",$B$1)),100000000,IF(ISNUMBER(SEARCH("万",$B$1)),10000,1))</f>
        <v>#VALUE!</v>
      </c>
      <c r="F4" s="101" t="e">
        <f t="shared" ref="F4:F45" si="1">E4/$E$45</f>
        <v>#VALUE!</v>
      </c>
      <c r="G4" s="102" t="e">
        <f>ROUND(HLOOKUP($G$2,bs!$C$1:$AB$110,MATCH(TRIM(B4),TRIM(bs!$B$1:$B$110),0),FALSE),0)/IF(ISNUMBER(SEARCH("亿",$B$1)),100000000,IF(ISNUMBER(SEARCH("万",$B$1)),10000,1))</f>
        <v>#VALUE!</v>
      </c>
      <c r="H4" s="101" t="e">
        <f t="shared" ref="H4:H45" si="2">G4/$G$45</f>
        <v>#VALUE!</v>
      </c>
      <c r="I4" s="102" t="e">
        <f>ROUND(HLOOKUP($I$2,bs!$C$1:$AB$110,MATCH(TRIM(B4),TRIM(bs!$B$1:$B$110),0),FALSE),0)/IF(ISNUMBER(SEARCH("亿",$B$1)),100000000,IF(ISNUMBER(SEARCH("万",$B$1)),10000,1))</f>
        <v>#VALUE!</v>
      </c>
      <c r="J4" s="101" t="e">
        <f t="shared" ref="J4:J45" si="3">I4/$I$45</f>
        <v>#VALUE!</v>
      </c>
      <c r="L4" s="103" t="e">
        <f t="shared" ref="L4:L45" si="4">D4+F4+H4+J4</f>
        <v>#VALUE!</v>
      </c>
      <c r="M4" s="103" t="str">
        <f t="shared" ref="M4:M45" si="5">B4</f>
        <v>货币资金</v>
      </c>
      <c r="N4" t="e">
        <f t="shared" ref="N4:N17" si="6">CONCATENATE(M4,":",$N$2,$N$1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#VALUE!</v>
      </c>
      <c r="P4">
        <v>0</v>
      </c>
    </row>
    <row r="5" spans="2:16">
      <c r="B5" s="99" t="s">
        <v>627</v>
      </c>
      <c r="C5" s="100" t="e">
        <f>ROUND(HLOOKUP($C$2,bs!$C$1:$AB$110,MATCH(TRIM(B5),TRIM(bs!$B$1:$B$110),0),FALSE),0)/IF(ISNUMBER(SEARCH("亿",$B$1)),100000000,IF(ISNUMBER(SEARCH("万",$B$1)),10000,1))</f>
        <v>#VALUE!</v>
      </c>
      <c r="D5" s="101" t="e">
        <f t="shared" si="0"/>
        <v>#VALUE!</v>
      </c>
      <c r="E5" s="100" t="e">
        <f>ROUND(HLOOKUP($E$2,bs!$C$1:$AB$110,MATCH(TRIM(B5),TRIM(bs!$B$1:$B$110),0),FALSE),0)/IF(ISNUMBER(SEARCH("亿",$B$1)),100000000,IF(ISNUMBER(SEARCH("万",$B$1)),10000,1))</f>
        <v>#VALUE!</v>
      </c>
      <c r="F5" s="101" t="e">
        <f t="shared" si="1"/>
        <v>#VALUE!</v>
      </c>
      <c r="G5" s="102" t="e">
        <f>ROUND(HLOOKUP($G$2,bs!$C$1:$AB$110,MATCH(TRIM(B5),TRIM(bs!$B$1:$B$110),0),FALSE),0)/IF(ISNUMBER(SEARCH("亿",$B$1)),100000000,IF(ISNUMBER(SEARCH("万",$B$1)),10000,1))</f>
        <v>#VALUE!</v>
      </c>
      <c r="H5" s="101" t="e">
        <f t="shared" si="2"/>
        <v>#VALUE!</v>
      </c>
      <c r="I5" s="102" t="e">
        <f>ROUND(HLOOKUP($I$2,bs!$C$1:$AB$110,MATCH(TRIM(B5),TRIM(bs!$B$1:$B$110),0),FALSE),0)/IF(ISNUMBER(SEARCH("亿",$B$1)),100000000,IF(ISNUMBER(SEARCH("万",$B$1)),10000,1))</f>
        <v>#VALUE!</v>
      </c>
      <c r="J5" s="101" t="e">
        <f t="shared" si="3"/>
        <v>#VALUE!</v>
      </c>
      <c r="L5" s="103" t="e">
        <f t="shared" si="4"/>
        <v>#VALUE!</v>
      </c>
      <c r="M5" s="103" t="str">
        <f t="shared" si="5"/>
        <v>交易性金融资产</v>
      </c>
      <c r="N5" t="e">
        <f t="shared" si="6"/>
        <v>#VALUE!</v>
      </c>
    </row>
    <row r="6" spans="2:16">
      <c r="B6" s="99" t="s">
        <v>628</v>
      </c>
      <c r="C6" s="100" t="e">
        <f>ROUND(HLOOKUP($C$2,bs!$C$1:$AB$110,MATCH(TRIM(B6),TRIM(bs!$B$1:$B$110),0),FALSE),0)/IF(ISNUMBER(SEARCH("亿",$B$1)),100000000,IF(ISNUMBER(SEARCH("万",$B$1)),10000,1))</f>
        <v>#VALUE!</v>
      </c>
      <c r="D6" s="101" t="e">
        <f t="shared" si="0"/>
        <v>#VALUE!</v>
      </c>
      <c r="E6" s="100" t="e">
        <f>ROUND(HLOOKUP($E$2,bs!$C$1:$AB$110,MATCH(TRIM(B6),TRIM(bs!$B$1:$B$110),0),FALSE),0)/IF(ISNUMBER(SEARCH("亿",$B$1)),100000000,IF(ISNUMBER(SEARCH("万",$B$1)),10000,1))</f>
        <v>#VALUE!</v>
      </c>
      <c r="F6" s="101" t="e">
        <f t="shared" si="1"/>
        <v>#VALUE!</v>
      </c>
      <c r="G6" s="102" t="e">
        <f>ROUND(HLOOKUP($G$2,bs!$C$1:$AB$110,MATCH(TRIM(B6),TRIM(bs!$B$1:$B$110),0),FALSE),0)/IF(ISNUMBER(SEARCH("亿",$B$1)),100000000,IF(ISNUMBER(SEARCH("万",$B$1)),10000,1))</f>
        <v>#VALUE!</v>
      </c>
      <c r="H6" s="101" t="e">
        <f t="shared" si="2"/>
        <v>#VALUE!</v>
      </c>
      <c r="I6" s="102" t="e">
        <f>ROUND(HLOOKUP($I$2,bs!$C$1:$AB$110,MATCH(TRIM(B6),TRIM(bs!$B$1:$B$110),0),FALSE),0)/IF(ISNUMBER(SEARCH("亿",$B$1)),100000000,IF(ISNUMBER(SEARCH("万",$B$1)),10000,1))</f>
        <v>#VALUE!</v>
      </c>
      <c r="J6" s="101" t="e">
        <f t="shared" si="3"/>
        <v>#VALUE!</v>
      </c>
      <c r="L6" s="103" t="e">
        <f t="shared" si="4"/>
        <v>#VALUE!</v>
      </c>
      <c r="M6" s="103" t="str">
        <f t="shared" si="5"/>
        <v>应收票据</v>
      </c>
      <c r="N6" t="e">
        <f t="shared" si="6"/>
        <v>#VALUE!</v>
      </c>
    </row>
    <row r="7" spans="2:16">
      <c r="B7" s="99" t="s">
        <v>629</v>
      </c>
      <c r="C7" s="100" t="e">
        <f>ROUND(HLOOKUP($C$2,bs!$C$1:$AB$110,MATCH(TRIM(B7),TRIM(bs!$B$1:$B$110),0),FALSE),0)/IF(ISNUMBER(SEARCH("亿",$B$1)),100000000,IF(ISNUMBER(SEARCH("万",$B$1)),10000,1))</f>
        <v>#VALUE!</v>
      </c>
      <c r="D7" s="101" t="e">
        <f t="shared" si="0"/>
        <v>#VALUE!</v>
      </c>
      <c r="E7" s="100" t="e">
        <f>ROUND(HLOOKUP($E$2,bs!$C$1:$AB$110,MATCH(TRIM(B7),TRIM(bs!$B$1:$B$110),0),FALSE),0)/IF(ISNUMBER(SEARCH("亿",$B$1)),100000000,IF(ISNUMBER(SEARCH("万",$B$1)),10000,1))</f>
        <v>#VALUE!</v>
      </c>
      <c r="F7" s="101" t="e">
        <f t="shared" si="1"/>
        <v>#VALUE!</v>
      </c>
      <c r="G7" s="102" t="e">
        <f>ROUND(HLOOKUP($G$2,bs!$C$1:$AB$110,MATCH(TRIM(B7),TRIM(bs!$B$1:$B$110),0),FALSE),0)/IF(ISNUMBER(SEARCH("亿",$B$1)),100000000,IF(ISNUMBER(SEARCH("万",$B$1)),10000,1))</f>
        <v>#VALUE!</v>
      </c>
      <c r="H7" s="101" t="e">
        <f t="shared" si="2"/>
        <v>#VALUE!</v>
      </c>
      <c r="I7" s="102" t="e">
        <f>ROUND(HLOOKUP($I$2,bs!$C$1:$AB$110,MATCH(TRIM(B7),TRIM(bs!$B$1:$B$110),0),FALSE),0)/IF(ISNUMBER(SEARCH("亿",$B$1)),100000000,IF(ISNUMBER(SEARCH("万",$B$1)),10000,1))</f>
        <v>#VALUE!</v>
      </c>
      <c r="J7" s="101" t="e">
        <f t="shared" si="3"/>
        <v>#VALUE!</v>
      </c>
      <c r="L7" s="103" t="e">
        <f t="shared" si="4"/>
        <v>#VALUE!</v>
      </c>
      <c r="M7" s="103" t="str">
        <f t="shared" si="5"/>
        <v>应收账款</v>
      </c>
      <c r="N7" t="e">
        <f t="shared" si="6"/>
        <v>#VALUE!</v>
      </c>
      <c r="P7">
        <v>0</v>
      </c>
    </row>
    <row r="8" spans="2:16">
      <c r="B8" s="99" t="s">
        <v>301</v>
      </c>
      <c r="C8" s="100" t="e">
        <f>ROUND(HLOOKUP($C$2,bs!$C$1:$AB$110,MATCH(TRIM(B8),TRIM(bs!$B$1:$B$110),0),FALSE),0)/IF(ISNUMBER(SEARCH("亿",$B$1)),100000000,IF(ISNUMBER(SEARCH("万",$B$1)),10000,1))</f>
        <v>#VALUE!</v>
      </c>
      <c r="D8" s="101" t="e">
        <f t="shared" si="0"/>
        <v>#VALUE!</v>
      </c>
      <c r="E8" s="100" t="e">
        <f>ROUND(HLOOKUP($E$2,bs!$C$1:$AB$110,MATCH(TRIM(B8),TRIM(bs!$B$1:$B$110),0),FALSE),0)/IF(ISNUMBER(SEARCH("亿",$B$1)),100000000,IF(ISNUMBER(SEARCH("万",$B$1)),10000,1))</f>
        <v>#VALUE!</v>
      </c>
      <c r="F8" s="101" t="e">
        <f t="shared" si="1"/>
        <v>#VALUE!</v>
      </c>
      <c r="G8" s="102" t="e">
        <f>ROUND(HLOOKUP($G$2,bs!$C$1:$AB$110,MATCH(TRIM(B8),TRIM(bs!$B$1:$B$110),0),FALSE),0)/IF(ISNUMBER(SEARCH("亿",$B$1)),100000000,IF(ISNUMBER(SEARCH("万",$B$1)),10000,1))</f>
        <v>#VALUE!</v>
      </c>
      <c r="H8" s="101" t="e">
        <f t="shared" si="2"/>
        <v>#VALUE!</v>
      </c>
      <c r="I8" s="102" t="e">
        <f>ROUND(HLOOKUP($I$2,bs!$C$1:$AB$110,MATCH(TRIM(B8),TRIM(bs!$B$1:$B$110),0),FALSE),0)/IF(ISNUMBER(SEARCH("亿",$B$1)),100000000,IF(ISNUMBER(SEARCH("万",$B$1)),10000,1))</f>
        <v>#VALUE!</v>
      </c>
      <c r="J8" s="101" t="e">
        <f t="shared" si="3"/>
        <v>#VALUE!</v>
      </c>
      <c r="L8" s="103" t="e">
        <f t="shared" si="4"/>
        <v>#VALUE!</v>
      </c>
      <c r="M8" s="103" t="str">
        <f t="shared" si="5"/>
        <v>  应收款项融资 </v>
      </c>
      <c r="N8" t="e">
        <f t="shared" si="6"/>
        <v>#VALUE!</v>
      </c>
    </row>
    <row r="9" spans="2:16">
      <c r="B9" s="99" t="s">
        <v>630</v>
      </c>
      <c r="C9" s="100" t="e">
        <f>ROUND(HLOOKUP($C$2,bs!$C$1:$AB$110,MATCH(TRIM(B9),TRIM(bs!$B$1:$B$110),0),FALSE),0)/IF(ISNUMBER(SEARCH("亿",$B$1)),100000000,IF(ISNUMBER(SEARCH("万",$B$1)),10000,1))</f>
        <v>#VALUE!</v>
      </c>
      <c r="D9" s="101" t="e">
        <f t="shared" si="0"/>
        <v>#VALUE!</v>
      </c>
      <c r="E9" s="100" t="e">
        <f>ROUND(HLOOKUP($E$2,bs!$C$1:$AB$110,MATCH(TRIM(B9),TRIM(bs!$B$1:$B$110),0),FALSE),0)/IF(ISNUMBER(SEARCH("亿",$B$1)),100000000,IF(ISNUMBER(SEARCH("万",$B$1)),10000,1))</f>
        <v>#VALUE!</v>
      </c>
      <c r="F9" s="101" t="e">
        <f t="shared" si="1"/>
        <v>#VALUE!</v>
      </c>
      <c r="G9" s="102" t="e">
        <f>ROUND(HLOOKUP($G$2,bs!$C$1:$AB$110,MATCH(TRIM(B9),TRIM(bs!$B$1:$B$110),0),FALSE),0)/IF(ISNUMBER(SEARCH("亿",$B$1)),100000000,IF(ISNUMBER(SEARCH("万",$B$1)),10000,1))</f>
        <v>#VALUE!</v>
      </c>
      <c r="H9" s="101" t="e">
        <f t="shared" si="2"/>
        <v>#VALUE!</v>
      </c>
      <c r="I9" s="102" t="e">
        <f>ROUND(HLOOKUP($I$2,bs!$C$1:$AB$110,MATCH(TRIM(B9),TRIM(bs!$B$1:$B$110),0),FALSE),0)/IF(ISNUMBER(SEARCH("亿",$B$1)),100000000,IF(ISNUMBER(SEARCH("万",$B$1)),10000,1))</f>
        <v>#VALUE!</v>
      </c>
      <c r="J9" s="101" t="e">
        <f t="shared" si="3"/>
        <v>#VALUE!</v>
      </c>
      <c r="L9" s="103" t="e">
        <f t="shared" si="4"/>
        <v>#VALUE!</v>
      </c>
      <c r="M9" s="103" t="str">
        <f t="shared" si="5"/>
        <v>预付款项</v>
      </c>
      <c r="N9" t="e">
        <f t="shared" si="6"/>
        <v>#VALUE!</v>
      </c>
      <c r="P9">
        <v>0</v>
      </c>
    </row>
    <row r="10" spans="2:16">
      <c r="B10" s="99" t="s">
        <v>631</v>
      </c>
      <c r="C10" s="100" t="e">
        <f>ROUND(HLOOKUP($C$2,bs!$C$1:$AB$110,MATCH(TRIM(B10),TRIM(bs!$B$1:$B$110),0),FALSE),0)/IF(ISNUMBER(SEARCH("亿",$B$1)),100000000,IF(ISNUMBER(SEARCH("万",$B$1)),10000,1))</f>
        <v>#VALUE!</v>
      </c>
      <c r="D10" s="101" t="e">
        <f t="shared" si="0"/>
        <v>#VALUE!</v>
      </c>
      <c r="E10" s="100" t="e">
        <f>ROUND(HLOOKUP($E$2,bs!$C$1:$AB$110,MATCH(TRIM(B10),TRIM(bs!$B$1:$B$110),0),FALSE),0)/IF(ISNUMBER(SEARCH("亿",$B$1)),100000000,IF(ISNUMBER(SEARCH("万",$B$1)),10000,1))</f>
        <v>#VALUE!</v>
      </c>
      <c r="F10" s="101" t="e">
        <f t="shared" si="1"/>
        <v>#VALUE!</v>
      </c>
      <c r="G10" s="102" t="e">
        <f>ROUND(HLOOKUP($G$2,bs!$C$1:$AB$110,MATCH(TRIM(B10),TRIM(bs!$B$1:$B$110),0),FALSE),0)/IF(ISNUMBER(SEARCH("亿",$B$1)),100000000,IF(ISNUMBER(SEARCH("万",$B$1)),10000,1))</f>
        <v>#VALUE!</v>
      </c>
      <c r="H10" s="101" t="e">
        <f t="shared" si="2"/>
        <v>#VALUE!</v>
      </c>
      <c r="I10" s="102" t="e">
        <f>ROUND(HLOOKUP($I$2,bs!$C$1:$AB$110,MATCH(TRIM(B10),TRIM(bs!$B$1:$B$110),0),FALSE),0)/IF(ISNUMBER(SEARCH("亿",$B$1)),100000000,IF(ISNUMBER(SEARCH("万",$B$1)),10000,1))</f>
        <v>#VALUE!</v>
      </c>
      <c r="J10" s="101" t="e">
        <f t="shared" si="3"/>
        <v>#VALUE!</v>
      </c>
      <c r="L10" s="103" t="e">
        <f t="shared" si="4"/>
        <v>#VALUE!</v>
      </c>
      <c r="M10" s="103" t="str">
        <f t="shared" si="5"/>
        <v>其他应收款</v>
      </c>
      <c r="N10" t="e">
        <f t="shared" si="6"/>
        <v>#VALUE!</v>
      </c>
      <c r="P10">
        <v>0</v>
      </c>
    </row>
    <row r="11" spans="2:16">
      <c r="B11" s="99" t="s">
        <v>307</v>
      </c>
      <c r="C11" s="100" t="e">
        <f>ROUND(HLOOKUP($C$2,bs!$C$1:$AB$110,MATCH(TRIM(B11),TRIM(bs!$B$1:$B$110),0),FALSE),0)/IF(ISNUMBER(SEARCH("亿",$B$1)),100000000,IF(ISNUMBER(SEARCH("万",$B$1)),10000,1))</f>
        <v>#VALUE!</v>
      </c>
      <c r="D11" s="101" t="e">
        <f t="shared" si="0"/>
        <v>#VALUE!</v>
      </c>
      <c r="E11" s="100" t="e">
        <f>ROUND(HLOOKUP($E$2,bs!$C$1:$AB$110,MATCH(TRIM(B11),TRIM(bs!$B$1:$B$110),0),FALSE),0)/IF(ISNUMBER(SEARCH("亿",$B$1)),100000000,IF(ISNUMBER(SEARCH("万",$B$1)),10000,1))</f>
        <v>#VALUE!</v>
      </c>
      <c r="F11" s="101" t="e">
        <f t="shared" si="1"/>
        <v>#VALUE!</v>
      </c>
      <c r="G11" s="102" t="e">
        <f>ROUND(HLOOKUP($G$2,bs!$C$1:$AB$110,MATCH(TRIM(B11),TRIM(bs!$B$1:$B$110),0),FALSE),0)/IF(ISNUMBER(SEARCH("亿",$B$1)),100000000,IF(ISNUMBER(SEARCH("万",$B$1)),10000,1))</f>
        <v>#VALUE!</v>
      </c>
      <c r="H11" s="101" t="e">
        <f t="shared" si="2"/>
        <v>#VALUE!</v>
      </c>
      <c r="I11" s="102" t="e">
        <f>ROUND(HLOOKUP($I$2,bs!$C$1:$AB$110,MATCH(TRIM(B11),TRIM(bs!$B$1:$B$110),0),FALSE),0)/IF(ISNUMBER(SEARCH("亿",$B$1)),100000000,IF(ISNUMBER(SEARCH("万",$B$1)),10000,1))</f>
        <v>#VALUE!</v>
      </c>
      <c r="J11" s="101" t="e">
        <f t="shared" si="3"/>
        <v>#VALUE!</v>
      </c>
      <c r="L11" s="103" t="e">
        <f t="shared" si="4"/>
        <v>#VALUE!</v>
      </c>
      <c r="M11" s="103" t="str">
        <f t="shared" si="5"/>
        <v>    其中：应收利息</v>
      </c>
      <c r="N11" t="e">
        <f t="shared" si="6"/>
        <v>#VALUE!</v>
      </c>
    </row>
    <row r="12" spans="2:16">
      <c r="B12" s="99" t="s">
        <v>632</v>
      </c>
      <c r="C12" s="100" t="e">
        <f>ROUND(HLOOKUP($C$2,bs!$C$1:$AB$110,MATCH(TRIM(B12),TRIM(bs!$B$1:$B$110),0),FALSE),0)/IF(ISNUMBER(SEARCH("亿",$B$1)),100000000,IF(ISNUMBER(SEARCH("万",$B$1)),10000,1))</f>
        <v>#VALUE!</v>
      </c>
      <c r="D12" s="101" t="e">
        <f t="shared" si="0"/>
        <v>#VALUE!</v>
      </c>
      <c r="E12" s="100" t="e">
        <f>ROUND(HLOOKUP($E$2,bs!$C$1:$AB$110,MATCH(TRIM(B12),TRIM(bs!$B$1:$B$110),0),FALSE),0)/IF(ISNUMBER(SEARCH("亿",$B$1)),100000000,IF(ISNUMBER(SEARCH("万",$B$1)),10000,1))</f>
        <v>#VALUE!</v>
      </c>
      <c r="F12" s="101" t="e">
        <f t="shared" si="1"/>
        <v>#VALUE!</v>
      </c>
      <c r="G12" s="102" t="e">
        <f>ROUND(HLOOKUP($G$2,bs!$C$1:$AB$110,MATCH(TRIM(B12),TRIM(bs!$B$1:$B$110),0),FALSE),0)/IF(ISNUMBER(SEARCH("亿",$B$1)),100000000,IF(ISNUMBER(SEARCH("万",$B$1)),10000,1))</f>
        <v>#VALUE!</v>
      </c>
      <c r="H12" s="101" t="e">
        <f t="shared" si="2"/>
        <v>#VALUE!</v>
      </c>
      <c r="I12" s="102" t="e">
        <f>ROUND(HLOOKUP($I$2,bs!$C$1:$AB$110,MATCH(TRIM(B12),TRIM(bs!$B$1:$B$110),0),FALSE),0)/IF(ISNUMBER(SEARCH("亿",$B$1)),100000000,IF(ISNUMBER(SEARCH("万",$B$1)),10000,1))</f>
        <v>#VALUE!</v>
      </c>
      <c r="J12" s="101" t="e">
        <f t="shared" si="3"/>
        <v>#VALUE!</v>
      </c>
      <c r="L12" s="103" t="e">
        <f t="shared" si="4"/>
        <v>#VALUE!</v>
      </c>
      <c r="M12" s="103" t="str">
        <f t="shared" si="5"/>
        <v>        应收股利</v>
      </c>
      <c r="N12" t="e">
        <f t="shared" si="6"/>
        <v>#VALUE!</v>
      </c>
    </row>
    <row r="13" spans="2:16">
      <c r="B13" s="99" t="s">
        <v>633</v>
      </c>
      <c r="C13" s="100" t="e">
        <f>ROUND(HLOOKUP($C$2,bs!$C$1:$AB$110,MATCH(TRIM(B13),TRIM(bs!$B$1:$B$110),0),FALSE),0)/IF(ISNUMBER(SEARCH("亿",$B$1)),100000000,IF(ISNUMBER(SEARCH("万",$B$1)),10000,1))</f>
        <v>#VALUE!</v>
      </c>
      <c r="D13" s="101" t="e">
        <f t="shared" si="0"/>
        <v>#VALUE!</v>
      </c>
      <c r="E13" s="100" t="e">
        <f>ROUND(HLOOKUP($E$2,bs!$C$1:$AB$110,MATCH(TRIM(B13),TRIM(bs!$B$1:$B$110),0),FALSE),0)/IF(ISNUMBER(SEARCH("亿",$B$1)),100000000,IF(ISNUMBER(SEARCH("万",$B$1)),10000,1))</f>
        <v>#VALUE!</v>
      </c>
      <c r="F13" s="101" t="e">
        <f t="shared" si="1"/>
        <v>#VALUE!</v>
      </c>
      <c r="G13" s="102" t="e">
        <f>ROUND(HLOOKUP($G$2,bs!$C$1:$AB$110,MATCH(TRIM(B13),TRIM(bs!$B$1:$B$110),0),FALSE),0)/IF(ISNUMBER(SEARCH("亿",$B$1)),100000000,IF(ISNUMBER(SEARCH("万",$B$1)),10000,1))</f>
        <v>#VALUE!</v>
      </c>
      <c r="H13" s="101" t="e">
        <f t="shared" si="2"/>
        <v>#VALUE!</v>
      </c>
      <c r="I13" s="102" t="e">
        <f>ROUND(HLOOKUP($I$2,bs!$C$1:$AB$110,MATCH(TRIM(B13),TRIM(bs!$B$1:$B$110),0),FALSE),0)/IF(ISNUMBER(SEARCH("亿",$B$1)),100000000,IF(ISNUMBER(SEARCH("万",$B$1)),10000,1))</f>
        <v>#VALUE!</v>
      </c>
      <c r="J13" s="101" t="e">
        <f t="shared" si="3"/>
        <v>#VALUE!</v>
      </c>
      <c r="L13" s="103" t="e">
        <f t="shared" si="4"/>
        <v>#VALUE!</v>
      </c>
      <c r="M13" s="103" t="str">
        <f t="shared" si="5"/>
        <v>存货</v>
      </c>
      <c r="N13" t="e">
        <f t="shared" si="6"/>
        <v>#VALUE!</v>
      </c>
      <c r="P13">
        <v>0</v>
      </c>
    </row>
    <row r="14" spans="2:16">
      <c r="B14" s="99" t="s">
        <v>634</v>
      </c>
      <c r="C14" s="100" t="e">
        <f>ROUND(HLOOKUP($C$2,bs!$C$1:$AB$110,MATCH(TRIM(B14),TRIM(bs!$B$1:$B$110),0),FALSE),0)/IF(ISNUMBER(SEARCH("亿",$B$1)),100000000,IF(ISNUMBER(SEARCH("万",$B$1)),10000,1))</f>
        <v>#VALUE!</v>
      </c>
      <c r="D14" s="101" t="e">
        <f t="shared" si="0"/>
        <v>#VALUE!</v>
      </c>
      <c r="E14" s="100" t="e">
        <f>ROUND(HLOOKUP($E$2,bs!$C$1:$AB$110,MATCH(TRIM(B14),TRIM(bs!$B$1:$B$110),0),FALSE),0)/IF(ISNUMBER(SEARCH("亿",$B$1)),100000000,IF(ISNUMBER(SEARCH("万",$B$1)),10000,1))</f>
        <v>#VALUE!</v>
      </c>
      <c r="F14" s="101" t="e">
        <f t="shared" si="1"/>
        <v>#VALUE!</v>
      </c>
      <c r="G14" s="102" t="e">
        <f>ROUND(HLOOKUP($G$2,bs!$C$1:$AB$110,MATCH(TRIM(B14),TRIM(bs!$B$1:$B$110),0),FALSE),0)/IF(ISNUMBER(SEARCH("亿",$B$1)),100000000,IF(ISNUMBER(SEARCH("万",$B$1)),10000,1))</f>
        <v>#VALUE!</v>
      </c>
      <c r="H14" s="101" t="e">
        <f t="shared" si="2"/>
        <v>#VALUE!</v>
      </c>
      <c r="I14" s="102" t="e">
        <f>ROUND(HLOOKUP($I$2,bs!$C$1:$AB$110,MATCH(TRIM(B14),TRIM(bs!$B$1:$B$110),0),FALSE),0)/IF(ISNUMBER(SEARCH("亿",$B$1)),100000000,IF(ISNUMBER(SEARCH("万",$B$1)),10000,1))</f>
        <v>#VALUE!</v>
      </c>
      <c r="J14" s="101" t="e">
        <f t="shared" si="3"/>
        <v>#VALUE!</v>
      </c>
      <c r="L14" s="103" t="e">
        <f t="shared" si="4"/>
        <v>#VALUE!</v>
      </c>
      <c r="M14" s="103" t="str">
        <f t="shared" si="5"/>
        <v>合同资产</v>
      </c>
      <c r="N14" t="e">
        <f t="shared" si="6"/>
        <v>#VALUE!</v>
      </c>
    </row>
    <row r="15" spans="2:16">
      <c r="B15" s="99" t="s">
        <v>635</v>
      </c>
      <c r="C15" s="100" t="e">
        <f>ROUND(HLOOKUP($C$2,bs!$C$1:$AB$110,MATCH(TRIM(B15),TRIM(bs!$B$1:$B$110),0),FALSE),0)/IF(ISNUMBER(SEARCH("亿",$B$1)),100000000,IF(ISNUMBER(SEARCH("万",$B$1)),10000,1))</f>
        <v>#VALUE!</v>
      </c>
      <c r="D15" s="101" t="e">
        <f t="shared" si="0"/>
        <v>#VALUE!</v>
      </c>
      <c r="E15" s="100" t="e">
        <f>ROUND(HLOOKUP($E$2,bs!$C$1:$AB$110,MATCH(TRIM(B15),TRIM(bs!$B$1:$B$110),0),FALSE),0)/IF(ISNUMBER(SEARCH("亿",$B$1)),100000000,IF(ISNUMBER(SEARCH("万",$B$1)),10000,1))</f>
        <v>#VALUE!</v>
      </c>
      <c r="F15" s="101" t="e">
        <f t="shared" si="1"/>
        <v>#VALUE!</v>
      </c>
      <c r="G15" s="102" t="e">
        <f>ROUND(HLOOKUP($G$2,bs!$C$1:$AB$110,MATCH(TRIM(B15),TRIM(bs!$B$1:$B$110),0),FALSE),0)/IF(ISNUMBER(SEARCH("亿",$B$1)),100000000,IF(ISNUMBER(SEARCH("万",$B$1)),10000,1))</f>
        <v>#VALUE!</v>
      </c>
      <c r="H15" s="101" t="e">
        <f t="shared" si="2"/>
        <v>#VALUE!</v>
      </c>
      <c r="I15" s="102" t="e">
        <f>ROUND(HLOOKUP($I$2,bs!$C$1:$AB$110,MATCH(TRIM(B15),TRIM(bs!$B$1:$B$110),0),FALSE),0)/IF(ISNUMBER(SEARCH("亿",$B$1)),100000000,IF(ISNUMBER(SEARCH("万",$B$1)),10000,1))</f>
        <v>#VALUE!</v>
      </c>
      <c r="J15" s="101" t="e">
        <f t="shared" si="3"/>
        <v>#VALUE!</v>
      </c>
      <c r="L15" s="103" t="e">
        <f t="shared" si="4"/>
        <v>#VALUE!</v>
      </c>
      <c r="M15" s="103" t="str">
        <f t="shared" si="5"/>
        <v>持有待售资产</v>
      </c>
      <c r="N15" t="e">
        <f t="shared" si="6"/>
        <v>#VALUE!</v>
      </c>
      <c r="P15">
        <v>0</v>
      </c>
    </row>
    <row r="16" ht="28" customHeight="1" spans="2:16">
      <c r="B16" s="99" t="s">
        <v>636</v>
      </c>
      <c r="C16" s="100" t="e">
        <f>ROUND(HLOOKUP($C$2,bs!$C$1:$AB$110,MATCH(TRIM(B16),TRIM(bs!$B$1:$B$110),0),FALSE),0)/IF(ISNUMBER(SEARCH("亿",$B$1)),100000000,IF(ISNUMBER(SEARCH("万",$B$1)),10000,1))</f>
        <v>#VALUE!</v>
      </c>
      <c r="D16" s="101" t="e">
        <f t="shared" si="0"/>
        <v>#VALUE!</v>
      </c>
      <c r="E16" s="100" t="e">
        <f>ROUND(HLOOKUP($E$2,bs!$C$1:$AB$110,MATCH(TRIM(B16),TRIM(bs!$B$1:$B$110),0),FALSE),0)/IF(ISNUMBER(SEARCH("亿",$B$1)),100000000,IF(ISNUMBER(SEARCH("万",$B$1)),10000,1))</f>
        <v>#VALUE!</v>
      </c>
      <c r="F16" s="101" t="e">
        <f t="shared" si="1"/>
        <v>#VALUE!</v>
      </c>
      <c r="G16" s="102" t="e">
        <f>ROUND(HLOOKUP($G$2,bs!$C$1:$AB$110,MATCH(TRIM(B16),TRIM(bs!$B$1:$B$110),0),FALSE),0)/IF(ISNUMBER(SEARCH("亿",$B$1)),100000000,IF(ISNUMBER(SEARCH("万",$B$1)),10000,1))</f>
        <v>#VALUE!</v>
      </c>
      <c r="H16" s="101" t="e">
        <f t="shared" si="2"/>
        <v>#VALUE!</v>
      </c>
      <c r="I16" s="102" t="e">
        <f>ROUND(HLOOKUP($I$2,bs!$C$1:$AB$110,MATCH(TRIM(B16),TRIM(bs!$B$1:$B$110),0),FALSE),0)/IF(ISNUMBER(SEARCH("亿",$B$1)),100000000,IF(ISNUMBER(SEARCH("万",$B$1)),10000,1))</f>
        <v>#VALUE!</v>
      </c>
      <c r="J16" s="101" t="e">
        <f t="shared" si="3"/>
        <v>#VALUE!</v>
      </c>
      <c r="L16" s="103" t="e">
        <f t="shared" si="4"/>
        <v>#VALUE!</v>
      </c>
      <c r="M16" s="103" t="str">
        <f t="shared" si="5"/>
        <v>一年内到期的非流动资产</v>
      </c>
      <c r="N16" t="e">
        <f t="shared" si="6"/>
        <v>#VALUE!</v>
      </c>
    </row>
    <row r="17" spans="2:16">
      <c r="B17" s="99" t="s">
        <v>637</v>
      </c>
      <c r="C17" s="100" t="e">
        <f>ROUND(HLOOKUP($C$2,bs!$C$1:$AB$110,MATCH(TRIM(B17),TRIM(bs!$B$1:$B$110),0),FALSE),0)/IF(ISNUMBER(SEARCH("亿",$B$1)),100000000,IF(ISNUMBER(SEARCH("万",$B$1)),10000,1))</f>
        <v>#VALUE!</v>
      </c>
      <c r="D17" s="101" t="e">
        <f t="shared" si="0"/>
        <v>#VALUE!</v>
      </c>
      <c r="E17" s="100" t="e">
        <f>ROUND(HLOOKUP($E$2,bs!$C$1:$AB$110,MATCH(TRIM(B17),TRIM(bs!$B$1:$B$110),0),FALSE),0)/IF(ISNUMBER(SEARCH("亿",$B$1)),100000000,IF(ISNUMBER(SEARCH("万",$B$1)),10000,1))</f>
        <v>#VALUE!</v>
      </c>
      <c r="F17" s="101" t="e">
        <f t="shared" si="1"/>
        <v>#VALUE!</v>
      </c>
      <c r="G17" s="102" t="e">
        <f>ROUND(HLOOKUP($G$2,bs!$C$1:$AB$110,MATCH(TRIM(B17),TRIM(bs!$B$1:$B$110),0),FALSE),0)/IF(ISNUMBER(SEARCH("亿",$B$1)),100000000,IF(ISNUMBER(SEARCH("万",$B$1)),10000,1))</f>
        <v>#VALUE!</v>
      </c>
      <c r="H17" s="101" t="e">
        <f t="shared" si="2"/>
        <v>#VALUE!</v>
      </c>
      <c r="I17" s="102" t="e">
        <f>ROUND(HLOOKUP($I$2,bs!$C$1:$AB$110,MATCH(TRIM(B17),TRIM(bs!$B$1:$B$110),0),FALSE),0)/IF(ISNUMBER(SEARCH("亿",$B$1)),100000000,IF(ISNUMBER(SEARCH("万",$B$1)),10000,1))</f>
        <v>#VALUE!</v>
      </c>
      <c r="J17" s="101" t="e">
        <f t="shared" si="3"/>
        <v>#VALUE!</v>
      </c>
      <c r="L17" s="103" t="e">
        <f t="shared" si="4"/>
        <v>#VALUE!</v>
      </c>
      <c r="M17" s="103" t="str">
        <f t="shared" si="5"/>
        <v>其他流动资产</v>
      </c>
      <c r="N17" t="e">
        <f t="shared" si="6"/>
        <v>#VALUE!</v>
      </c>
      <c r="P17">
        <v>0</v>
      </c>
    </row>
    <row r="18" spans="2:16">
      <c r="B18" s="104" t="s">
        <v>533</v>
      </c>
      <c r="C18" s="100" t="e">
        <f>ROUND(HLOOKUP($C$2,bs!$C$1:$AB$110,MATCH(TRIM(B18),TRIM(bs!$B$1:$B$110),0),FALSE),0)/IF(ISNUMBER(SEARCH("亿",$B$1)),100000000,IF(ISNUMBER(SEARCH("万",$B$1)),10000,1))</f>
        <v>#VALUE!</v>
      </c>
      <c r="D18" s="105" t="e">
        <f t="shared" si="0"/>
        <v>#VALUE!</v>
      </c>
      <c r="E18" s="100" t="e">
        <f>ROUND(HLOOKUP($E$2,bs!$C$1:$AB$110,MATCH(TRIM(B18),TRIM(bs!$B$1:$B$110),0),FALSE),0)/IF(ISNUMBER(SEARCH("亿",$B$1)),100000000,IF(ISNUMBER(SEARCH("万",$B$1)),10000,1))</f>
        <v>#VALUE!</v>
      </c>
      <c r="F18" s="105" t="e">
        <f t="shared" si="1"/>
        <v>#VALUE!</v>
      </c>
      <c r="G18" s="102" t="e">
        <f>ROUND(HLOOKUP($G$2,bs!$C$1:$AB$110,MATCH(TRIM(B18),TRIM(bs!$B$1:$B$110),0),FALSE),0)/IF(ISNUMBER(SEARCH("亿",$B$1)),100000000,IF(ISNUMBER(SEARCH("万",$B$1)),10000,1))</f>
        <v>#VALUE!</v>
      </c>
      <c r="H18" s="105" t="e">
        <f t="shared" si="2"/>
        <v>#VALUE!</v>
      </c>
      <c r="I18" s="102" t="e">
        <f>ROUND(HLOOKUP($I$2,bs!$C$1:$AB$110,MATCH(TRIM(B18),TRIM(bs!$B$1:$B$110),0),FALSE),0)/IF(ISNUMBER(SEARCH("亿",$B$1)),100000000,IF(ISNUMBER(SEARCH("万",$B$1)),10000,1))</f>
        <v>#VALUE!</v>
      </c>
      <c r="J18" s="105" t="e">
        <f t="shared" si="3"/>
        <v>#VALUE!</v>
      </c>
      <c r="L18" s="103" t="e">
        <f t="shared" si="4"/>
        <v>#VALUE!</v>
      </c>
      <c r="M18" s="103" t="str">
        <f t="shared" si="5"/>
        <v>流动资产合计</v>
      </c>
      <c r="O18" t="e">
        <f>CONCATENATE(N2,N1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#VALUE!</v>
      </c>
      <c r="P18">
        <v>0</v>
      </c>
    </row>
    <row r="19" spans="2:16">
      <c r="B19" s="99" t="s">
        <v>638</v>
      </c>
      <c r="C19" s="100" t="e">
        <f>ROUND(HLOOKUP($C$2,bs!$C$1:$AB$110,MATCH(TRIM(B19),TRIM(bs!$B$1:$B$110),0),FALSE),0)/IF(ISNUMBER(SEARCH("亿",$B$1)),100000000,IF(ISNUMBER(SEARCH("万",$B$1)),10000,1))</f>
        <v>#VALUE!</v>
      </c>
      <c r="D19" s="101" t="e">
        <f t="shared" si="0"/>
        <v>#VALUE!</v>
      </c>
      <c r="E19" s="100" t="e">
        <f>ROUND(HLOOKUP($E$2,bs!$C$1:$AB$110,MATCH(TRIM(B19),TRIM(bs!$B$1:$B$110),0),FALSE),0)/IF(ISNUMBER(SEARCH("亿",$B$1)),100000000,IF(ISNUMBER(SEARCH("万",$B$1)),10000,1))</f>
        <v>#VALUE!</v>
      </c>
      <c r="F19" s="101" t="e">
        <f t="shared" si="1"/>
        <v>#VALUE!</v>
      </c>
      <c r="G19" s="102" t="e">
        <f>ROUND(HLOOKUP($G$2,bs!$C$1:$AB$110,MATCH(TRIM(B19),TRIM(bs!$B$1:$B$110),0),FALSE),0)/IF(ISNUMBER(SEARCH("亿",$B$1)),100000000,IF(ISNUMBER(SEARCH("万",$B$1)),10000,1))</f>
        <v>#VALUE!</v>
      </c>
      <c r="H19" s="101" t="e">
        <f t="shared" si="2"/>
        <v>#VALUE!</v>
      </c>
      <c r="I19" s="102" t="e">
        <f>ROUND(HLOOKUP($I$2,bs!$C$1:$AB$110,MATCH(TRIM(B19),TRIM(bs!$B$1:$B$110),0),FALSE),0)/IF(ISNUMBER(SEARCH("亿",$B$1)),100000000,IF(ISNUMBER(SEARCH("万",$B$1)),10000,1))</f>
        <v>#VALUE!</v>
      </c>
      <c r="J19" s="101" t="e">
        <f t="shared" si="3"/>
        <v>#VALUE!</v>
      </c>
      <c r="L19" s="103" t="e">
        <f t="shared" si="4"/>
        <v>#VALUE!</v>
      </c>
      <c r="M19" s="103" t="str">
        <f t="shared" si="5"/>
        <v>债权投资</v>
      </c>
      <c r="N19" t="e">
        <f t="shared" ref="N19:N43" si="7">CONCATENATE(M19,":",$N$2,$N$1,B19,"分别为",TEXT(I19,"#,##0.00"),"万元、",TEXT(G19,"#,##0.00"),"万元、",TEXT(E19,"#,##0.00"),"万元及",TEXT(C19,"#,##0.00"),"万元，","占总资产的比重分别为",TEXT(J19,"0.00%"),"、",TEXT(H19,"0.00%"),"、",TEXT(F19,"0.00%"),"和",TEXT(D19,"0.00%"),"。")</f>
        <v>#VALUE!</v>
      </c>
    </row>
    <row r="20" spans="2:16">
      <c r="B20" s="99" t="s">
        <v>639</v>
      </c>
      <c r="C20" s="100" t="e">
        <f>ROUND(HLOOKUP($C$2,bs!$C$1:$AB$110,MATCH(TRIM(B20),TRIM(bs!$B$1:$B$110),0),FALSE),0)/IF(ISNUMBER(SEARCH("亿",$B$1)),100000000,IF(ISNUMBER(SEARCH("万",$B$1)),10000,1))</f>
        <v>#VALUE!</v>
      </c>
      <c r="D20" s="101" t="e">
        <f t="shared" si="0"/>
        <v>#VALUE!</v>
      </c>
      <c r="E20" s="100" t="e">
        <f>ROUND(HLOOKUP($E$2,bs!$C$1:$AB$110,MATCH(TRIM(B20),TRIM(bs!$B$1:$B$110),0),FALSE),0)/IF(ISNUMBER(SEARCH("亿",$B$1)),100000000,IF(ISNUMBER(SEARCH("万",$B$1)),10000,1))</f>
        <v>#VALUE!</v>
      </c>
      <c r="F20" s="101" t="e">
        <f t="shared" si="1"/>
        <v>#VALUE!</v>
      </c>
      <c r="G20" s="102" t="e">
        <f>ROUND(HLOOKUP($G$2,bs!$C$1:$AB$110,MATCH(TRIM(B20),TRIM(bs!$B$1:$B$110),0),FALSE),0)/IF(ISNUMBER(SEARCH("亿",$B$1)),100000000,IF(ISNUMBER(SEARCH("万",$B$1)),10000,1))</f>
        <v>#VALUE!</v>
      </c>
      <c r="H20" s="101" t="e">
        <f t="shared" si="2"/>
        <v>#VALUE!</v>
      </c>
      <c r="I20" s="102" t="e">
        <f>ROUND(HLOOKUP($I$2,bs!$C$1:$AB$110,MATCH(TRIM(B20),TRIM(bs!$B$1:$B$110),0),FALSE),0)/IF(ISNUMBER(SEARCH("亿",$B$1)),100000000,IF(ISNUMBER(SEARCH("万",$B$1)),10000,1))</f>
        <v>#VALUE!</v>
      </c>
      <c r="J20" s="101" t="e">
        <f t="shared" si="3"/>
        <v>#VALUE!</v>
      </c>
      <c r="L20" s="103" t="e">
        <f t="shared" si="4"/>
        <v>#VALUE!</v>
      </c>
      <c r="M20" s="103" t="str">
        <f t="shared" si="5"/>
        <v>其他债权投资</v>
      </c>
      <c r="N20" t="e">
        <f t="shared" si="7"/>
        <v>#VALUE!</v>
      </c>
    </row>
    <row r="21" spans="2:16">
      <c r="B21" s="99" t="s">
        <v>640</v>
      </c>
      <c r="C21" s="100" t="e">
        <f>ROUND(HLOOKUP($C$2,bs!$C$1:$AB$110,MATCH(TRIM(B21),TRIM(bs!$B$1:$B$110),0),FALSE),0)/IF(ISNUMBER(SEARCH("亿",$B$1)),100000000,IF(ISNUMBER(SEARCH("万",$B$1)),10000,1))</f>
        <v>#VALUE!</v>
      </c>
      <c r="D21" s="101" t="e">
        <f t="shared" si="0"/>
        <v>#VALUE!</v>
      </c>
      <c r="E21" s="100" t="e">
        <f>ROUND(HLOOKUP($E$2,bs!$C$1:$AB$110,MATCH(TRIM(B21),TRIM(bs!$B$1:$B$110),0),FALSE),0)/IF(ISNUMBER(SEARCH("亿",$B$1)),100000000,IF(ISNUMBER(SEARCH("万",$B$1)),10000,1))</f>
        <v>#VALUE!</v>
      </c>
      <c r="F21" s="101" t="e">
        <f t="shared" si="1"/>
        <v>#VALUE!</v>
      </c>
      <c r="G21" s="102" t="e">
        <f>ROUND(HLOOKUP($G$2,bs!$C$1:$AB$110,MATCH(TRIM(B21),TRIM(bs!$B$1:$B$110),0),FALSE),0)/IF(ISNUMBER(SEARCH("亿",$B$1)),100000000,IF(ISNUMBER(SEARCH("万",$B$1)),10000,1))</f>
        <v>#VALUE!</v>
      </c>
      <c r="H21" s="101" t="e">
        <f t="shared" si="2"/>
        <v>#VALUE!</v>
      </c>
      <c r="I21" s="102" t="e">
        <f>ROUND(HLOOKUP($I$2,bs!$C$1:$AB$110,MATCH(TRIM(B21),TRIM(bs!$B$1:$B$110),0),FALSE),0)/IF(ISNUMBER(SEARCH("亿",$B$1)),100000000,IF(ISNUMBER(SEARCH("万",$B$1)),10000,1))</f>
        <v>#VALUE!</v>
      </c>
      <c r="J21" s="101" t="e">
        <f t="shared" si="3"/>
        <v>#VALUE!</v>
      </c>
      <c r="L21" s="103" t="e">
        <f t="shared" si="4"/>
        <v>#VALUE!</v>
      </c>
      <c r="M21" s="103" t="str">
        <f t="shared" si="5"/>
        <v>长期应收款</v>
      </c>
      <c r="N21" t="e">
        <f t="shared" si="7"/>
        <v>#VALUE!</v>
      </c>
      <c r="P21">
        <v>0</v>
      </c>
    </row>
    <row r="22" spans="2:16">
      <c r="B22" s="99" t="s">
        <v>641</v>
      </c>
      <c r="C22" s="100" t="e">
        <f>ROUND(HLOOKUP($C$2,bs!$C$1:$AB$110,MATCH(TRIM(B22),TRIM(bs!$B$1:$B$110),0),FALSE),0)/IF(ISNUMBER(SEARCH("亿",$B$1)),100000000,IF(ISNUMBER(SEARCH("万",$B$1)),10000,1))</f>
        <v>#VALUE!</v>
      </c>
      <c r="D22" s="101" t="e">
        <f t="shared" si="0"/>
        <v>#VALUE!</v>
      </c>
      <c r="E22" s="100" t="e">
        <f>ROUND(HLOOKUP($E$2,bs!$C$1:$AB$110,MATCH(TRIM(B22),TRIM(bs!$B$1:$B$110),0),FALSE),0)/IF(ISNUMBER(SEARCH("亿",$B$1)),100000000,IF(ISNUMBER(SEARCH("万",$B$1)),10000,1))</f>
        <v>#VALUE!</v>
      </c>
      <c r="F22" s="101" t="e">
        <f t="shared" si="1"/>
        <v>#VALUE!</v>
      </c>
      <c r="G22" s="102" t="e">
        <f>ROUND(HLOOKUP($G$2,bs!$C$1:$AB$110,MATCH(TRIM(B22),TRIM(bs!$B$1:$B$110),0),FALSE),0)/IF(ISNUMBER(SEARCH("亿",$B$1)),100000000,IF(ISNUMBER(SEARCH("万",$B$1)),10000,1))</f>
        <v>#VALUE!</v>
      </c>
      <c r="H22" s="101" t="e">
        <f t="shared" si="2"/>
        <v>#VALUE!</v>
      </c>
      <c r="I22" s="102" t="e">
        <f>ROUND(HLOOKUP($I$2,bs!$C$1:$AB$110,MATCH(TRIM(B22),TRIM(bs!$B$1:$B$110),0),FALSE),0)/IF(ISNUMBER(SEARCH("亿",$B$1)),100000000,IF(ISNUMBER(SEARCH("万",$B$1)),10000,1))</f>
        <v>#VALUE!</v>
      </c>
      <c r="J22" s="101" t="e">
        <f t="shared" si="3"/>
        <v>#VALUE!</v>
      </c>
      <c r="L22" s="103" t="e">
        <f t="shared" si="4"/>
        <v>#VALUE!</v>
      </c>
      <c r="M22" s="103" t="str">
        <f t="shared" si="5"/>
        <v>长期股权投资</v>
      </c>
      <c r="N22" t="e">
        <f t="shared" si="7"/>
        <v>#VALUE!</v>
      </c>
      <c r="P22">
        <v>0</v>
      </c>
    </row>
    <row r="23" spans="2:16">
      <c r="B23" s="99" t="s">
        <v>642</v>
      </c>
      <c r="C23" s="100" t="e">
        <f>ROUND(HLOOKUP($C$2,bs!$C$1:$AB$110,MATCH(TRIM(B23),TRIM(bs!$B$1:$B$110),0),FALSE),0)/IF(ISNUMBER(SEARCH("亿",$B$1)),100000000,IF(ISNUMBER(SEARCH("万",$B$1)),10000,1))</f>
        <v>#VALUE!</v>
      </c>
      <c r="D23" s="101" t="e">
        <f t="shared" si="0"/>
        <v>#VALUE!</v>
      </c>
      <c r="E23" s="100" t="e">
        <f>ROUND(HLOOKUP($E$2,bs!$C$1:$AB$110,MATCH(TRIM(B23),TRIM(bs!$B$1:$B$110),0),FALSE),0)/IF(ISNUMBER(SEARCH("亿",$B$1)),100000000,IF(ISNUMBER(SEARCH("万",$B$1)),10000,1))</f>
        <v>#VALUE!</v>
      </c>
      <c r="F23" s="101" t="e">
        <f t="shared" si="1"/>
        <v>#VALUE!</v>
      </c>
      <c r="G23" s="102" t="e">
        <f>ROUND(HLOOKUP($G$2,bs!$C$1:$AB$110,MATCH(TRIM(B23),TRIM(bs!$B$1:$B$110),0),FALSE),0)/IF(ISNUMBER(SEARCH("亿",$B$1)),100000000,IF(ISNUMBER(SEARCH("万",$B$1)),10000,1))</f>
        <v>#VALUE!</v>
      </c>
      <c r="H23" s="101" t="e">
        <f t="shared" si="2"/>
        <v>#VALUE!</v>
      </c>
      <c r="I23" s="102" t="e">
        <f>ROUND(HLOOKUP($I$2,bs!$C$1:$AB$110,MATCH(TRIM(B23),TRIM(bs!$B$1:$B$110),0),FALSE),0)/IF(ISNUMBER(SEARCH("亿",$B$1)),100000000,IF(ISNUMBER(SEARCH("万",$B$1)),10000,1))</f>
        <v>#VALUE!</v>
      </c>
      <c r="J23" s="101" t="e">
        <f t="shared" si="3"/>
        <v>#VALUE!</v>
      </c>
      <c r="L23" s="103" t="e">
        <f t="shared" si="4"/>
        <v>#VALUE!</v>
      </c>
      <c r="M23" s="103" t="str">
        <f t="shared" si="5"/>
        <v>可供出售金融资产</v>
      </c>
      <c r="N23" t="e">
        <f t="shared" si="7"/>
        <v>#VALUE!</v>
      </c>
    </row>
    <row r="24" spans="2:16">
      <c r="B24" s="99" t="s">
        <v>643</v>
      </c>
      <c r="C24" s="100" t="e">
        <f>ROUND(HLOOKUP($C$2,bs!$C$1:$AB$110,MATCH(TRIM(B24),TRIM(bs!$B$1:$B$110),0),FALSE),0)/IF(ISNUMBER(SEARCH("亿",$B$1)),100000000,IF(ISNUMBER(SEARCH("万",$B$1)),10000,1))</f>
        <v>#VALUE!</v>
      </c>
      <c r="D24" s="101" t="e">
        <f t="shared" si="0"/>
        <v>#VALUE!</v>
      </c>
      <c r="E24" s="100" t="e">
        <f>ROUND(HLOOKUP($E$2,bs!$C$1:$AB$110,MATCH(TRIM(B24),TRIM(bs!$B$1:$B$110),0),FALSE),0)/IF(ISNUMBER(SEARCH("亿",$B$1)),100000000,IF(ISNUMBER(SEARCH("万",$B$1)),10000,1))</f>
        <v>#VALUE!</v>
      </c>
      <c r="F24" s="101" t="e">
        <f t="shared" si="1"/>
        <v>#VALUE!</v>
      </c>
      <c r="G24" s="102" t="e">
        <f>ROUND(HLOOKUP($G$2,bs!$C$1:$AB$110,MATCH(TRIM(B24),TRIM(bs!$B$1:$B$110),0),FALSE),0)/IF(ISNUMBER(SEARCH("亿",$B$1)),100000000,IF(ISNUMBER(SEARCH("万",$B$1)),10000,1))</f>
        <v>#VALUE!</v>
      </c>
      <c r="H24" s="101" t="e">
        <f t="shared" si="2"/>
        <v>#VALUE!</v>
      </c>
      <c r="I24" s="102" t="e">
        <f>ROUND(HLOOKUP($I$2,bs!$C$1:$AB$110,MATCH(TRIM(B24),TRIM(bs!$B$1:$B$110),0),FALSE),0)/IF(ISNUMBER(SEARCH("亿",$B$1)),100000000,IF(ISNUMBER(SEARCH("万",$B$1)),10000,1))</f>
        <v>#VALUE!</v>
      </c>
      <c r="J24" s="101" t="e">
        <f t="shared" si="3"/>
        <v>#VALUE!</v>
      </c>
      <c r="L24" s="103" t="e">
        <f t="shared" si="4"/>
        <v>#VALUE!</v>
      </c>
      <c r="M24" s="103" t="str">
        <f t="shared" si="5"/>
        <v>持有至到期投资</v>
      </c>
      <c r="N24" t="e">
        <f t="shared" si="7"/>
        <v>#VALUE!</v>
      </c>
    </row>
    <row r="25" spans="2:16">
      <c r="B25" s="99" t="s">
        <v>644</v>
      </c>
      <c r="C25" s="100" t="e">
        <f>ROUND(HLOOKUP($C$2,bs!$C$1:$AB$110,MATCH(TRIM(B25),TRIM(bs!$B$1:$B$110),0),FALSE),0)/IF(ISNUMBER(SEARCH("亿",$B$1)),100000000,IF(ISNUMBER(SEARCH("万",$B$1)),10000,1))</f>
        <v>#VALUE!</v>
      </c>
      <c r="D25" s="101" t="e">
        <f t="shared" si="0"/>
        <v>#VALUE!</v>
      </c>
      <c r="E25" s="100" t="e">
        <f>ROUND(HLOOKUP($E$2,bs!$C$1:$AB$110,MATCH(TRIM(B25),TRIM(bs!$B$1:$B$110),0),FALSE),0)/IF(ISNUMBER(SEARCH("亿",$B$1)),100000000,IF(ISNUMBER(SEARCH("万",$B$1)),10000,1))</f>
        <v>#VALUE!</v>
      </c>
      <c r="F25" s="101" t="e">
        <f t="shared" si="1"/>
        <v>#VALUE!</v>
      </c>
      <c r="G25" s="102" t="e">
        <f>ROUND(HLOOKUP($G$2,bs!$C$1:$AB$110,MATCH(TRIM(B25),TRIM(bs!$B$1:$B$110),0),FALSE),0)/IF(ISNUMBER(SEARCH("亿",$B$1)),100000000,IF(ISNUMBER(SEARCH("万",$B$1)),10000,1))</f>
        <v>#VALUE!</v>
      </c>
      <c r="H25" s="101" t="e">
        <f t="shared" si="2"/>
        <v>#VALUE!</v>
      </c>
      <c r="I25" s="102" t="e">
        <f>ROUND(HLOOKUP($I$2,bs!$C$1:$AB$110,MATCH(TRIM(B25),TRIM(bs!$B$1:$B$110),0),FALSE),0)/IF(ISNUMBER(SEARCH("亿",$B$1)),100000000,IF(ISNUMBER(SEARCH("万",$B$1)),10000,1))</f>
        <v>#VALUE!</v>
      </c>
      <c r="J25" s="101" t="e">
        <f t="shared" si="3"/>
        <v>#VALUE!</v>
      </c>
      <c r="L25" s="103" t="e">
        <f t="shared" si="4"/>
        <v>#VALUE!</v>
      </c>
      <c r="M25" s="103" t="str">
        <f t="shared" si="5"/>
        <v>其他权益工具投资</v>
      </c>
      <c r="N25" t="e">
        <f t="shared" si="7"/>
        <v>#VALUE!</v>
      </c>
    </row>
    <row r="26" spans="2:16">
      <c r="B26" s="99" t="s">
        <v>645</v>
      </c>
      <c r="C26" s="100" t="e">
        <f>ROUND(HLOOKUP($C$2,bs!$C$1:$AB$110,MATCH(TRIM(B26),TRIM(bs!$B$1:$B$110),0),FALSE),0)/IF(ISNUMBER(SEARCH("亿",$B$1)),100000000,IF(ISNUMBER(SEARCH("万",$B$1)),10000,1))</f>
        <v>#VALUE!</v>
      </c>
      <c r="D26" s="101" t="e">
        <f t="shared" si="0"/>
        <v>#VALUE!</v>
      </c>
      <c r="E26" s="100" t="e">
        <f>ROUND(HLOOKUP($E$2,bs!$C$1:$AB$110,MATCH(TRIM(B26),TRIM(bs!$B$1:$B$110),0),FALSE),0)/IF(ISNUMBER(SEARCH("亿",$B$1)),100000000,IF(ISNUMBER(SEARCH("万",$B$1)),10000,1))</f>
        <v>#VALUE!</v>
      </c>
      <c r="F26" s="101" t="e">
        <f t="shared" si="1"/>
        <v>#VALUE!</v>
      </c>
      <c r="G26" s="102" t="e">
        <f>ROUND(HLOOKUP($G$2,bs!$C$1:$AB$110,MATCH(TRIM(B26),TRIM(bs!$B$1:$B$110),0),FALSE),0)/IF(ISNUMBER(SEARCH("亿",$B$1)),100000000,IF(ISNUMBER(SEARCH("万",$B$1)),10000,1))</f>
        <v>#VALUE!</v>
      </c>
      <c r="H26" s="101" t="e">
        <f t="shared" si="2"/>
        <v>#VALUE!</v>
      </c>
      <c r="I26" s="102" t="e">
        <f>ROUND(HLOOKUP($I$2,bs!$C$1:$AB$110,MATCH(TRIM(B26),TRIM(bs!$B$1:$B$110),0),FALSE),0)/IF(ISNUMBER(SEARCH("亿",$B$1)),100000000,IF(ISNUMBER(SEARCH("万",$B$1)),10000,1))</f>
        <v>#VALUE!</v>
      </c>
      <c r="J26" s="101" t="e">
        <f t="shared" si="3"/>
        <v>#VALUE!</v>
      </c>
      <c r="L26" s="103" t="e">
        <f t="shared" si="4"/>
        <v>#VALUE!</v>
      </c>
      <c r="M26" s="103" t="str">
        <f t="shared" si="5"/>
        <v>其他非流动金融资产</v>
      </c>
      <c r="N26" t="e">
        <f t="shared" si="7"/>
        <v>#VALUE!</v>
      </c>
    </row>
    <row r="27" spans="2:16">
      <c r="B27" s="99" t="s">
        <v>646</v>
      </c>
      <c r="C27" s="100" t="e">
        <f>ROUND(HLOOKUP($C$2,bs!$C$1:$AB$110,MATCH(TRIM(B27),TRIM(bs!$B$1:$B$110),0),FALSE),0)/IF(ISNUMBER(SEARCH("亿",$B$1)),100000000,IF(ISNUMBER(SEARCH("万",$B$1)),10000,1))</f>
        <v>#VALUE!</v>
      </c>
      <c r="D27" s="101" t="e">
        <f t="shared" si="0"/>
        <v>#VALUE!</v>
      </c>
      <c r="E27" s="100" t="e">
        <f>ROUND(HLOOKUP($E$2,bs!$C$1:$AB$110,MATCH(TRIM(B27),TRIM(bs!$B$1:$B$110),0),FALSE),0)/IF(ISNUMBER(SEARCH("亿",$B$1)),100000000,IF(ISNUMBER(SEARCH("万",$B$1)),10000,1))</f>
        <v>#VALUE!</v>
      </c>
      <c r="F27" s="101" t="e">
        <f t="shared" si="1"/>
        <v>#VALUE!</v>
      </c>
      <c r="G27" s="102" t="e">
        <f>ROUND(HLOOKUP($G$2,bs!$C$1:$AB$110,MATCH(TRIM(B27),TRIM(bs!$B$1:$B$110),0),FALSE),0)/IF(ISNUMBER(SEARCH("亿",$B$1)),100000000,IF(ISNUMBER(SEARCH("万",$B$1)),10000,1))</f>
        <v>#VALUE!</v>
      </c>
      <c r="H27" s="101" t="e">
        <f t="shared" si="2"/>
        <v>#VALUE!</v>
      </c>
      <c r="I27" s="102" t="e">
        <f>ROUND(HLOOKUP($I$2,bs!$C$1:$AB$110,MATCH(TRIM(B27),TRIM(bs!$B$1:$B$110),0),FALSE),0)/IF(ISNUMBER(SEARCH("亿",$B$1)),100000000,IF(ISNUMBER(SEARCH("万",$B$1)),10000,1))</f>
        <v>#VALUE!</v>
      </c>
      <c r="J27" s="101" t="e">
        <f t="shared" si="3"/>
        <v>#VALUE!</v>
      </c>
      <c r="L27" s="103" t="e">
        <f t="shared" si="4"/>
        <v>#VALUE!</v>
      </c>
      <c r="M27" s="103" t="str">
        <f t="shared" si="5"/>
        <v>投资性房地产</v>
      </c>
      <c r="N27" t="e">
        <f t="shared" si="7"/>
        <v>#VALUE!</v>
      </c>
    </row>
    <row r="28" spans="2:16">
      <c r="B28" s="99" t="s">
        <v>593</v>
      </c>
      <c r="C28" s="100" t="e">
        <f>ROUND(HLOOKUP($C$2,bs!$C$1:$AB$110,MATCH(TRIM(B28),TRIM(bs!$B$1:$B$110),0),FALSE),0)/IF(ISNUMBER(SEARCH("亿",$B$1)),100000000,IF(ISNUMBER(SEARCH("万",$B$1)),10000,1))</f>
        <v>#VALUE!</v>
      </c>
      <c r="D28" s="101" t="e">
        <f t="shared" si="0"/>
        <v>#VALUE!</v>
      </c>
      <c r="E28" s="100" t="e">
        <f>ROUND(HLOOKUP($E$2,bs!$C$1:$AB$110,MATCH(TRIM(B28),TRIM(bs!$B$1:$B$110),0),FALSE),0)/IF(ISNUMBER(SEARCH("亿",$B$1)),100000000,IF(ISNUMBER(SEARCH("万",$B$1)),10000,1))</f>
        <v>#VALUE!</v>
      </c>
      <c r="F28" s="101" t="e">
        <f t="shared" si="1"/>
        <v>#VALUE!</v>
      </c>
      <c r="G28" s="102" t="e">
        <f>ROUND(HLOOKUP($G$2,bs!$C$1:$AB$110,MATCH(TRIM(B28),TRIM(bs!$B$1:$B$110),0),FALSE),0)/IF(ISNUMBER(SEARCH("亿",$B$1)),100000000,IF(ISNUMBER(SEARCH("万",$B$1)),10000,1))</f>
        <v>#VALUE!</v>
      </c>
      <c r="H28" s="101" t="e">
        <f t="shared" si="2"/>
        <v>#VALUE!</v>
      </c>
      <c r="I28" s="102" t="e">
        <f>ROUND(HLOOKUP($I$2,bs!$C$1:$AB$110,MATCH(TRIM(B28),TRIM(bs!$B$1:$B$110),0),FALSE),0)/IF(ISNUMBER(SEARCH("亿",$B$1)),100000000,IF(ISNUMBER(SEARCH("万",$B$1)),10000,1))</f>
        <v>#VALUE!</v>
      </c>
      <c r="J28" s="101" t="e">
        <f t="shared" si="3"/>
        <v>#VALUE!</v>
      </c>
      <c r="L28" s="103" t="e">
        <f t="shared" si="4"/>
        <v>#VALUE!</v>
      </c>
      <c r="M28" s="103" t="str">
        <f t="shared" si="5"/>
        <v>固定资产</v>
      </c>
      <c r="N28" t="e">
        <f t="shared" si="7"/>
        <v>#VALUE!</v>
      </c>
      <c r="P28">
        <v>0</v>
      </c>
    </row>
    <row r="29" spans="2:16">
      <c r="B29" s="99" t="s">
        <v>328</v>
      </c>
      <c r="C29" s="100" t="e">
        <f>ROUND(HLOOKUP($C$2,bs!$C$1:$AB$110,MATCH(TRIM(B29),TRIM(bs!$B$1:$B$110),0),FALSE),0)/IF(ISNUMBER(SEARCH("亿",$B$1)),100000000,IF(ISNUMBER(SEARCH("万",$B$1)),10000,1))</f>
        <v>#VALUE!</v>
      </c>
      <c r="D29" s="101" t="e">
        <f t="shared" si="0"/>
        <v>#VALUE!</v>
      </c>
      <c r="E29" s="100" t="e">
        <f>ROUND(HLOOKUP($E$2,bs!$C$1:$AB$110,MATCH(TRIM(B29),TRIM(bs!$B$1:$B$110),0),FALSE),0)/IF(ISNUMBER(SEARCH("亿",$B$1)),100000000,IF(ISNUMBER(SEARCH("万",$B$1)),10000,1))</f>
        <v>#VALUE!</v>
      </c>
      <c r="F29" s="101" t="e">
        <f t="shared" si="1"/>
        <v>#VALUE!</v>
      </c>
      <c r="G29" s="102" t="e">
        <f>ROUND(HLOOKUP($G$2,bs!$C$1:$AB$110,MATCH(TRIM(B29),TRIM(bs!$B$1:$B$110),0),FALSE),0)/IF(ISNUMBER(SEARCH("亿",$B$1)),100000000,IF(ISNUMBER(SEARCH("万",$B$1)),10000,1))</f>
        <v>#VALUE!</v>
      </c>
      <c r="H29" s="101" t="e">
        <f t="shared" si="2"/>
        <v>#VALUE!</v>
      </c>
      <c r="I29" s="102" t="e">
        <f>ROUND(HLOOKUP($I$2,bs!$C$1:$AB$110,MATCH(TRIM(B29),TRIM(bs!$B$1:$B$110),0),FALSE),0)/IF(ISNUMBER(SEARCH("亿",$B$1)),100000000,IF(ISNUMBER(SEARCH("万",$B$1)),10000,1))</f>
        <v>#VALUE!</v>
      </c>
      <c r="J29" s="101" t="e">
        <f t="shared" si="3"/>
        <v>#VALUE!</v>
      </c>
      <c r="L29" s="103" t="e">
        <f t="shared" si="4"/>
        <v>#VALUE!</v>
      </c>
      <c r="M29" s="103" t="str">
        <f t="shared" si="5"/>
        <v>  累计折旧</v>
      </c>
      <c r="N29" t="e">
        <f t="shared" si="7"/>
        <v>#VALUE!</v>
      </c>
      <c r="P29">
        <v>0</v>
      </c>
    </row>
    <row r="30" spans="2:16">
      <c r="B30" s="99" t="s">
        <v>329</v>
      </c>
      <c r="C30" s="100" t="e">
        <f>ROUND(HLOOKUP($C$2,bs!$C$1:$AB$110,MATCH(TRIM(B30),TRIM(bs!$B$1:$B$110),0),FALSE),0)/IF(ISNUMBER(SEARCH("亿",$B$1)),100000000,IF(ISNUMBER(SEARCH("万",$B$1)),10000,1))</f>
        <v>#VALUE!</v>
      </c>
      <c r="D30" s="101" t="e">
        <f t="shared" si="0"/>
        <v>#VALUE!</v>
      </c>
      <c r="E30" s="100" t="e">
        <f>ROUND(HLOOKUP($E$2,bs!$C$1:$AB$110,MATCH(TRIM(B30),TRIM(bs!$B$1:$B$110),0),FALSE),0)/IF(ISNUMBER(SEARCH("亿",$B$1)),100000000,IF(ISNUMBER(SEARCH("万",$B$1)),10000,1))</f>
        <v>#VALUE!</v>
      </c>
      <c r="F30" s="101" t="e">
        <f t="shared" si="1"/>
        <v>#VALUE!</v>
      </c>
      <c r="G30" s="102" t="e">
        <f>ROUND(HLOOKUP($G$2,bs!$C$1:$AB$110,MATCH(TRIM(B30),TRIM(bs!$B$1:$B$110),0),FALSE),0)/IF(ISNUMBER(SEARCH("亿",$B$1)),100000000,IF(ISNUMBER(SEARCH("万",$B$1)),10000,1))</f>
        <v>#VALUE!</v>
      </c>
      <c r="H30" s="101" t="e">
        <f t="shared" si="2"/>
        <v>#VALUE!</v>
      </c>
      <c r="I30" s="102" t="e">
        <f>ROUND(HLOOKUP($I$2,bs!$C$1:$AB$110,MATCH(TRIM(B30),TRIM(bs!$B$1:$B$110),0),FALSE),0)/IF(ISNUMBER(SEARCH("亿",$B$1)),100000000,IF(ISNUMBER(SEARCH("万",$B$1)),10000,1))</f>
        <v>#VALUE!</v>
      </c>
      <c r="J30" s="101" t="e">
        <f t="shared" si="3"/>
        <v>#VALUE!</v>
      </c>
      <c r="L30" s="103" t="e">
        <f t="shared" si="4"/>
        <v>#VALUE!</v>
      </c>
      <c r="M30" s="103" t="str">
        <f t="shared" si="5"/>
        <v>  固定资产减值准备 </v>
      </c>
      <c r="N30" t="e">
        <f t="shared" si="7"/>
        <v>#VALUE!</v>
      </c>
    </row>
    <row r="31" spans="2:16">
      <c r="B31" s="99" t="s">
        <v>647</v>
      </c>
      <c r="C31" s="100" t="e">
        <f>ROUND(HLOOKUP($C$2,bs!$C$1:$AB$110,MATCH(TRIM(B31),TRIM(bs!$B$1:$B$110),0),FALSE),0)/IF(ISNUMBER(SEARCH("亿",$B$1)),100000000,IF(ISNUMBER(SEARCH("万",$B$1)),10000,1))</f>
        <v>#VALUE!</v>
      </c>
      <c r="D31" s="101" t="e">
        <f t="shared" si="0"/>
        <v>#VALUE!</v>
      </c>
      <c r="E31" s="100" t="e">
        <f>ROUND(HLOOKUP($E$2,bs!$C$1:$AB$110,MATCH(TRIM(B31),TRIM(bs!$B$1:$B$110),0),FALSE),0)/IF(ISNUMBER(SEARCH("亿",$B$1)),100000000,IF(ISNUMBER(SEARCH("万",$B$1)),10000,1))</f>
        <v>#VALUE!</v>
      </c>
      <c r="F31" s="101" t="e">
        <f t="shared" si="1"/>
        <v>#VALUE!</v>
      </c>
      <c r="G31" s="102" t="e">
        <f>ROUND(HLOOKUP($G$2,bs!$C$1:$AB$110,MATCH(TRIM(B31),TRIM(bs!$B$1:$B$110),0),FALSE),0)/IF(ISNUMBER(SEARCH("亿",$B$1)),100000000,IF(ISNUMBER(SEARCH("万",$B$1)),10000,1))</f>
        <v>#VALUE!</v>
      </c>
      <c r="H31" s="101" t="e">
        <f t="shared" si="2"/>
        <v>#VALUE!</v>
      </c>
      <c r="I31" s="102" t="e">
        <f>ROUND(HLOOKUP($I$2,bs!$C$1:$AB$110,MATCH(TRIM(B31),TRIM(bs!$B$1:$B$110),0),FALSE),0)/IF(ISNUMBER(SEARCH("亿",$B$1)),100000000,IF(ISNUMBER(SEARCH("万",$B$1)),10000,1))</f>
        <v>#VALUE!</v>
      </c>
      <c r="J31" s="101" t="e">
        <f t="shared" si="3"/>
        <v>#VALUE!</v>
      </c>
      <c r="K31" s="106" t="e">
        <f>C31-E31</f>
        <v>#VALUE!</v>
      </c>
      <c r="L31" s="103" t="e">
        <f t="shared" si="4"/>
        <v>#VALUE!</v>
      </c>
      <c r="M31" s="103" t="str">
        <f t="shared" si="5"/>
        <v>固定资产净额</v>
      </c>
      <c r="N31" t="e">
        <f t="shared" si="7"/>
        <v>#VALUE!</v>
      </c>
      <c r="P31">
        <v>0</v>
      </c>
    </row>
    <row r="32" spans="2:16">
      <c r="B32" s="99" t="s">
        <v>331</v>
      </c>
      <c r="C32" s="100" t="e">
        <f>ROUND(HLOOKUP($C$2,bs!$C$1:$AB$110,MATCH(TRIM(B32),TRIM(bs!$B$1:$B$110),0),FALSE),0)/IF(ISNUMBER(SEARCH("亿",$B$1)),100000000,IF(ISNUMBER(SEARCH("万",$B$1)),10000,1))</f>
        <v>#VALUE!</v>
      </c>
      <c r="D32" s="101" t="e">
        <f t="shared" si="0"/>
        <v>#VALUE!</v>
      </c>
      <c r="E32" s="100" t="e">
        <f>ROUND(HLOOKUP($E$2,bs!$C$1:$AB$110,MATCH(TRIM(B32),TRIM(bs!$B$1:$B$110),0),FALSE),0)/IF(ISNUMBER(SEARCH("亿",$B$1)),100000000,IF(ISNUMBER(SEARCH("万",$B$1)),10000,1))</f>
        <v>#VALUE!</v>
      </c>
      <c r="F32" s="101" t="e">
        <f t="shared" si="1"/>
        <v>#VALUE!</v>
      </c>
      <c r="G32" s="102" t="e">
        <f>ROUND(HLOOKUP($G$2,bs!$C$1:$AB$110,MATCH(TRIM(B32),TRIM(bs!$B$1:$B$110),0),FALSE),0)/IF(ISNUMBER(SEARCH("亿",$B$1)),100000000,IF(ISNUMBER(SEARCH("万",$B$1)),10000,1))</f>
        <v>#VALUE!</v>
      </c>
      <c r="H32" s="101" t="e">
        <f t="shared" si="2"/>
        <v>#VALUE!</v>
      </c>
      <c r="I32" s="102" t="e">
        <f>ROUND(HLOOKUP($I$2,bs!$C$1:$AB$110,MATCH(TRIM(B32),TRIM(bs!$B$1:$B$110),0),FALSE),0)/IF(ISNUMBER(SEARCH("亿",$B$1)),100000000,IF(ISNUMBER(SEARCH("万",$B$1)),10000,1))</f>
        <v>#VALUE!</v>
      </c>
      <c r="J32" s="101" t="e">
        <f t="shared" si="3"/>
        <v>#VALUE!</v>
      </c>
      <c r="L32" s="103" t="e">
        <f t="shared" si="4"/>
        <v>#VALUE!</v>
      </c>
      <c r="M32" s="103" t="str">
        <f t="shared" si="5"/>
        <v>  固定资产清理</v>
      </c>
      <c r="N32" t="e">
        <f t="shared" si="7"/>
        <v>#VALUE!</v>
      </c>
    </row>
    <row r="33" spans="2:16">
      <c r="B33" s="99" t="s">
        <v>332</v>
      </c>
      <c r="C33" s="100" t="e">
        <f>ROUND(HLOOKUP($C$2,bs!$C$1:$AB$110,MATCH(TRIM(B33),TRIM(bs!$B$1:$B$110),0),FALSE),0)/IF(ISNUMBER(SEARCH("亿",$B$1)),100000000,IF(ISNUMBER(SEARCH("万",$B$1)),10000,1))</f>
        <v>#VALUE!</v>
      </c>
      <c r="D33" s="101" t="e">
        <f t="shared" si="0"/>
        <v>#VALUE!</v>
      </c>
      <c r="E33" s="100" t="e">
        <f>ROUND(HLOOKUP($E$2,bs!$C$1:$AB$110,MATCH(TRIM(B33),TRIM(bs!$B$1:$B$110),0),FALSE),0)/IF(ISNUMBER(SEARCH("亿",$B$1)),100000000,IF(ISNUMBER(SEARCH("万",$B$1)),10000,1))</f>
        <v>#VALUE!</v>
      </c>
      <c r="F33" s="101" t="e">
        <f t="shared" si="1"/>
        <v>#VALUE!</v>
      </c>
      <c r="G33" s="102" t="e">
        <f>ROUND(HLOOKUP($G$2,bs!$C$1:$AB$110,MATCH(TRIM(B33),TRIM(bs!$B$1:$B$110),0),FALSE),0)/IF(ISNUMBER(SEARCH("亿",$B$1)),100000000,IF(ISNUMBER(SEARCH("万",$B$1)),10000,1))</f>
        <v>#VALUE!</v>
      </c>
      <c r="H33" s="101" t="e">
        <f t="shared" si="2"/>
        <v>#VALUE!</v>
      </c>
      <c r="I33" s="102" t="e">
        <f>ROUND(HLOOKUP($I$2,bs!$C$1:$AB$110,MATCH(TRIM(B33),TRIM(bs!$B$1:$B$110),0),FALSE),0)/IF(ISNUMBER(SEARCH("亿",$B$1)),100000000,IF(ISNUMBER(SEARCH("万",$B$1)),10000,1))</f>
        <v>#VALUE!</v>
      </c>
      <c r="J33" s="101" t="e">
        <f t="shared" si="3"/>
        <v>#VALUE!</v>
      </c>
      <c r="L33" s="103" t="e">
        <f t="shared" si="4"/>
        <v>#VALUE!</v>
      </c>
      <c r="M33" s="103" t="str">
        <f t="shared" si="5"/>
        <v>  工程物资</v>
      </c>
      <c r="N33" t="e">
        <f t="shared" si="7"/>
        <v>#VALUE!</v>
      </c>
    </row>
    <row r="34" spans="2:16">
      <c r="B34" s="99" t="s">
        <v>594</v>
      </c>
      <c r="C34" s="100" t="e">
        <f>ROUND(HLOOKUP($C$2,bs!$C$1:$AB$110,MATCH(TRIM(B34),TRIM(bs!$B$1:$B$110),0),FALSE),0)/IF(ISNUMBER(SEARCH("亿",$B$1)),100000000,IF(ISNUMBER(SEARCH("万",$B$1)),10000,1))</f>
        <v>#VALUE!</v>
      </c>
      <c r="D34" s="101" t="e">
        <f t="shared" si="0"/>
        <v>#VALUE!</v>
      </c>
      <c r="E34" s="100" t="e">
        <f>ROUND(HLOOKUP($E$2,bs!$C$1:$AB$110,MATCH(TRIM(B34),TRIM(bs!$B$1:$B$110),0),FALSE),0)/IF(ISNUMBER(SEARCH("亿",$B$1)),100000000,IF(ISNUMBER(SEARCH("万",$B$1)),10000,1))</f>
        <v>#VALUE!</v>
      </c>
      <c r="F34" s="101" t="e">
        <f t="shared" si="1"/>
        <v>#VALUE!</v>
      </c>
      <c r="G34" s="102" t="e">
        <f>ROUND(HLOOKUP($G$2,bs!$C$1:$AB$110,MATCH(TRIM(B34),TRIM(bs!$B$1:$B$110),0),FALSE),0)/IF(ISNUMBER(SEARCH("亿",$B$1)),100000000,IF(ISNUMBER(SEARCH("万",$B$1)),10000,1))</f>
        <v>#VALUE!</v>
      </c>
      <c r="H34" s="101" t="e">
        <f t="shared" si="2"/>
        <v>#VALUE!</v>
      </c>
      <c r="I34" s="102" t="e">
        <f>ROUND(HLOOKUP($I$2,bs!$C$1:$AB$110,MATCH(TRIM(B34),TRIM(bs!$B$1:$B$110),0),FALSE),0)/IF(ISNUMBER(SEARCH("亿",$B$1)),100000000,IF(ISNUMBER(SEARCH("万",$B$1)),10000,1))</f>
        <v>#VALUE!</v>
      </c>
      <c r="J34" s="101" t="e">
        <f t="shared" si="3"/>
        <v>#VALUE!</v>
      </c>
      <c r="L34" s="103" t="e">
        <f t="shared" si="4"/>
        <v>#VALUE!</v>
      </c>
      <c r="M34" s="103" t="str">
        <f t="shared" si="5"/>
        <v>在建工程</v>
      </c>
      <c r="N34" t="e">
        <f t="shared" si="7"/>
        <v>#VALUE!</v>
      </c>
      <c r="P34">
        <v>0</v>
      </c>
    </row>
    <row r="35" spans="2:16">
      <c r="B35" s="99" t="s">
        <v>334</v>
      </c>
      <c r="C35" s="100" t="e">
        <f>ROUND(HLOOKUP($C$2,bs!$C$1:$AB$110,MATCH(TRIM(B35),TRIM(bs!$B$1:$B$110),0),FALSE),0)/IF(ISNUMBER(SEARCH("亿",$B$1)),100000000,IF(ISNUMBER(SEARCH("万",$B$1)),10000,1))</f>
        <v>#VALUE!</v>
      </c>
      <c r="D35" s="101" t="e">
        <f t="shared" si="0"/>
        <v>#VALUE!</v>
      </c>
      <c r="E35" s="100" t="e">
        <f>ROUND(HLOOKUP($E$2,bs!$C$1:$AB$110,MATCH(TRIM(B35),TRIM(bs!$B$1:$B$110),0),FALSE),0)/IF(ISNUMBER(SEARCH("亿",$B$1)),100000000,IF(ISNUMBER(SEARCH("万",$B$1)),10000,1))</f>
        <v>#VALUE!</v>
      </c>
      <c r="F35" s="101" t="e">
        <f t="shared" si="1"/>
        <v>#VALUE!</v>
      </c>
      <c r="G35" s="102" t="e">
        <f>ROUND(HLOOKUP($G$2,bs!$C$1:$AB$110,MATCH(TRIM(B35),TRIM(bs!$B$1:$B$110),0),FALSE),0)/IF(ISNUMBER(SEARCH("亿",$B$1)),100000000,IF(ISNUMBER(SEARCH("万",$B$1)),10000,1))</f>
        <v>#VALUE!</v>
      </c>
      <c r="H35" s="101" t="e">
        <f t="shared" si="2"/>
        <v>#VALUE!</v>
      </c>
      <c r="I35" s="102" t="e">
        <f>ROUND(HLOOKUP($I$2,bs!$C$1:$AB$110,MATCH(TRIM(B35),TRIM(bs!$B$1:$B$110),0),FALSE),0)/IF(ISNUMBER(SEARCH("亿",$B$1)),100000000,IF(ISNUMBER(SEARCH("万",$B$1)),10000,1))</f>
        <v>#VALUE!</v>
      </c>
      <c r="J35" s="101" t="e">
        <f t="shared" si="3"/>
        <v>#VALUE!</v>
      </c>
      <c r="L35" s="103" t="e">
        <f t="shared" si="4"/>
        <v>#VALUE!</v>
      </c>
      <c r="M35" s="103" t="str">
        <f t="shared" si="5"/>
        <v>  生产性生物资产 </v>
      </c>
      <c r="N35" t="e">
        <f t="shared" si="7"/>
        <v>#VALUE!</v>
      </c>
    </row>
    <row r="36" spans="2:16">
      <c r="B36" s="99" t="s">
        <v>335</v>
      </c>
      <c r="C36" s="100" t="e">
        <f>ROUND(HLOOKUP($C$2,bs!$C$1:$AB$110,MATCH(TRIM(B36),TRIM(bs!$B$1:$B$110),0),FALSE),0)/IF(ISNUMBER(SEARCH("亿",$B$1)),100000000,IF(ISNUMBER(SEARCH("万",$B$1)),10000,1))</f>
        <v>#VALUE!</v>
      </c>
      <c r="D36" s="101" t="e">
        <f t="shared" si="0"/>
        <v>#VALUE!</v>
      </c>
      <c r="E36" s="100" t="e">
        <f>ROUND(HLOOKUP($E$2,bs!$C$1:$AB$110,MATCH(TRIM(B36),TRIM(bs!$B$1:$B$110),0),FALSE),0)/IF(ISNUMBER(SEARCH("亿",$B$1)),100000000,IF(ISNUMBER(SEARCH("万",$B$1)),10000,1))</f>
        <v>#VALUE!</v>
      </c>
      <c r="F36" s="101" t="e">
        <f t="shared" si="1"/>
        <v>#VALUE!</v>
      </c>
      <c r="G36" s="102" t="e">
        <f>ROUND(HLOOKUP($G$2,bs!$C$1:$AB$110,MATCH(TRIM(B36),TRIM(bs!$B$1:$B$110),0),FALSE),0)/IF(ISNUMBER(SEARCH("亿",$B$1)),100000000,IF(ISNUMBER(SEARCH("万",$B$1)),10000,1))</f>
        <v>#VALUE!</v>
      </c>
      <c r="H36" s="101" t="e">
        <f t="shared" si="2"/>
        <v>#VALUE!</v>
      </c>
      <c r="I36" s="102" t="e">
        <f>ROUND(HLOOKUP($I$2,bs!$C$1:$AB$110,MATCH(TRIM(B36),TRIM(bs!$B$1:$B$110),0),FALSE),0)/IF(ISNUMBER(SEARCH("亿",$B$1)),100000000,IF(ISNUMBER(SEARCH("万",$B$1)),10000,1))</f>
        <v>#VALUE!</v>
      </c>
      <c r="J36" s="101" t="e">
        <f t="shared" si="3"/>
        <v>#VALUE!</v>
      </c>
      <c r="L36" s="103" t="e">
        <f t="shared" si="4"/>
        <v>#VALUE!</v>
      </c>
      <c r="M36" s="103" t="str">
        <f t="shared" si="5"/>
        <v>  油气资产 </v>
      </c>
      <c r="N36" t="e">
        <f t="shared" si="7"/>
        <v>#VALUE!</v>
      </c>
    </row>
    <row r="37" spans="2:16">
      <c r="B37" s="99" t="s">
        <v>336</v>
      </c>
      <c r="C37" s="100" t="e">
        <f>ROUND(HLOOKUP($C$2,bs!$C$1:$AB$110,MATCH(TRIM(B37),TRIM(bs!$B$1:$B$110),0),FALSE),0)/IF(ISNUMBER(SEARCH("亿",$B$1)),100000000,IF(ISNUMBER(SEARCH("万",$B$1)),10000,1))</f>
        <v>#VALUE!</v>
      </c>
      <c r="D37" s="101" t="e">
        <f t="shared" si="0"/>
        <v>#VALUE!</v>
      </c>
      <c r="E37" s="100" t="e">
        <f>ROUND(HLOOKUP($E$2,bs!$C$1:$AB$110,MATCH(TRIM(B37),TRIM(bs!$B$1:$B$110),0),FALSE),0)/IF(ISNUMBER(SEARCH("亿",$B$1)),100000000,IF(ISNUMBER(SEARCH("万",$B$1)),10000,1))</f>
        <v>#VALUE!</v>
      </c>
      <c r="F37" s="101" t="e">
        <f t="shared" si="1"/>
        <v>#VALUE!</v>
      </c>
      <c r="G37" s="102" t="e">
        <f>ROUND(HLOOKUP($G$2,bs!$C$1:$AB$110,MATCH(TRIM(B37),TRIM(bs!$B$1:$B$110),0),FALSE),0)/IF(ISNUMBER(SEARCH("亿",$B$1)),100000000,IF(ISNUMBER(SEARCH("万",$B$1)),10000,1))</f>
        <v>#VALUE!</v>
      </c>
      <c r="H37" s="101" t="e">
        <f t="shared" si="2"/>
        <v>#VALUE!</v>
      </c>
      <c r="I37" s="102" t="e">
        <f>ROUND(HLOOKUP($I$2,bs!$C$1:$AB$110,MATCH(TRIM(B37),TRIM(bs!$B$1:$B$110),0),FALSE),0)/IF(ISNUMBER(SEARCH("亿",$B$1)),100000000,IF(ISNUMBER(SEARCH("万",$B$1)),10000,1))</f>
        <v>#VALUE!</v>
      </c>
      <c r="J37" s="101" t="e">
        <f t="shared" si="3"/>
        <v>#VALUE!</v>
      </c>
      <c r="L37" s="103" t="e">
        <f t="shared" si="4"/>
        <v>#VALUE!</v>
      </c>
      <c r="M37" s="103" t="str">
        <f t="shared" si="5"/>
        <v>  使用权资产 </v>
      </c>
      <c r="N37" t="e">
        <f t="shared" si="7"/>
        <v>#VALUE!</v>
      </c>
    </row>
    <row r="38" spans="2:16">
      <c r="B38" s="99" t="s">
        <v>648</v>
      </c>
      <c r="C38" s="100" t="e">
        <f>ROUND(HLOOKUP($C$2,bs!$C$1:$AB$110,MATCH(TRIM(B38),TRIM(bs!$B$1:$B$110),0),FALSE),0)/IF(ISNUMBER(SEARCH("亿",$B$1)),100000000,IF(ISNUMBER(SEARCH("万",$B$1)),10000,1))</f>
        <v>#VALUE!</v>
      </c>
      <c r="D38" s="101" t="e">
        <f t="shared" si="0"/>
        <v>#VALUE!</v>
      </c>
      <c r="E38" s="100" t="e">
        <f>ROUND(HLOOKUP($E$2,bs!$C$1:$AB$110,MATCH(TRIM(B38),TRIM(bs!$B$1:$B$110),0),FALSE),0)/IF(ISNUMBER(SEARCH("亿",$B$1)),100000000,IF(ISNUMBER(SEARCH("万",$B$1)),10000,1))</f>
        <v>#VALUE!</v>
      </c>
      <c r="F38" s="101" t="e">
        <f t="shared" si="1"/>
        <v>#VALUE!</v>
      </c>
      <c r="G38" s="102" t="e">
        <f>ROUND(HLOOKUP($G$2,bs!$C$1:$AB$110,MATCH(TRIM(B38),TRIM(bs!$B$1:$B$110),0),FALSE),0)/IF(ISNUMBER(SEARCH("亿",$B$1)),100000000,IF(ISNUMBER(SEARCH("万",$B$1)),10000,1))</f>
        <v>#VALUE!</v>
      </c>
      <c r="H38" s="101" t="e">
        <f t="shared" si="2"/>
        <v>#VALUE!</v>
      </c>
      <c r="I38" s="102" t="e">
        <f>ROUND(HLOOKUP($I$2,bs!$C$1:$AB$110,MATCH(TRIM(B38),TRIM(bs!$B$1:$B$110),0),FALSE),0)/IF(ISNUMBER(SEARCH("亿",$B$1)),100000000,IF(ISNUMBER(SEARCH("万",$B$1)),10000,1))</f>
        <v>#VALUE!</v>
      </c>
      <c r="J38" s="101" t="e">
        <f t="shared" si="3"/>
        <v>#VALUE!</v>
      </c>
      <c r="L38" s="103" t="e">
        <f t="shared" si="4"/>
        <v>#VALUE!</v>
      </c>
      <c r="M38" s="103" t="str">
        <f t="shared" si="5"/>
        <v>无形资产</v>
      </c>
      <c r="N38" t="e">
        <f t="shared" si="7"/>
        <v>#VALUE!</v>
      </c>
      <c r="P38">
        <v>0</v>
      </c>
    </row>
    <row r="39" spans="2:16">
      <c r="B39" s="99" t="s">
        <v>338</v>
      </c>
      <c r="C39" s="100" t="e">
        <f>ROUND(HLOOKUP($C$2,bs!$C$1:$AB$110,MATCH(TRIM(B39),TRIM(bs!$B$1:$B$110),0),FALSE),0)/IF(ISNUMBER(SEARCH("亿",$B$1)),100000000,IF(ISNUMBER(SEARCH("万",$B$1)),10000,1))</f>
        <v>#VALUE!</v>
      </c>
      <c r="D39" s="101" t="e">
        <f t="shared" si="0"/>
        <v>#VALUE!</v>
      </c>
      <c r="E39" s="100" t="e">
        <f>ROUND(HLOOKUP($E$2,bs!$C$1:$AB$110,MATCH(TRIM(B39),TRIM(bs!$B$1:$B$110),0),FALSE),0)/IF(ISNUMBER(SEARCH("亿",$B$1)),100000000,IF(ISNUMBER(SEARCH("万",$B$1)),10000,1))</f>
        <v>#VALUE!</v>
      </c>
      <c r="F39" s="101" t="e">
        <f t="shared" si="1"/>
        <v>#VALUE!</v>
      </c>
      <c r="G39" s="102" t="e">
        <f>ROUND(HLOOKUP($G$2,bs!$C$1:$AB$110,MATCH(TRIM(B39),TRIM(bs!$B$1:$B$110),0),FALSE),0)/IF(ISNUMBER(SEARCH("亿",$B$1)),100000000,IF(ISNUMBER(SEARCH("万",$B$1)),10000,1))</f>
        <v>#VALUE!</v>
      </c>
      <c r="H39" s="101" t="e">
        <f t="shared" si="2"/>
        <v>#VALUE!</v>
      </c>
      <c r="I39" s="102" t="e">
        <f>ROUND(HLOOKUP($I$2,bs!$C$1:$AB$110,MATCH(TRIM(B39),TRIM(bs!$B$1:$B$110),0),FALSE),0)/IF(ISNUMBER(SEARCH("亿",$B$1)),100000000,IF(ISNUMBER(SEARCH("万",$B$1)),10000,1))</f>
        <v>#VALUE!</v>
      </c>
      <c r="J39" s="101" t="e">
        <f t="shared" si="3"/>
        <v>#VALUE!</v>
      </c>
      <c r="L39" s="103" t="e">
        <f t="shared" si="4"/>
        <v>#VALUE!</v>
      </c>
      <c r="M39" s="103" t="str">
        <f t="shared" si="5"/>
        <v>  开发支出 </v>
      </c>
      <c r="N39" t="e">
        <f t="shared" si="7"/>
        <v>#VALUE!</v>
      </c>
    </row>
    <row r="40" spans="2:16">
      <c r="B40" s="99" t="s">
        <v>339</v>
      </c>
      <c r="C40" s="100" t="e">
        <f>ROUND(HLOOKUP($C$2,bs!$C$1:$AB$110,MATCH(TRIM(B40),TRIM(bs!$B$1:$B$110),0),FALSE),0)/IF(ISNUMBER(SEARCH("亿",$B$1)),100000000,IF(ISNUMBER(SEARCH("万",$B$1)),10000,1))</f>
        <v>#VALUE!</v>
      </c>
      <c r="D40" s="101" t="e">
        <f t="shared" si="0"/>
        <v>#VALUE!</v>
      </c>
      <c r="E40" s="100" t="e">
        <f>ROUND(HLOOKUP($E$2,bs!$C$1:$AB$110,MATCH(TRIM(B40),TRIM(bs!$B$1:$B$110),0),FALSE),0)/IF(ISNUMBER(SEARCH("亿",$B$1)),100000000,IF(ISNUMBER(SEARCH("万",$B$1)),10000,1))</f>
        <v>#VALUE!</v>
      </c>
      <c r="F40" s="101" t="e">
        <f t="shared" si="1"/>
        <v>#VALUE!</v>
      </c>
      <c r="G40" s="102" t="e">
        <f>ROUND(HLOOKUP($G$2,bs!$C$1:$AB$110,MATCH(TRIM(B40),TRIM(bs!$B$1:$B$110),0),FALSE),0)/IF(ISNUMBER(SEARCH("亿",$B$1)),100000000,IF(ISNUMBER(SEARCH("万",$B$1)),10000,1))</f>
        <v>#VALUE!</v>
      </c>
      <c r="H40" s="101" t="e">
        <f t="shared" si="2"/>
        <v>#VALUE!</v>
      </c>
      <c r="I40" s="102" t="e">
        <f>ROUND(HLOOKUP($I$2,bs!$C$1:$AB$110,MATCH(TRIM(B40),TRIM(bs!$B$1:$B$110),0),FALSE),0)/IF(ISNUMBER(SEARCH("亿",$B$1)),100000000,IF(ISNUMBER(SEARCH("万",$B$1)),10000,1))</f>
        <v>#VALUE!</v>
      </c>
      <c r="J40" s="101" t="e">
        <f t="shared" si="3"/>
        <v>#VALUE!</v>
      </c>
      <c r="L40" s="103" t="e">
        <f t="shared" si="4"/>
        <v>#VALUE!</v>
      </c>
      <c r="M40" s="103" t="str">
        <f t="shared" si="5"/>
        <v>  商誉 </v>
      </c>
      <c r="N40" t="e">
        <f t="shared" si="7"/>
        <v>#VALUE!</v>
      </c>
      <c r="P40">
        <v>0</v>
      </c>
    </row>
    <row r="41" spans="2:16">
      <c r="B41" s="99" t="s">
        <v>649</v>
      </c>
      <c r="C41" s="100" t="e">
        <f>ROUND(HLOOKUP($C$2,bs!$C$1:$AB$110,MATCH(TRIM(B41),TRIM(bs!$B$1:$B$110),0),FALSE),0)/IF(ISNUMBER(SEARCH("亿",$B$1)),100000000,IF(ISNUMBER(SEARCH("万",$B$1)),10000,1))</f>
        <v>#VALUE!</v>
      </c>
      <c r="D41" s="101" t="e">
        <f t="shared" si="0"/>
        <v>#VALUE!</v>
      </c>
      <c r="E41" s="100" t="e">
        <f>ROUND(HLOOKUP($E$2,bs!$C$1:$AB$110,MATCH(TRIM(B41),TRIM(bs!$B$1:$B$110),0),FALSE),0)/IF(ISNUMBER(SEARCH("亿",$B$1)),100000000,IF(ISNUMBER(SEARCH("万",$B$1)),10000,1))</f>
        <v>#VALUE!</v>
      </c>
      <c r="F41" s="101" t="e">
        <f t="shared" si="1"/>
        <v>#VALUE!</v>
      </c>
      <c r="G41" s="102" t="e">
        <f>ROUND(HLOOKUP($G$2,bs!$C$1:$AB$110,MATCH(TRIM(B41),TRIM(bs!$B$1:$B$110),0),FALSE),0)/IF(ISNUMBER(SEARCH("亿",$B$1)),100000000,IF(ISNUMBER(SEARCH("万",$B$1)),10000,1))</f>
        <v>#VALUE!</v>
      </c>
      <c r="H41" s="101" t="e">
        <f t="shared" si="2"/>
        <v>#VALUE!</v>
      </c>
      <c r="I41" s="102" t="e">
        <f>ROUND(HLOOKUP($I$2,bs!$C$1:$AB$110,MATCH(TRIM(B41),TRIM(bs!$B$1:$B$110),0),FALSE),0)/IF(ISNUMBER(SEARCH("亿",$B$1)),100000000,IF(ISNUMBER(SEARCH("万",$B$1)),10000,1))</f>
        <v>#VALUE!</v>
      </c>
      <c r="J41" s="101" t="e">
        <f t="shared" si="3"/>
        <v>#VALUE!</v>
      </c>
      <c r="L41" s="103" t="e">
        <f t="shared" si="4"/>
        <v>#VALUE!</v>
      </c>
      <c r="M41" s="103" t="str">
        <f t="shared" si="5"/>
        <v>长期待摊费用</v>
      </c>
      <c r="N41" t="e">
        <f t="shared" si="7"/>
        <v>#VALUE!</v>
      </c>
    </row>
    <row r="42" spans="2:16">
      <c r="B42" s="99" t="s">
        <v>650</v>
      </c>
      <c r="C42" s="100" t="e">
        <f>ROUND(HLOOKUP($C$2,bs!$C$1:$AB$110,MATCH(TRIM(B42),TRIM(bs!$B$1:$B$110),0),FALSE),0)/IF(ISNUMBER(SEARCH("亿",$B$1)),100000000,IF(ISNUMBER(SEARCH("万",$B$1)),10000,1))</f>
        <v>#VALUE!</v>
      </c>
      <c r="D42" s="101" t="e">
        <f t="shared" si="0"/>
        <v>#VALUE!</v>
      </c>
      <c r="E42" s="100" t="e">
        <f>ROUND(HLOOKUP($E$2,bs!$C$1:$AB$110,MATCH(TRIM(B42),TRIM(bs!$B$1:$B$110),0),FALSE),0)/IF(ISNUMBER(SEARCH("亿",$B$1)),100000000,IF(ISNUMBER(SEARCH("万",$B$1)),10000,1))</f>
        <v>#VALUE!</v>
      </c>
      <c r="F42" s="101" t="e">
        <f t="shared" si="1"/>
        <v>#VALUE!</v>
      </c>
      <c r="G42" s="102" t="e">
        <f>ROUND(HLOOKUP($G$2,bs!$C$1:$AB$110,MATCH(TRIM(B42),TRIM(bs!$B$1:$B$110),0),FALSE),0)/IF(ISNUMBER(SEARCH("亿",$B$1)),100000000,IF(ISNUMBER(SEARCH("万",$B$1)),10000,1))</f>
        <v>#VALUE!</v>
      </c>
      <c r="H42" s="101" t="e">
        <f t="shared" si="2"/>
        <v>#VALUE!</v>
      </c>
      <c r="I42" s="102" t="e">
        <f>ROUND(HLOOKUP($I$2,bs!$C$1:$AB$110,MATCH(TRIM(B42),TRIM(bs!$B$1:$B$110),0),FALSE),0)/IF(ISNUMBER(SEARCH("亿",$B$1)),100000000,IF(ISNUMBER(SEARCH("万",$B$1)),10000,1))</f>
        <v>#VALUE!</v>
      </c>
      <c r="J42" s="101" t="e">
        <f t="shared" si="3"/>
        <v>#VALUE!</v>
      </c>
      <c r="L42" s="103" t="e">
        <f t="shared" si="4"/>
        <v>#VALUE!</v>
      </c>
      <c r="M42" s="103" t="str">
        <f t="shared" si="5"/>
        <v>递延所得税资产</v>
      </c>
      <c r="N42" t="e">
        <f t="shared" si="7"/>
        <v>#VALUE!</v>
      </c>
    </row>
    <row r="43" spans="2:16">
      <c r="B43" s="99" t="s">
        <v>651</v>
      </c>
      <c r="C43" s="100" t="e">
        <f>ROUND(HLOOKUP($C$2,bs!$C$1:$AB$110,MATCH(TRIM(B43),TRIM(bs!$B$1:$B$110),0),FALSE),0)/IF(ISNUMBER(SEARCH("亿",$B$1)),100000000,IF(ISNUMBER(SEARCH("万",$B$1)),10000,1))</f>
        <v>#VALUE!</v>
      </c>
      <c r="D43" s="101" t="e">
        <f t="shared" si="0"/>
        <v>#VALUE!</v>
      </c>
      <c r="E43" s="100" t="e">
        <f>ROUND(HLOOKUP($E$2,bs!$C$1:$AB$110,MATCH(TRIM(B43),TRIM(bs!$B$1:$B$110),0),FALSE),0)/IF(ISNUMBER(SEARCH("亿",$B$1)),100000000,IF(ISNUMBER(SEARCH("万",$B$1)),10000,1))</f>
        <v>#VALUE!</v>
      </c>
      <c r="F43" s="101" t="e">
        <f t="shared" si="1"/>
        <v>#VALUE!</v>
      </c>
      <c r="G43" s="102" t="e">
        <f>ROUND(HLOOKUP($G$2,bs!$C$1:$AB$110,MATCH(TRIM(B43),TRIM(bs!$B$1:$B$110),0),FALSE),0)/IF(ISNUMBER(SEARCH("亿",$B$1)),100000000,IF(ISNUMBER(SEARCH("万",$B$1)),10000,1))</f>
        <v>#VALUE!</v>
      </c>
      <c r="H43" s="101" t="e">
        <f t="shared" si="2"/>
        <v>#VALUE!</v>
      </c>
      <c r="I43" s="102" t="e">
        <f>ROUND(HLOOKUP($I$2,bs!$C$1:$AB$110,MATCH(TRIM(B43),TRIM(bs!$B$1:$B$110),0),FALSE),0)/IF(ISNUMBER(SEARCH("亿",$B$1)),100000000,IF(ISNUMBER(SEARCH("万",$B$1)),10000,1))</f>
        <v>#VALUE!</v>
      </c>
      <c r="J43" s="101" t="e">
        <f t="shared" si="3"/>
        <v>#VALUE!</v>
      </c>
      <c r="L43" s="103" t="e">
        <f t="shared" si="4"/>
        <v>#VALUE!</v>
      </c>
      <c r="M43" s="103" t="str">
        <f t="shared" si="5"/>
        <v>其他非流动资产</v>
      </c>
      <c r="N43" t="e">
        <f t="shared" si="7"/>
        <v>#VALUE!</v>
      </c>
      <c r="P43">
        <v>0</v>
      </c>
    </row>
    <row r="44" spans="2:16">
      <c r="B44" s="104" t="s">
        <v>534</v>
      </c>
      <c r="C44" s="100" t="e">
        <f>ROUND(HLOOKUP($C$2,bs!$C$1:$AB$110,MATCH(TRIM(B44),TRIM(bs!$B$1:$B$110),0),FALSE),0)/IF(ISNUMBER(SEARCH("亿",$B$1)),100000000,IF(ISNUMBER(SEARCH("万",$B$1)),10000,1))</f>
        <v>#VALUE!</v>
      </c>
      <c r="D44" s="105" t="e">
        <f t="shared" si="0"/>
        <v>#VALUE!</v>
      </c>
      <c r="E44" s="100" t="e">
        <f>ROUND(HLOOKUP($E$2,bs!$C$1:$AB$110,MATCH(TRIM(B44),TRIM(bs!$B$1:$B$110),0),FALSE),0)/IF(ISNUMBER(SEARCH("亿",$B$1)),100000000,IF(ISNUMBER(SEARCH("万",$B$1)),10000,1))</f>
        <v>#VALUE!</v>
      </c>
      <c r="F44" s="105" t="e">
        <f t="shared" si="1"/>
        <v>#VALUE!</v>
      </c>
      <c r="G44" s="102" t="e">
        <f>ROUND(HLOOKUP($G$2,bs!$C$1:$AB$110,MATCH(TRIM(B44),TRIM(bs!$B$1:$B$110),0),FALSE),0)/IF(ISNUMBER(SEARCH("亿",$B$1)),100000000,IF(ISNUMBER(SEARCH("万",$B$1)),10000,1))</f>
        <v>#VALUE!</v>
      </c>
      <c r="H44" s="105" t="e">
        <f t="shared" si="2"/>
        <v>#VALUE!</v>
      </c>
      <c r="I44" s="102" t="e">
        <f>ROUND(HLOOKUP($I$2,bs!$C$1:$AB$110,MATCH(TRIM(B44),TRIM(bs!$B$1:$B$110),0),FALSE),0)/IF(ISNUMBER(SEARCH("亿",$B$1)),100000000,IF(ISNUMBER(SEARCH("万",$B$1)),10000,1))</f>
        <v>#VALUE!</v>
      </c>
      <c r="J44" s="105" t="e">
        <f t="shared" si="3"/>
        <v>#VALUE!</v>
      </c>
      <c r="L44" s="103" t="e">
        <f t="shared" si="4"/>
        <v>#VALUE!</v>
      </c>
      <c r="M44" s="103" t="str">
        <f t="shared" si="5"/>
        <v>非流动资产合计</v>
      </c>
      <c r="O44" t="e">
        <f>CONCATENATE($N$2,N1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#VALUE!</v>
      </c>
      <c r="P44">
        <v>0</v>
      </c>
    </row>
    <row r="45" spans="2:16">
      <c r="B45" s="104" t="s">
        <v>63</v>
      </c>
      <c r="C45" s="100" t="e">
        <f>ROUND(HLOOKUP($C$2,bs!$C$1:$AB$110,MATCH(TRIM(B45),TRIM(bs!$B$1:$B$110),0),FALSE),0)/IF(ISNUMBER(SEARCH("亿",$B$1)),100000000,IF(ISNUMBER(SEARCH("万",$B$1)),10000,1))</f>
        <v>#VALUE!</v>
      </c>
      <c r="D45" s="105" t="e">
        <f t="shared" si="0"/>
        <v>#VALUE!</v>
      </c>
      <c r="E45" s="100" t="e">
        <f>ROUND(HLOOKUP($E$2,bs!$C$1:$AB$110,MATCH(TRIM(B45),TRIM(bs!$B$1:$B$110),0),FALSE),0)/IF(ISNUMBER(SEARCH("亿",$B$1)),100000000,IF(ISNUMBER(SEARCH("万",$B$1)),10000,1))</f>
        <v>#VALUE!</v>
      </c>
      <c r="F45" s="105" t="e">
        <f t="shared" si="1"/>
        <v>#VALUE!</v>
      </c>
      <c r="G45" s="102" t="e">
        <f>ROUND(HLOOKUP($G$2,bs!$C$1:$AB$110,MATCH(TRIM(B45),TRIM(bs!$B$1:$B$110),0),FALSE),0)/IF(ISNUMBER(SEARCH("亿",$B$1)),100000000,IF(ISNUMBER(SEARCH("万",$B$1)),10000,1))</f>
        <v>#VALUE!</v>
      </c>
      <c r="H45" s="105" t="e">
        <f t="shared" si="2"/>
        <v>#VALUE!</v>
      </c>
      <c r="I45" s="102" t="e">
        <f>ROUND(HLOOKUP($I$2,bs!$C$1:$AB$110,MATCH(TRIM(B45),TRIM(bs!$B$1:$B$110),0),FALSE),0)/IF(ISNUMBER(SEARCH("亿",$B$1)),100000000,IF(ISNUMBER(SEARCH("万",$B$1)),10000,1))</f>
        <v>#VALUE!</v>
      </c>
      <c r="J45" s="105" t="e">
        <f t="shared" si="3"/>
        <v>#VALUE!</v>
      </c>
      <c r="L45" s="103" t="e">
        <f t="shared" si="4"/>
        <v>#VALUE!</v>
      </c>
      <c r="M45" s="103" t="str">
        <f t="shared" si="5"/>
        <v>资产总计</v>
      </c>
      <c r="O45" t="e">
        <f>CONCATENATE($N$2,N1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#VALUE!</v>
      </c>
      <c r="P45">
        <v>0</v>
      </c>
    </row>
    <row r="46" spans="2:16">
      <c r="B46" s="107"/>
      <c r="C46" s="108"/>
      <c r="D46" s="109"/>
      <c r="E46" s="108"/>
      <c r="F46" s="109"/>
      <c r="G46" s="110"/>
      <c r="H46" s="109"/>
      <c r="I46" s="110" t="str">
        <f>B1</f>
        <v>单位：万元</v>
      </c>
      <c r="J46" s="109"/>
      <c r="L46" s="103"/>
      <c r="M46" s="103"/>
      <c r="P46">
        <v>0</v>
      </c>
    </row>
    <row r="47" spans="2:16">
      <c r="B47" s="104" t="s">
        <v>527</v>
      </c>
      <c r="C47" s="96">
        <f>C2</f>
        <v>45930</v>
      </c>
      <c r="D47" s="3"/>
      <c r="E47" s="96">
        <f>E2</f>
        <v>45657</v>
      </c>
      <c r="F47" s="3"/>
      <c r="G47" s="96">
        <f>G2</f>
        <v>45291</v>
      </c>
      <c r="H47" s="3"/>
      <c r="I47" s="96">
        <f>I2</f>
        <v>44926</v>
      </c>
      <c r="J47" s="3"/>
      <c r="L47" s="103"/>
      <c r="M47" s="103"/>
      <c r="P47">
        <v>0</v>
      </c>
    </row>
    <row r="48" spans="2:16">
      <c r="B48" s="57"/>
      <c r="C48" s="98" t="s">
        <v>622</v>
      </c>
      <c r="D48" s="98" t="s">
        <v>623</v>
      </c>
      <c r="E48" s="98" t="s">
        <v>622</v>
      </c>
      <c r="F48" s="98" t="s">
        <v>623</v>
      </c>
      <c r="G48" s="98" t="s">
        <v>622</v>
      </c>
      <c r="H48" s="98" t="s">
        <v>623</v>
      </c>
      <c r="I48" s="98" t="s">
        <v>622</v>
      </c>
      <c r="J48" s="98" t="s">
        <v>623</v>
      </c>
      <c r="L48" s="103"/>
      <c r="M48" s="103"/>
      <c r="P48">
        <v>0</v>
      </c>
    </row>
    <row r="49" spans="2:16">
      <c r="B49" s="99" t="s">
        <v>596</v>
      </c>
      <c r="C49" s="100" t="e">
        <f>ROUND(HLOOKUP($C$2,bs!$C$1:$AB$110,MATCH(TRIM(B49),TRIM(bs!$B$1:$B$110),0),FALSE),0)/IF(ISNUMBER(SEARCH("亿",$B$1)),100000000,IF(ISNUMBER(SEARCH("万",$B$1)),10000,1))</f>
        <v>#VALUE!</v>
      </c>
      <c r="D49" s="101" t="e">
        <f t="shared" ref="D49:D80" si="8">C49/$C$80</f>
        <v>#VALUE!</v>
      </c>
      <c r="E49" s="100" t="e">
        <f>ROUND(HLOOKUP($E$2,bs!$C$1:$AB$110,MATCH(TRIM(B49),TRIM(bs!$B$1:$B$110),0),FALSE),0)/IF(ISNUMBER(SEARCH("亿",$B$1)),100000000,IF(ISNUMBER(SEARCH("万",$B$1)),10000,1))</f>
        <v>#VALUE!</v>
      </c>
      <c r="F49" s="101" t="e">
        <f t="shared" ref="F49:F80" si="9">E49/$E$80</f>
        <v>#VALUE!</v>
      </c>
      <c r="G49" s="102" t="e">
        <f>ROUND(HLOOKUP($G$2,bs!$C$1:$AB$110,MATCH(TRIM(B49),TRIM(bs!$B$1:$B$110),0),FALSE),0)/IF(ISNUMBER(SEARCH("亿",$B$1)),100000000,IF(ISNUMBER(SEARCH("万",$B$1)),10000,1))</f>
        <v>#VALUE!</v>
      </c>
      <c r="H49" s="101" t="e">
        <f t="shared" ref="H49:H80" si="10">G49/$G$80</f>
        <v>#VALUE!</v>
      </c>
      <c r="I49" s="102" t="e">
        <f>ROUND(HLOOKUP($I$2,bs!$C$1:$AB$110,MATCH(TRIM(B49),TRIM(bs!$B$1:$B$110),0),FALSE),0)/IF(ISNUMBER(SEARCH("亿",$B$1)),100000000,IF(ISNUMBER(SEARCH("万",$B$1)),10000,1))</f>
        <v>#VALUE!</v>
      </c>
      <c r="J49" s="101" t="e">
        <f t="shared" ref="J49:J80" si="11">I49/$I$80</f>
        <v>#VALUE!</v>
      </c>
      <c r="L49" s="103" t="e">
        <f t="shared" ref="L49:L80" si="12">D49+F49+H49+J49</f>
        <v>#VALUE!</v>
      </c>
      <c r="M49" s="103" t="str">
        <f t="shared" ref="M49:M79" si="13">B49</f>
        <v>短期借款</v>
      </c>
      <c r="N49" t="e">
        <f t="shared" ref="N49:N65" si="14">CONCATENATE(M49,":",$N$2,$N$1,B49,"分别为",TEXT(I49,"#,##0.00"),"万元、",TEXT(G49,"#,##0.00"),"万元、",TEXT(E49,"#,##0.00"),"万元及",TEXT(C49,"#,##0.00"),"万元，","占总负债的比重分别为",TEXT(J49,"0.00%"),"、",TEXT(H49,"0.00%"),"、",TEXT(F49,"0.00%"),"和",TEXT(D49,"0.00%"),"。")</f>
        <v>#VALUE!</v>
      </c>
      <c r="P49">
        <v>0</v>
      </c>
    </row>
    <row r="50" spans="2:16">
      <c r="B50" s="99" t="s">
        <v>652</v>
      </c>
      <c r="C50" s="100" t="e">
        <f>ROUND(HLOOKUP($C$2,bs!$C$1:$AB$110,MATCH(TRIM(B50),TRIM(bs!$B$1:$B$110),0),FALSE),0)/IF(ISNUMBER(SEARCH("亿",$B$1)),100000000,IF(ISNUMBER(SEARCH("万",$B$1)),10000,1))</f>
        <v>#VALUE!</v>
      </c>
      <c r="D50" s="101" t="e">
        <f t="shared" si="8"/>
        <v>#VALUE!</v>
      </c>
      <c r="E50" s="100" t="e">
        <f>ROUND(HLOOKUP($E$2,bs!$C$1:$AB$110,MATCH(TRIM(B50),TRIM(bs!$B$1:$B$110),0),FALSE),0)/IF(ISNUMBER(SEARCH("亿",$B$1)),100000000,IF(ISNUMBER(SEARCH("万",$B$1)),10000,1))</f>
        <v>#VALUE!</v>
      </c>
      <c r="F50" s="101" t="e">
        <f t="shared" si="9"/>
        <v>#VALUE!</v>
      </c>
      <c r="G50" s="102" t="e">
        <f>ROUND(HLOOKUP($G$2,bs!$C$1:$AB$110,MATCH(TRIM(B50),TRIM(bs!$B$1:$B$110),0),FALSE),0)/IF(ISNUMBER(SEARCH("亿",$B$1)),100000000,IF(ISNUMBER(SEARCH("万",$B$1)),10000,1))</f>
        <v>#VALUE!</v>
      </c>
      <c r="H50" s="101" t="e">
        <f t="shared" si="10"/>
        <v>#VALUE!</v>
      </c>
      <c r="I50" s="102" t="e">
        <f>ROUND(HLOOKUP($I$2,bs!$C$1:$AB$110,MATCH(TRIM(B50),TRIM(bs!$B$1:$B$110),0),FALSE),0)/IF(ISNUMBER(SEARCH("亿",$B$1)),100000000,IF(ISNUMBER(SEARCH("万",$B$1)),10000,1))</f>
        <v>#VALUE!</v>
      </c>
      <c r="J50" s="101" t="e">
        <f t="shared" si="11"/>
        <v>#VALUE!</v>
      </c>
      <c r="L50" s="103" t="e">
        <f t="shared" si="12"/>
        <v>#VALUE!</v>
      </c>
      <c r="M50" s="103" t="str">
        <f t="shared" si="13"/>
        <v>交易性金融负债</v>
      </c>
      <c r="N50" t="e">
        <f t="shared" si="14"/>
        <v>#VALUE!</v>
      </c>
    </row>
    <row r="51" spans="2:16">
      <c r="B51" s="99" t="s">
        <v>350</v>
      </c>
      <c r="C51" s="100" t="e">
        <f>ROUND(HLOOKUP($C$2,bs!$C$1:$AB$110,MATCH(TRIM(B51),TRIM(bs!$B$1:$B$110),0),FALSE),0)/IF(ISNUMBER(SEARCH("亿",$B$1)),100000000,IF(ISNUMBER(SEARCH("万",$B$1)),10000,1))</f>
        <v>#VALUE!</v>
      </c>
      <c r="D51" s="101" t="e">
        <f t="shared" si="8"/>
        <v>#VALUE!</v>
      </c>
      <c r="E51" s="100" t="e">
        <f>ROUND(HLOOKUP($E$2,bs!$C$1:$AB$110,MATCH(TRIM(B51),TRIM(bs!$B$1:$B$110),0),FALSE),0)/IF(ISNUMBER(SEARCH("亿",$B$1)),100000000,IF(ISNUMBER(SEARCH("万",$B$1)),10000,1))</f>
        <v>#VALUE!</v>
      </c>
      <c r="F51" s="101" t="e">
        <f t="shared" si="9"/>
        <v>#VALUE!</v>
      </c>
      <c r="G51" s="102" t="e">
        <f>ROUND(HLOOKUP($G$2,bs!$C$1:$AB$110,MATCH(TRIM(B51),TRIM(bs!$B$1:$B$110),0),FALSE),0)/IF(ISNUMBER(SEARCH("亿",$B$1)),100000000,IF(ISNUMBER(SEARCH("万",$B$1)),10000,1))</f>
        <v>#VALUE!</v>
      </c>
      <c r="H51" s="101" t="e">
        <f t="shared" si="10"/>
        <v>#VALUE!</v>
      </c>
      <c r="I51" s="102" t="e">
        <f>ROUND(HLOOKUP($I$2,bs!$C$1:$AB$110,MATCH(TRIM(B51),TRIM(bs!$B$1:$B$110),0),FALSE),0)/IF(ISNUMBER(SEARCH("亿",$B$1)),100000000,IF(ISNUMBER(SEARCH("万",$B$1)),10000,1))</f>
        <v>#VALUE!</v>
      </c>
      <c r="J51" s="101" t="e">
        <f t="shared" si="11"/>
        <v>#VALUE!</v>
      </c>
      <c r="L51" s="103" t="e">
        <f t="shared" si="12"/>
        <v>#VALUE!</v>
      </c>
      <c r="M51" s="103" t="str">
        <f t="shared" si="13"/>
        <v>  衍生金融负债 </v>
      </c>
      <c r="N51" t="e">
        <f t="shared" si="14"/>
        <v>#VALUE!</v>
      </c>
    </row>
    <row r="52" spans="2:16">
      <c r="B52" s="99" t="s">
        <v>653</v>
      </c>
      <c r="C52" s="100" t="e">
        <f>ROUND(HLOOKUP($C$2,bs!$C$1:$AB$110,MATCH(TRIM(B52),TRIM(bs!$B$1:$B$110),0),FALSE),0)/IF(ISNUMBER(SEARCH("亿",$B$1)),100000000,IF(ISNUMBER(SEARCH("万",$B$1)),10000,1))</f>
        <v>#VALUE!</v>
      </c>
      <c r="D52" s="101" t="e">
        <f t="shared" si="8"/>
        <v>#VALUE!</v>
      </c>
      <c r="E52" s="100" t="e">
        <f>ROUND(HLOOKUP($E$2,bs!$C$1:$AB$110,MATCH(TRIM(B52),TRIM(bs!$B$1:$B$110),0),FALSE),0)/IF(ISNUMBER(SEARCH("亿",$B$1)),100000000,IF(ISNUMBER(SEARCH("万",$B$1)),10000,1))</f>
        <v>#VALUE!</v>
      </c>
      <c r="F52" s="101" t="e">
        <f t="shared" si="9"/>
        <v>#VALUE!</v>
      </c>
      <c r="G52" s="102" t="e">
        <f>ROUND(HLOOKUP($G$2,bs!$C$1:$AB$110,MATCH(TRIM(B52),TRIM(bs!$B$1:$B$110),0),FALSE),0)/IF(ISNUMBER(SEARCH("亿",$B$1)),100000000,IF(ISNUMBER(SEARCH("万",$B$1)),10000,1))</f>
        <v>#VALUE!</v>
      </c>
      <c r="H52" s="101" t="e">
        <f t="shared" si="10"/>
        <v>#VALUE!</v>
      </c>
      <c r="I52" s="102" t="e">
        <f>ROUND(HLOOKUP($I$2,bs!$C$1:$AB$110,MATCH(TRIM(B52),TRIM(bs!$B$1:$B$110),0),FALSE),0)/IF(ISNUMBER(SEARCH("亿",$B$1)),100000000,IF(ISNUMBER(SEARCH("万",$B$1)),10000,1))</f>
        <v>#VALUE!</v>
      </c>
      <c r="J52" s="101" t="e">
        <f t="shared" si="11"/>
        <v>#VALUE!</v>
      </c>
      <c r="L52" s="103" t="e">
        <f t="shared" si="12"/>
        <v>#VALUE!</v>
      </c>
      <c r="M52" s="103" t="str">
        <f t="shared" si="13"/>
        <v>应付票据</v>
      </c>
      <c r="N52" t="e">
        <f t="shared" si="14"/>
        <v>#VALUE!</v>
      </c>
    </row>
    <row r="53" spans="2:16">
      <c r="B53" s="99" t="s">
        <v>654</v>
      </c>
      <c r="C53" s="100" t="e">
        <f>ROUND(HLOOKUP($C$2,bs!$C$1:$AB$110,MATCH(TRIM(B53),TRIM(bs!$B$1:$B$110),0),FALSE),0)/IF(ISNUMBER(SEARCH("亿",$B$1)),100000000,IF(ISNUMBER(SEARCH("万",$B$1)),10000,1))</f>
        <v>#VALUE!</v>
      </c>
      <c r="D53" s="101" t="e">
        <f t="shared" si="8"/>
        <v>#VALUE!</v>
      </c>
      <c r="E53" s="100" t="e">
        <f>ROUND(HLOOKUP($E$2,bs!$C$1:$AB$110,MATCH(TRIM(B53),TRIM(bs!$B$1:$B$110),0),FALSE),0)/IF(ISNUMBER(SEARCH("亿",$B$1)),100000000,IF(ISNUMBER(SEARCH("万",$B$1)),10000,1))</f>
        <v>#VALUE!</v>
      </c>
      <c r="F53" s="101" t="e">
        <f t="shared" si="9"/>
        <v>#VALUE!</v>
      </c>
      <c r="G53" s="102" t="e">
        <f>ROUND(HLOOKUP($G$2,bs!$C$1:$AB$110,MATCH(TRIM(B53),TRIM(bs!$B$1:$B$110),0),FALSE),0)/IF(ISNUMBER(SEARCH("亿",$B$1)),100000000,IF(ISNUMBER(SEARCH("万",$B$1)),10000,1))</f>
        <v>#VALUE!</v>
      </c>
      <c r="H53" s="101" t="e">
        <f t="shared" si="10"/>
        <v>#VALUE!</v>
      </c>
      <c r="I53" s="102" t="e">
        <f>ROUND(HLOOKUP($I$2,bs!$C$1:$AB$110,MATCH(TRIM(B53),TRIM(bs!$B$1:$B$110),0),FALSE),0)/IF(ISNUMBER(SEARCH("亿",$B$1)),100000000,IF(ISNUMBER(SEARCH("万",$B$1)),10000,1))</f>
        <v>#VALUE!</v>
      </c>
      <c r="J53" s="101" t="e">
        <f t="shared" si="11"/>
        <v>#VALUE!</v>
      </c>
      <c r="L53" s="103" t="e">
        <f t="shared" si="12"/>
        <v>#VALUE!</v>
      </c>
      <c r="M53" s="103" t="str">
        <f t="shared" si="13"/>
        <v>应付账款</v>
      </c>
      <c r="N53" t="e">
        <f t="shared" si="14"/>
        <v>#VALUE!</v>
      </c>
      <c r="P53">
        <v>0</v>
      </c>
    </row>
    <row r="54" spans="2:16">
      <c r="B54" s="99" t="s">
        <v>353</v>
      </c>
      <c r="C54" s="100" t="e">
        <f>ROUND(HLOOKUP($C$2,bs!$C$1:$AB$110,MATCH(TRIM(B54),TRIM(bs!$B$1:$B$110),0),FALSE),0)/IF(ISNUMBER(SEARCH("亿",$B$1)),100000000,IF(ISNUMBER(SEARCH("万",$B$1)),10000,1))</f>
        <v>#VALUE!</v>
      </c>
      <c r="D54" s="101" t="e">
        <f t="shared" si="8"/>
        <v>#VALUE!</v>
      </c>
      <c r="E54" s="100" t="e">
        <f>ROUND(HLOOKUP($E$2,bs!$C$1:$AB$110,MATCH(TRIM(B54),TRIM(bs!$B$1:$B$110),0),FALSE),0)/IF(ISNUMBER(SEARCH("亿",$B$1)),100000000,IF(ISNUMBER(SEARCH("万",$B$1)),10000,1))</f>
        <v>#VALUE!</v>
      </c>
      <c r="F54" s="101" t="e">
        <f t="shared" si="9"/>
        <v>#VALUE!</v>
      </c>
      <c r="G54" s="102" t="e">
        <f>ROUND(HLOOKUP($G$2,bs!$C$1:$AB$110,MATCH(TRIM(B54),TRIM(bs!$B$1:$B$110),0),FALSE),0)/IF(ISNUMBER(SEARCH("亿",$B$1)),100000000,IF(ISNUMBER(SEARCH("万",$B$1)),10000,1))</f>
        <v>#VALUE!</v>
      </c>
      <c r="H54" s="101" t="e">
        <f t="shared" si="10"/>
        <v>#VALUE!</v>
      </c>
      <c r="I54" s="102" t="e">
        <f>ROUND(HLOOKUP($I$2,bs!$C$1:$AB$110,MATCH(TRIM(B54),TRIM(bs!$B$1:$B$110),0),FALSE),0)/IF(ISNUMBER(SEARCH("亿",$B$1)),100000000,IF(ISNUMBER(SEARCH("万",$B$1)),10000,1))</f>
        <v>#VALUE!</v>
      </c>
      <c r="J54" s="101" t="e">
        <f t="shared" si="11"/>
        <v>#VALUE!</v>
      </c>
      <c r="L54" s="103" t="e">
        <f t="shared" si="12"/>
        <v>#VALUE!</v>
      </c>
      <c r="M54" s="103" t="str">
        <f t="shared" si="13"/>
        <v>  预收款项 </v>
      </c>
      <c r="N54" t="e">
        <f t="shared" si="14"/>
        <v>#VALUE!</v>
      </c>
    </row>
    <row r="55" spans="2:16">
      <c r="B55" s="99" t="s">
        <v>655</v>
      </c>
      <c r="C55" s="100" t="e">
        <f>ROUND(HLOOKUP($C$2,bs!$C$1:$AB$110,MATCH(TRIM(B55),TRIM(bs!$B$1:$B$110),0),FALSE),0)/IF(ISNUMBER(SEARCH("亿",$B$1)),100000000,IF(ISNUMBER(SEARCH("万",$B$1)),10000,1))</f>
        <v>#VALUE!</v>
      </c>
      <c r="D55" s="101" t="e">
        <f t="shared" si="8"/>
        <v>#VALUE!</v>
      </c>
      <c r="E55" s="100" t="e">
        <f>ROUND(HLOOKUP($E$2,bs!$C$1:$AB$110,MATCH(TRIM(B55),TRIM(bs!$B$1:$B$110),0),FALSE),0)/IF(ISNUMBER(SEARCH("亿",$B$1)),100000000,IF(ISNUMBER(SEARCH("万",$B$1)),10000,1))</f>
        <v>#VALUE!</v>
      </c>
      <c r="F55" s="101" t="e">
        <f t="shared" si="9"/>
        <v>#VALUE!</v>
      </c>
      <c r="G55" s="102" t="e">
        <f>ROUND(HLOOKUP($G$2,bs!$C$1:$AB$110,MATCH(TRIM(B55),TRIM(bs!$B$1:$B$110),0),FALSE),0)/IF(ISNUMBER(SEARCH("亿",$B$1)),100000000,IF(ISNUMBER(SEARCH("万",$B$1)),10000,1))</f>
        <v>#VALUE!</v>
      </c>
      <c r="H55" s="101" t="e">
        <f t="shared" si="10"/>
        <v>#VALUE!</v>
      </c>
      <c r="I55" s="102" t="e">
        <f>ROUND(HLOOKUP($I$2,bs!$C$1:$AB$110,MATCH(TRIM(B55),TRIM(bs!$B$1:$B$110),0),FALSE),0)/IF(ISNUMBER(SEARCH("亿",$B$1)),100000000,IF(ISNUMBER(SEARCH("万",$B$1)),10000,1))</f>
        <v>#VALUE!</v>
      </c>
      <c r="J55" s="101" t="e">
        <f t="shared" si="11"/>
        <v>#VALUE!</v>
      </c>
      <c r="L55" s="103" t="e">
        <f t="shared" si="12"/>
        <v>#VALUE!</v>
      </c>
      <c r="M55" s="103" t="str">
        <f t="shared" si="13"/>
        <v>合同负债</v>
      </c>
      <c r="N55" t="e">
        <f t="shared" si="14"/>
        <v>#VALUE!</v>
      </c>
    </row>
    <row r="56" spans="2:16">
      <c r="B56" s="99" t="s">
        <v>656</v>
      </c>
      <c r="C56" s="100" t="e">
        <f>ROUND(HLOOKUP($C$2,bs!$C$1:$AB$110,MATCH(TRIM(B56),TRIM(bs!$B$1:$B$110),0),FALSE),0)/IF(ISNUMBER(SEARCH("亿",$B$1)),100000000,IF(ISNUMBER(SEARCH("万",$B$1)),10000,1))</f>
        <v>#VALUE!</v>
      </c>
      <c r="D56" s="101" t="e">
        <f t="shared" si="8"/>
        <v>#VALUE!</v>
      </c>
      <c r="E56" s="100" t="e">
        <f>ROUND(HLOOKUP($E$2,bs!$C$1:$AB$110,MATCH(TRIM(B56),TRIM(bs!$B$1:$B$110),0),FALSE),0)/IF(ISNUMBER(SEARCH("亿",$B$1)),100000000,IF(ISNUMBER(SEARCH("万",$B$1)),10000,1))</f>
        <v>#VALUE!</v>
      </c>
      <c r="F56" s="101" t="e">
        <f t="shared" si="9"/>
        <v>#VALUE!</v>
      </c>
      <c r="G56" s="102" t="e">
        <f>ROUND(HLOOKUP($G$2,bs!$C$1:$AB$110,MATCH(TRIM(B56),TRIM(bs!$B$1:$B$110),0),FALSE),0)/IF(ISNUMBER(SEARCH("亿",$B$1)),100000000,IF(ISNUMBER(SEARCH("万",$B$1)),10000,1))</f>
        <v>#VALUE!</v>
      </c>
      <c r="H56" s="101" t="e">
        <f t="shared" si="10"/>
        <v>#VALUE!</v>
      </c>
      <c r="I56" s="102" t="e">
        <f>ROUND(HLOOKUP($I$2,bs!$C$1:$AB$110,MATCH(TRIM(B56),TRIM(bs!$B$1:$B$110),0),FALSE),0)/IF(ISNUMBER(SEARCH("亿",$B$1)),100000000,IF(ISNUMBER(SEARCH("万",$B$1)),10000,1))</f>
        <v>#VALUE!</v>
      </c>
      <c r="J56" s="101" t="e">
        <f t="shared" si="11"/>
        <v>#VALUE!</v>
      </c>
      <c r="L56" s="103" t="e">
        <f t="shared" si="12"/>
        <v>#VALUE!</v>
      </c>
      <c r="M56" s="103" t="str">
        <f t="shared" si="13"/>
        <v>应付职工薪酬</v>
      </c>
      <c r="N56" t="e">
        <f t="shared" si="14"/>
        <v>#VALUE!</v>
      </c>
      <c r="P56">
        <v>0</v>
      </c>
    </row>
    <row r="57" spans="2:16">
      <c r="B57" s="99" t="s">
        <v>360</v>
      </c>
      <c r="C57" s="100" t="e">
        <f>ROUND(HLOOKUP($C$2,bs!$C$1:$AB$110,MATCH(TRIM(B57),TRIM(bs!$B$1:$B$110),0),FALSE),0)/IF(ISNUMBER(SEARCH("亿",$B$1)),100000000,IF(ISNUMBER(SEARCH("万",$B$1)),10000,1))</f>
        <v>#VALUE!</v>
      </c>
      <c r="D57" s="101" t="e">
        <f t="shared" si="8"/>
        <v>#VALUE!</v>
      </c>
      <c r="E57" s="100" t="e">
        <f>ROUND(HLOOKUP($E$2,bs!$C$1:$AB$110,MATCH(TRIM(B57),TRIM(bs!$B$1:$B$110),0),FALSE),0)/IF(ISNUMBER(SEARCH("亿",$B$1)),100000000,IF(ISNUMBER(SEARCH("万",$B$1)),10000,1))</f>
        <v>#VALUE!</v>
      </c>
      <c r="F57" s="101" t="e">
        <f t="shared" si="9"/>
        <v>#VALUE!</v>
      </c>
      <c r="G57" s="102" t="e">
        <f>ROUND(HLOOKUP($G$2,bs!$C$1:$AB$110,MATCH(TRIM(B57),TRIM(bs!$B$1:$B$110),0),FALSE),0)/IF(ISNUMBER(SEARCH("亿",$B$1)),100000000,IF(ISNUMBER(SEARCH("万",$B$1)),10000,1))</f>
        <v>#VALUE!</v>
      </c>
      <c r="H57" s="101" t="e">
        <f t="shared" si="10"/>
        <v>#VALUE!</v>
      </c>
      <c r="I57" s="102" t="e">
        <f>ROUND(HLOOKUP($I$2,bs!$C$1:$AB$110,MATCH(TRIM(B57),TRIM(bs!$B$1:$B$110),0),FALSE),0)/IF(ISNUMBER(SEARCH("亿",$B$1)),100000000,IF(ISNUMBER(SEARCH("万",$B$1)),10000,1))</f>
        <v>#VALUE!</v>
      </c>
      <c r="J57" s="101" t="e">
        <f t="shared" si="11"/>
        <v>#VALUE!</v>
      </c>
      <c r="L57" s="103" t="e">
        <f t="shared" si="12"/>
        <v>#VALUE!</v>
      </c>
      <c r="M57" s="103" t="str">
        <f t="shared" si="13"/>
        <v>  应交税费 </v>
      </c>
      <c r="N57" t="e">
        <f t="shared" si="14"/>
        <v>#VALUE!</v>
      </c>
      <c r="P57">
        <v>0</v>
      </c>
    </row>
    <row r="58" spans="2:16">
      <c r="B58" s="99" t="s">
        <v>597</v>
      </c>
      <c r="C58" s="100" t="e">
        <f>ROUND(HLOOKUP($C$2,bs!$C$1:$AB$110,MATCH(TRIM(B58),TRIM(bs!$B$1:$B$110),0),FALSE),0)/IF(ISNUMBER(SEARCH("亿",$B$1)),100000000,IF(ISNUMBER(SEARCH("万",$B$1)),10000,1))</f>
        <v>#VALUE!</v>
      </c>
      <c r="D58" s="101" t="e">
        <f t="shared" si="8"/>
        <v>#VALUE!</v>
      </c>
      <c r="E58" s="100" t="e">
        <f>ROUND(HLOOKUP($E$2,bs!$C$1:$AB$110,MATCH(TRIM(B58),TRIM(bs!$B$1:$B$110),0),FALSE),0)/IF(ISNUMBER(SEARCH("亿",$B$1)),100000000,IF(ISNUMBER(SEARCH("万",$B$1)),10000,1))</f>
        <v>#VALUE!</v>
      </c>
      <c r="F58" s="101" t="e">
        <f t="shared" si="9"/>
        <v>#VALUE!</v>
      </c>
      <c r="G58" s="102" t="e">
        <f>ROUND(HLOOKUP($G$2,bs!$C$1:$AB$110,MATCH(TRIM(B58),TRIM(bs!$B$1:$B$110),0),FALSE),0)/IF(ISNUMBER(SEARCH("亿",$B$1)),100000000,IF(ISNUMBER(SEARCH("万",$B$1)),10000,1))</f>
        <v>#VALUE!</v>
      </c>
      <c r="H58" s="101" t="e">
        <f t="shared" si="10"/>
        <v>#VALUE!</v>
      </c>
      <c r="I58" s="102" t="e">
        <f>ROUND(HLOOKUP($I$2,bs!$C$1:$AB$110,MATCH(TRIM(B58),TRIM(bs!$B$1:$B$110),0),FALSE),0)/IF(ISNUMBER(SEARCH("亿",$B$1)),100000000,IF(ISNUMBER(SEARCH("万",$B$1)),10000,1))</f>
        <v>#VALUE!</v>
      </c>
      <c r="J58" s="101" t="e">
        <f t="shared" si="11"/>
        <v>#VALUE!</v>
      </c>
      <c r="L58" s="103" t="e">
        <f t="shared" si="12"/>
        <v>#VALUE!</v>
      </c>
      <c r="M58" s="103" t="str">
        <f t="shared" si="13"/>
        <v>其他应付款</v>
      </c>
      <c r="N58" t="e">
        <f t="shared" si="14"/>
        <v>#VALUE!</v>
      </c>
      <c r="P58">
        <v>0</v>
      </c>
    </row>
    <row r="59" spans="2:16">
      <c r="B59" s="99" t="s">
        <v>362</v>
      </c>
      <c r="C59" s="100" t="e">
        <f>ROUND(HLOOKUP($C$2,bs!$C$1:$AB$110,MATCH(TRIM(B59),TRIM(bs!$B$1:$B$110),0),FALSE),0)/IF(ISNUMBER(SEARCH("亿",$B$1)),100000000,IF(ISNUMBER(SEARCH("万",$B$1)),10000,1))</f>
        <v>#VALUE!</v>
      </c>
      <c r="D59" s="101" t="e">
        <f t="shared" si="8"/>
        <v>#VALUE!</v>
      </c>
      <c r="E59" s="100" t="e">
        <f>ROUND(HLOOKUP($E$2,bs!$C$1:$AB$110,MATCH(TRIM(B59),TRIM(bs!$B$1:$B$110),0),FALSE),0)/IF(ISNUMBER(SEARCH("亿",$B$1)),100000000,IF(ISNUMBER(SEARCH("万",$B$1)),10000,1))</f>
        <v>#VALUE!</v>
      </c>
      <c r="F59" s="101" t="e">
        <f t="shared" si="9"/>
        <v>#VALUE!</v>
      </c>
      <c r="G59" s="102" t="e">
        <f>ROUND(HLOOKUP($G$2,bs!$C$1:$AB$110,MATCH(TRIM(B59),TRIM(bs!$B$1:$B$110),0),FALSE),0)/IF(ISNUMBER(SEARCH("亿",$B$1)),100000000,IF(ISNUMBER(SEARCH("万",$B$1)),10000,1))</f>
        <v>#VALUE!</v>
      </c>
      <c r="H59" s="101" t="e">
        <f t="shared" si="10"/>
        <v>#VALUE!</v>
      </c>
      <c r="I59" s="102" t="e">
        <f>ROUND(HLOOKUP($I$2,bs!$C$1:$AB$110,MATCH(TRIM(B59),TRIM(bs!$B$1:$B$110),0),FALSE),0)/IF(ISNUMBER(SEARCH("亿",$B$1)),100000000,IF(ISNUMBER(SEARCH("万",$B$1)),10000,1))</f>
        <v>#VALUE!</v>
      </c>
      <c r="J59" s="101" t="e">
        <f t="shared" si="11"/>
        <v>#VALUE!</v>
      </c>
      <c r="L59" s="103" t="e">
        <f t="shared" si="12"/>
        <v>#VALUE!</v>
      </c>
      <c r="M59" s="103" t="str">
        <f t="shared" si="13"/>
        <v>   其中：应付利息</v>
      </c>
      <c r="N59" t="e">
        <f t="shared" si="14"/>
        <v>#VALUE!</v>
      </c>
    </row>
    <row r="60" spans="2:16">
      <c r="B60" s="99" t="s">
        <v>363</v>
      </c>
      <c r="C60" s="100" t="e">
        <f>ROUND(HLOOKUP($C$2,bs!$C$1:$AB$110,MATCH(TRIM(B60),TRIM(bs!$B$1:$B$110),0),FALSE),0)/IF(ISNUMBER(SEARCH("亿",$B$1)),100000000,IF(ISNUMBER(SEARCH("万",$B$1)),10000,1))</f>
        <v>#VALUE!</v>
      </c>
      <c r="D60" s="101" t="e">
        <f t="shared" si="8"/>
        <v>#VALUE!</v>
      </c>
      <c r="E60" s="100" t="e">
        <f>ROUND(HLOOKUP($E$2,bs!$C$1:$AB$110,MATCH(TRIM(B60),TRIM(bs!$B$1:$B$110),0),FALSE),0)/IF(ISNUMBER(SEARCH("亿",$B$1)),100000000,IF(ISNUMBER(SEARCH("万",$B$1)),10000,1))</f>
        <v>#VALUE!</v>
      </c>
      <c r="F60" s="101" t="e">
        <f t="shared" si="9"/>
        <v>#VALUE!</v>
      </c>
      <c r="G60" s="102" t="e">
        <f>ROUND(HLOOKUP($G$2,bs!$C$1:$AB$110,MATCH(TRIM(B60),TRIM(bs!$B$1:$B$110),0),FALSE),0)/IF(ISNUMBER(SEARCH("亿",$B$1)),100000000,IF(ISNUMBER(SEARCH("万",$B$1)),10000,1))</f>
        <v>#VALUE!</v>
      </c>
      <c r="H60" s="101" t="e">
        <f t="shared" si="10"/>
        <v>#VALUE!</v>
      </c>
      <c r="I60" s="102" t="e">
        <f>ROUND(HLOOKUP($I$2,bs!$C$1:$AB$110,MATCH(TRIM(B60),TRIM(bs!$B$1:$B$110),0),FALSE),0)/IF(ISNUMBER(SEARCH("亿",$B$1)),100000000,IF(ISNUMBER(SEARCH("万",$B$1)),10000,1))</f>
        <v>#VALUE!</v>
      </c>
      <c r="J60" s="101" t="e">
        <f t="shared" si="11"/>
        <v>#VALUE!</v>
      </c>
      <c r="L60" s="103" t="e">
        <f t="shared" si="12"/>
        <v>#VALUE!</v>
      </c>
      <c r="M60" s="103" t="str">
        <f t="shared" si="13"/>
        <v>         应付股利</v>
      </c>
      <c r="N60" t="e">
        <f t="shared" si="14"/>
        <v>#VALUE!</v>
      </c>
    </row>
    <row r="61" spans="2:16">
      <c r="B61" s="99" t="s">
        <v>364</v>
      </c>
      <c r="C61" s="100" t="e">
        <f>ROUND(HLOOKUP($C$2,bs!$C$1:$AB$110,MATCH(TRIM(B61),TRIM(bs!$B$1:$B$110),0),FALSE),0)/IF(ISNUMBER(SEARCH("亿",$B$1)),100000000,IF(ISNUMBER(SEARCH("万",$B$1)),10000,1))</f>
        <v>#VALUE!</v>
      </c>
      <c r="D61" s="101" t="e">
        <f t="shared" si="8"/>
        <v>#VALUE!</v>
      </c>
      <c r="E61" s="100" t="e">
        <f>ROUND(HLOOKUP($E$2,bs!$C$1:$AB$110,MATCH(TRIM(B61),TRIM(bs!$B$1:$B$110),0),FALSE),0)/IF(ISNUMBER(SEARCH("亿",$B$1)),100000000,IF(ISNUMBER(SEARCH("万",$B$1)),10000,1))</f>
        <v>#VALUE!</v>
      </c>
      <c r="F61" s="101" t="e">
        <f t="shared" si="9"/>
        <v>#VALUE!</v>
      </c>
      <c r="G61" s="102" t="e">
        <f>ROUND(HLOOKUP($G$2,bs!$C$1:$AB$110,MATCH(TRIM(B61),TRIM(bs!$B$1:$B$110),0),FALSE),0)/IF(ISNUMBER(SEARCH("亿",$B$1)),100000000,IF(ISNUMBER(SEARCH("万",$B$1)),10000,1))</f>
        <v>#VALUE!</v>
      </c>
      <c r="H61" s="101" t="e">
        <f t="shared" si="10"/>
        <v>#VALUE!</v>
      </c>
      <c r="I61" s="102" t="e">
        <f>ROUND(HLOOKUP($I$2,bs!$C$1:$AB$110,MATCH(TRIM(B61),TRIM(bs!$B$1:$B$110),0),FALSE),0)/IF(ISNUMBER(SEARCH("亿",$B$1)),100000000,IF(ISNUMBER(SEARCH("万",$B$1)),10000,1))</f>
        <v>#VALUE!</v>
      </c>
      <c r="J61" s="101" t="e">
        <f t="shared" si="11"/>
        <v>#VALUE!</v>
      </c>
      <c r="L61" s="103" t="e">
        <f t="shared" si="12"/>
        <v>#VALUE!</v>
      </c>
      <c r="M61" s="103" t="str">
        <f t="shared" si="13"/>
        <v>  应付手续费及佣金* </v>
      </c>
      <c r="N61" t="e">
        <f t="shared" si="14"/>
        <v>#VALUE!</v>
      </c>
    </row>
    <row r="62" spans="2:16">
      <c r="B62" s="99" t="s">
        <v>365</v>
      </c>
      <c r="C62" s="100" t="e">
        <f>ROUND(HLOOKUP($C$2,bs!$C$1:$AB$110,MATCH(TRIM(B62),TRIM(bs!$B$1:$B$110),0),FALSE),0)/IF(ISNUMBER(SEARCH("亿",$B$1)),100000000,IF(ISNUMBER(SEARCH("万",$B$1)),10000,1))</f>
        <v>#VALUE!</v>
      </c>
      <c r="D62" s="101" t="e">
        <f t="shared" si="8"/>
        <v>#VALUE!</v>
      </c>
      <c r="E62" s="100" t="e">
        <f>ROUND(HLOOKUP($E$2,bs!$C$1:$AB$110,MATCH(TRIM(B62),TRIM(bs!$B$1:$B$110),0),FALSE),0)/IF(ISNUMBER(SEARCH("亿",$B$1)),100000000,IF(ISNUMBER(SEARCH("万",$B$1)),10000,1))</f>
        <v>#VALUE!</v>
      </c>
      <c r="F62" s="101" t="e">
        <f t="shared" si="9"/>
        <v>#VALUE!</v>
      </c>
      <c r="G62" s="102" t="e">
        <f>ROUND(HLOOKUP($G$2,bs!$C$1:$AB$110,MATCH(TRIM(B62),TRIM(bs!$B$1:$B$110),0),FALSE),0)/IF(ISNUMBER(SEARCH("亿",$B$1)),100000000,IF(ISNUMBER(SEARCH("万",$B$1)),10000,1))</f>
        <v>#VALUE!</v>
      </c>
      <c r="H62" s="101" t="e">
        <f t="shared" si="10"/>
        <v>#VALUE!</v>
      </c>
      <c r="I62" s="102" t="e">
        <f>ROUND(HLOOKUP($I$2,bs!$C$1:$AB$110,MATCH(TRIM(B62),TRIM(bs!$B$1:$B$110),0),FALSE),0)/IF(ISNUMBER(SEARCH("亿",$B$1)),100000000,IF(ISNUMBER(SEARCH("万",$B$1)),10000,1))</f>
        <v>#VALUE!</v>
      </c>
      <c r="J62" s="101" t="e">
        <f t="shared" si="11"/>
        <v>#VALUE!</v>
      </c>
      <c r="L62" s="103" t="e">
        <f t="shared" si="12"/>
        <v>#VALUE!</v>
      </c>
      <c r="M62" s="103" t="str">
        <f t="shared" si="13"/>
        <v>  应付分保账款* </v>
      </c>
      <c r="N62" t="e">
        <f t="shared" si="14"/>
        <v>#VALUE!</v>
      </c>
    </row>
    <row r="63" spans="2:16">
      <c r="B63" s="99" t="s">
        <v>366</v>
      </c>
      <c r="C63" s="100" t="e">
        <f>ROUND(HLOOKUP($C$2,bs!$C$1:$AB$110,MATCH(TRIM(B63),TRIM(bs!$B$1:$B$110),0),FALSE),0)/IF(ISNUMBER(SEARCH("亿",$B$1)),100000000,IF(ISNUMBER(SEARCH("万",$B$1)),10000,1))</f>
        <v>#VALUE!</v>
      </c>
      <c r="D63" s="101" t="e">
        <f t="shared" si="8"/>
        <v>#VALUE!</v>
      </c>
      <c r="E63" s="100" t="e">
        <f>ROUND(HLOOKUP($E$2,bs!$C$1:$AB$110,MATCH(TRIM(B63),TRIM(bs!$B$1:$B$110),0),FALSE),0)/IF(ISNUMBER(SEARCH("亿",$B$1)),100000000,IF(ISNUMBER(SEARCH("万",$B$1)),10000,1))</f>
        <v>#VALUE!</v>
      </c>
      <c r="F63" s="101" t="e">
        <f t="shared" si="9"/>
        <v>#VALUE!</v>
      </c>
      <c r="G63" s="102" t="e">
        <f>ROUND(HLOOKUP($G$2,bs!$C$1:$AB$110,MATCH(TRIM(B63),TRIM(bs!$B$1:$B$110),0),FALSE),0)/IF(ISNUMBER(SEARCH("亿",$B$1)),100000000,IF(ISNUMBER(SEARCH("万",$B$1)),10000,1))</f>
        <v>#VALUE!</v>
      </c>
      <c r="H63" s="101" t="e">
        <f t="shared" si="10"/>
        <v>#VALUE!</v>
      </c>
      <c r="I63" s="102" t="e">
        <f>ROUND(HLOOKUP($I$2,bs!$C$1:$AB$110,MATCH(TRIM(B63),TRIM(bs!$B$1:$B$110),0),FALSE),0)/IF(ISNUMBER(SEARCH("亿",$B$1)),100000000,IF(ISNUMBER(SEARCH("万",$B$1)),10000,1))</f>
        <v>#VALUE!</v>
      </c>
      <c r="J63" s="101" t="e">
        <f t="shared" si="11"/>
        <v>#VALUE!</v>
      </c>
      <c r="L63" s="103" t="e">
        <f t="shared" si="12"/>
        <v>#VALUE!</v>
      </c>
      <c r="M63" s="103" t="str">
        <f t="shared" si="13"/>
        <v>  持有待售负债 </v>
      </c>
      <c r="N63" t="e">
        <f t="shared" si="14"/>
        <v>#VALUE!</v>
      </c>
    </row>
    <row r="64" ht="28" customHeight="1" spans="2:16">
      <c r="B64" s="99" t="s">
        <v>657</v>
      </c>
      <c r="C64" s="100" t="e">
        <f>ROUND(HLOOKUP($C$2,bs!$C$1:$AB$110,MATCH(TRIM(B64),TRIM(bs!$B$1:$B$110),0),FALSE),0)/IF(ISNUMBER(SEARCH("亿",$B$1)),100000000,IF(ISNUMBER(SEARCH("万",$B$1)),10000,1))</f>
        <v>#VALUE!</v>
      </c>
      <c r="D64" s="101" t="e">
        <f t="shared" si="8"/>
        <v>#VALUE!</v>
      </c>
      <c r="E64" s="100" t="e">
        <f>ROUND(HLOOKUP($E$2,bs!$C$1:$AB$110,MATCH(TRIM(B64),TRIM(bs!$B$1:$B$110),0),FALSE),0)/IF(ISNUMBER(SEARCH("亿",$B$1)),100000000,IF(ISNUMBER(SEARCH("万",$B$1)),10000,1))</f>
        <v>#VALUE!</v>
      </c>
      <c r="F64" s="101" t="e">
        <f t="shared" si="9"/>
        <v>#VALUE!</v>
      </c>
      <c r="G64" s="102" t="e">
        <f>ROUND(HLOOKUP($G$2,bs!$C$1:$AB$110,MATCH(TRIM(B64),TRIM(bs!$B$1:$B$110),0),FALSE),0)/IF(ISNUMBER(SEARCH("亿",$B$1)),100000000,IF(ISNUMBER(SEARCH("万",$B$1)),10000,1))</f>
        <v>#VALUE!</v>
      </c>
      <c r="H64" s="101" t="e">
        <f t="shared" si="10"/>
        <v>#VALUE!</v>
      </c>
      <c r="I64" s="102" t="e">
        <f>ROUND(HLOOKUP($I$2,bs!$C$1:$AB$110,MATCH(TRIM(B64),TRIM(bs!$B$1:$B$110),0),FALSE),0)/IF(ISNUMBER(SEARCH("亿",$B$1)),100000000,IF(ISNUMBER(SEARCH("万",$B$1)),10000,1))</f>
        <v>#VALUE!</v>
      </c>
      <c r="J64" s="101" t="e">
        <f t="shared" si="11"/>
        <v>#VALUE!</v>
      </c>
      <c r="L64" s="103" t="e">
        <f t="shared" si="12"/>
        <v>#VALUE!</v>
      </c>
      <c r="M64" s="103" t="str">
        <f t="shared" si="13"/>
        <v>一年内到期的非流动负债</v>
      </c>
      <c r="N64" t="e">
        <f t="shared" si="14"/>
        <v>#VALUE!</v>
      </c>
      <c r="P64">
        <v>0</v>
      </c>
    </row>
    <row r="65" spans="2:16">
      <c r="B65" s="99" t="s">
        <v>368</v>
      </c>
      <c r="C65" s="100" t="e">
        <f>ROUND(HLOOKUP($C$2,bs!$C$1:$AB$110,MATCH(TRIM(B65),TRIM(bs!$B$1:$B$110),0),FALSE),0)/IF(ISNUMBER(SEARCH("亿",$B$1)),100000000,IF(ISNUMBER(SEARCH("万",$B$1)),10000,1))</f>
        <v>#VALUE!</v>
      </c>
      <c r="D65" s="101" t="e">
        <f t="shared" si="8"/>
        <v>#VALUE!</v>
      </c>
      <c r="E65" s="100" t="e">
        <f>ROUND(HLOOKUP($E$2,bs!$C$1:$AB$110,MATCH(TRIM(B65),TRIM(bs!$B$1:$B$110),0),FALSE),0)/IF(ISNUMBER(SEARCH("亿",$B$1)),100000000,IF(ISNUMBER(SEARCH("万",$B$1)),10000,1))</f>
        <v>#VALUE!</v>
      </c>
      <c r="F65" s="101" t="e">
        <f t="shared" si="9"/>
        <v>#VALUE!</v>
      </c>
      <c r="G65" s="102" t="e">
        <f>ROUND(HLOOKUP($G$2,bs!$C$1:$AB$110,MATCH(TRIM(B65),TRIM(bs!$B$1:$B$110),0),FALSE),0)/IF(ISNUMBER(SEARCH("亿",$B$1)),100000000,IF(ISNUMBER(SEARCH("万",$B$1)),10000,1))</f>
        <v>#VALUE!</v>
      </c>
      <c r="H65" s="101" t="e">
        <f t="shared" si="10"/>
        <v>#VALUE!</v>
      </c>
      <c r="I65" s="102" t="e">
        <f>ROUND(HLOOKUP($I$2,bs!$C$1:$AB$110,MATCH(TRIM(B65),TRIM(bs!$B$1:$B$110),0),FALSE),0)/IF(ISNUMBER(SEARCH("亿",$B$1)),100000000,IF(ISNUMBER(SEARCH("万",$B$1)),10000,1))</f>
        <v>#VALUE!</v>
      </c>
      <c r="J65" s="101" t="e">
        <f t="shared" si="11"/>
        <v>#VALUE!</v>
      </c>
      <c r="L65" s="103" t="e">
        <f t="shared" si="12"/>
        <v>#VALUE!</v>
      </c>
      <c r="M65" s="103" t="str">
        <f t="shared" si="13"/>
        <v>  其他流动负债 </v>
      </c>
      <c r="N65" t="e">
        <f t="shared" si="14"/>
        <v>#VALUE!</v>
      </c>
    </row>
    <row r="66" spans="2:16">
      <c r="B66" s="104" t="s">
        <v>535</v>
      </c>
      <c r="C66" s="100" t="e">
        <f>ROUND(HLOOKUP($C$2,bs!$C$1:$AB$110,MATCH(TRIM(B66),TRIM(bs!$B$1:$B$110),0),FALSE),0)/IF(ISNUMBER(SEARCH("亿",$B$1)),100000000,IF(ISNUMBER(SEARCH("万",$B$1)),10000,1))</f>
        <v>#VALUE!</v>
      </c>
      <c r="D66" s="105" t="e">
        <f t="shared" si="8"/>
        <v>#VALUE!</v>
      </c>
      <c r="E66" s="100" t="e">
        <f>ROUND(HLOOKUP($E$2,bs!$C$1:$AB$110,MATCH(TRIM(B66),TRIM(bs!$B$1:$B$110),0),FALSE),0)/IF(ISNUMBER(SEARCH("亿",$B$1)),100000000,IF(ISNUMBER(SEARCH("万",$B$1)),10000,1))</f>
        <v>#VALUE!</v>
      </c>
      <c r="F66" s="105" t="e">
        <f t="shared" si="9"/>
        <v>#VALUE!</v>
      </c>
      <c r="G66" s="102" t="e">
        <f>ROUND(HLOOKUP($G$2,bs!$C$1:$AB$110,MATCH(TRIM(B66),TRIM(bs!$B$1:$B$110),0),FALSE),0)/IF(ISNUMBER(SEARCH("亿",$B$1)),100000000,IF(ISNUMBER(SEARCH("万",$B$1)),10000,1))</f>
        <v>#VALUE!</v>
      </c>
      <c r="H66" s="105" t="e">
        <f t="shared" si="10"/>
        <v>#VALUE!</v>
      </c>
      <c r="I66" s="102" t="e">
        <f>ROUND(HLOOKUP($I$2,bs!$C$1:$AB$110,MATCH(TRIM(B66),TRIM(bs!$B$1:$B$110),0),FALSE),0)/IF(ISNUMBER(SEARCH("亿",$B$1)),100000000,IF(ISNUMBER(SEARCH("万",$B$1)),10000,1))</f>
        <v>#VALUE!</v>
      </c>
      <c r="J66" s="105" t="e">
        <f t="shared" si="11"/>
        <v>#VALUE!</v>
      </c>
      <c r="L66" s="103" t="e">
        <f t="shared" si="12"/>
        <v>#VALUE!</v>
      </c>
      <c r="M66" s="103" t="str">
        <f t="shared" si="13"/>
        <v>流动负债合计</v>
      </c>
      <c r="O66" t="e">
        <f>CONCATENATE(N2,N1,B66,"分别为",TEXT(I66,"#,##0.00"),"万元、",TEXT(G66,"#,##0.00"),"万元、",TEXT(E66,"#,##0.00"),"万元及",TEXT(C66,"#,##0.00"),"万元。")</f>
        <v>#VALUE!</v>
      </c>
      <c r="P66">
        <v>0</v>
      </c>
    </row>
    <row r="67" spans="2:16">
      <c r="B67" s="99" t="s">
        <v>599</v>
      </c>
      <c r="C67" s="100" t="e">
        <f>ROUND(HLOOKUP($C$2,bs!$C$1:$AB$110,MATCH(TRIM(B67),TRIM(bs!$B$1:$B$110),0),FALSE),0)/IF(ISNUMBER(SEARCH("亿",$B$1)),100000000,IF(ISNUMBER(SEARCH("万",$B$1)),10000,1))</f>
        <v>#VALUE!</v>
      </c>
      <c r="D67" s="101" t="e">
        <f t="shared" si="8"/>
        <v>#VALUE!</v>
      </c>
      <c r="E67" s="100" t="e">
        <f>ROUND(HLOOKUP($E$2,bs!$C$1:$AB$110,MATCH(TRIM(B67),TRIM(bs!$B$1:$B$110),0),FALSE),0)/IF(ISNUMBER(SEARCH("亿",$B$1)),100000000,IF(ISNUMBER(SEARCH("万",$B$1)),10000,1))</f>
        <v>#VALUE!</v>
      </c>
      <c r="F67" s="101" t="e">
        <f t="shared" si="9"/>
        <v>#VALUE!</v>
      </c>
      <c r="G67" s="102" t="e">
        <f>ROUND(HLOOKUP($G$2,bs!$C$1:$AB$110,MATCH(TRIM(B67),TRIM(bs!$B$1:$B$110),0),FALSE),0)/IF(ISNUMBER(SEARCH("亿",$B$1)),100000000,IF(ISNUMBER(SEARCH("万",$B$1)),10000,1))</f>
        <v>#VALUE!</v>
      </c>
      <c r="H67" s="101" t="e">
        <f t="shared" si="10"/>
        <v>#VALUE!</v>
      </c>
      <c r="I67" s="102" t="e">
        <f>ROUND(HLOOKUP($I$2,bs!$C$1:$AB$110,MATCH(TRIM(B67),TRIM(bs!$B$1:$B$110),0),FALSE),0)/IF(ISNUMBER(SEARCH("亿",$B$1)),100000000,IF(ISNUMBER(SEARCH("万",$B$1)),10000,1))</f>
        <v>#VALUE!</v>
      </c>
      <c r="J67" s="101" t="e">
        <f t="shared" si="11"/>
        <v>#VALUE!</v>
      </c>
      <c r="L67" s="103" t="e">
        <f t="shared" si="12"/>
        <v>#VALUE!</v>
      </c>
      <c r="M67" s="103" t="str">
        <f t="shared" si="13"/>
        <v>长期借款</v>
      </c>
      <c r="N67" t="e">
        <f t="shared" ref="N67:N78" si="15">CONCATENATE(M67,":",$N$2,$N$1,B67,"分别为",TEXT(I67,"#,##0.00"),"万元、",TEXT(G67,"#,##0.00"),"万元、",TEXT(E67,"#,##0.00"),"万元及",TEXT(C67,"#,##0.00"),"万元，","占总负债的比重分别为",TEXT(J67,"0.00%"),"、",TEXT(H67,"0.00%"),"、",TEXT(F67,"0.00%"),"和",TEXT(D67,"0.00%"),"。")</f>
        <v>#VALUE!</v>
      </c>
      <c r="P67">
        <v>0</v>
      </c>
    </row>
    <row r="68" spans="2:16">
      <c r="B68" s="99" t="s">
        <v>373</v>
      </c>
      <c r="C68" s="100" t="e">
        <f>ROUND(HLOOKUP($C$2,bs!$C$1:$AB$110,MATCH(TRIM(B68),TRIM(bs!$B$1:$B$110),0),FALSE),0)/IF(ISNUMBER(SEARCH("亿",$B$1)),100000000,IF(ISNUMBER(SEARCH("万",$B$1)),10000,1))</f>
        <v>#VALUE!</v>
      </c>
      <c r="D68" s="101" t="e">
        <f t="shared" si="8"/>
        <v>#VALUE!</v>
      </c>
      <c r="E68" s="100" t="e">
        <f>ROUND(HLOOKUP($E$2,bs!$C$1:$AB$110,MATCH(TRIM(B68),TRIM(bs!$B$1:$B$110),0),FALSE),0)/IF(ISNUMBER(SEARCH("亿",$B$1)),100000000,IF(ISNUMBER(SEARCH("万",$B$1)),10000,1))</f>
        <v>#VALUE!</v>
      </c>
      <c r="F68" s="101" t="e">
        <f t="shared" si="9"/>
        <v>#VALUE!</v>
      </c>
      <c r="G68" s="102" t="e">
        <f>ROUND(HLOOKUP($G$2,bs!$C$1:$AB$110,MATCH(TRIM(B68),TRIM(bs!$B$1:$B$110),0),FALSE),0)/IF(ISNUMBER(SEARCH("亿",$B$1)),100000000,IF(ISNUMBER(SEARCH("万",$B$1)),10000,1))</f>
        <v>#VALUE!</v>
      </c>
      <c r="H68" s="101" t="e">
        <f t="shared" si="10"/>
        <v>#VALUE!</v>
      </c>
      <c r="I68" s="102" t="e">
        <f>ROUND(HLOOKUP($I$2,bs!$C$1:$AB$110,MATCH(TRIM(B68),TRIM(bs!$B$1:$B$110),0),FALSE),0)/IF(ISNUMBER(SEARCH("亿",$B$1)),100000000,IF(ISNUMBER(SEARCH("万",$B$1)),10000,1))</f>
        <v>#VALUE!</v>
      </c>
      <c r="J68" s="101" t="e">
        <f t="shared" si="11"/>
        <v>#VALUE!</v>
      </c>
      <c r="L68" s="103" t="e">
        <f t="shared" si="12"/>
        <v>#VALUE!</v>
      </c>
      <c r="M68" s="103" t="str">
        <f t="shared" si="13"/>
        <v>  应付债券 </v>
      </c>
      <c r="N68" t="e">
        <f t="shared" si="15"/>
        <v>#VALUE!</v>
      </c>
    </row>
    <row r="69" spans="2:16">
      <c r="B69" s="99" t="s">
        <v>374</v>
      </c>
      <c r="C69" s="100" t="e">
        <f>ROUND(HLOOKUP($C$2,bs!$C$1:$AB$110,MATCH(TRIM(B69),TRIM(bs!$B$1:$B$110),0),FALSE),0)/IF(ISNUMBER(SEARCH("亿",$B$1)),100000000,IF(ISNUMBER(SEARCH("万",$B$1)),10000,1))</f>
        <v>#VALUE!</v>
      </c>
      <c r="D69" s="101" t="e">
        <f t="shared" si="8"/>
        <v>#VALUE!</v>
      </c>
      <c r="E69" s="100" t="e">
        <f>ROUND(HLOOKUP($E$2,bs!$C$1:$AB$110,MATCH(TRIM(B69),TRIM(bs!$B$1:$B$110),0),FALSE),0)/IF(ISNUMBER(SEARCH("亿",$B$1)),100000000,IF(ISNUMBER(SEARCH("万",$B$1)),10000,1))</f>
        <v>#VALUE!</v>
      </c>
      <c r="F69" s="101" t="e">
        <f t="shared" si="9"/>
        <v>#VALUE!</v>
      </c>
      <c r="G69" s="102" t="e">
        <f>ROUND(HLOOKUP($G$2,bs!$C$1:$AB$110,MATCH(TRIM(B69),TRIM(bs!$B$1:$B$110),0),FALSE),0)/IF(ISNUMBER(SEARCH("亿",$B$1)),100000000,IF(ISNUMBER(SEARCH("万",$B$1)),10000,1))</f>
        <v>#VALUE!</v>
      </c>
      <c r="H69" s="101" t="e">
        <f t="shared" si="10"/>
        <v>#VALUE!</v>
      </c>
      <c r="I69" s="102" t="e">
        <f>ROUND(HLOOKUP($I$2,bs!$C$1:$AB$110,MATCH(TRIM(B69),TRIM(bs!$B$1:$B$110),0),FALSE),0)/IF(ISNUMBER(SEARCH("亿",$B$1)),100000000,IF(ISNUMBER(SEARCH("万",$B$1)),10000,1))</f>
        <v>#VALUE!</v>
      </c>
      <c r="J69" s="101" t="e">
        <f t="shared" si="11"/>
        <v>#VALUE!</v>
      </c>
      <c r="L69" s="103" t="e">
        <f t="shared" si="12"/>
        <v>#VALUE!</v>
      </c>
      <c r="M69" s="103" t="str">
        <f t="shared" si="13"/>
        <v>    其中：优先股 </v>
      </c>
      <c r="N69" t="e">
        <f t="shared" si="15"/>
        <v>#VALUE!</v>
      </c>
    </row>
    <row r="70" spans="2:16">
      <c r="B70" s="99" t="s">
        <v>375</v>
      </c>
      <c r="C70" s="100" t="e">
        <f>ROUND(HLOOKUP($C$2,bs!$C$1:$AB$110,MATCH(TRIM(B70),TRIM(bs!$B$1:$B$110),0),FALSE),0)/IF(ISNUMBER(SEARCH("亿",$B$1)),100000000,IF(ISNUMBER(SEARCH("万",$B$1)),10000,1))</f>
        <v>#VALUE!</v>
      </c>
      <c r="D70" s="101" t="e">
        <f t="shared" si="8"/>
        <v>#VALUE!</v>
      </c>
      <c r="E70" s="100" t="e">
        <f>ROUND(HLOOKUP($E$2,bs!$C$1:$AB$110,MATCH(TRIM(B70),TRIM(bs!$B$1:$B$110),0),FALSE),0)/IF(ISNUMBER(SEARCH("亿",$B$1)),100000000,IF(ISNUMBER(SEARCH("万",$B$1)),10000,1))</f>
        <v>#VALUE!</v>
      </c>
      <c r="F70" s="101" t="e">
        <f t="shared" si="9"/>
        <v>#VALUE!</v>
      </c>
      <c r="G70" s="102" t="e">
        <f>ROUND(HLOOKUP($G$2,bs!$C$1:$AB$110,MATCH(TRIM(B70),TRIM(bs!$B$1:$B$110),0),FALSE),0)/IF(ISNUMBER(SEARCH("亿",$B$1)),100000000,IF(ISNUMBER(SEARCH("万",$B$1)),10000,1))</f>
        <v>#VALUE!</v>
      </c>
      <c r="H70" s="101" t="e">
        <f t="shared" si="10"/>
        <v>#VALUE!</v>
      </c>
      <c r="I70" s="102" t="e">
        <f>ROUND(HLOOKUP($I$2,bs!$C$1:$AB$110,MATCH(TRIM(B70),TRIM(bs!$B$1:$B$110),0),FALSE),0)/IF(ISNUMBER(SEARCH("亿",$B$1)),100000000,IF(ISNUMBER(SEARCH("万",$B$1)),10000,1))</f>
        <v>#VALUE!</v>
      </c>
      <c r="J70" s="101" t="e">
        <f t="shared" si="11"/>
        <v>#VALUE!</v>
      </c>
      <c r="L70" s="103" t="e">
        <f t="shared" si="12"/>
        <v>#VALUE!</v>
      </c>
      <c r="M70" s="103" t="str">
        <f t="shared" si="13"/>
        <v>          永续债 </v>
      </c>
      <c r="N70" t="e">
        <f t="shared" si="15"/>
        <v>#VALUE!</v>
      </c>
    </row>
    <row r="71" spans="2:16">
      <c r="B71" s="99" t="s">
        <v>376</v>
      </c>
      <c r="C71" s="100" t="e">
        <f>ROUND(HLOOKUP($C$2,bs!$C$1:$AB$110,MATCH(TRIM(B71),TRIM(bs!$B$1:$B$110),0),FALSE),0)/IF(ISNUMBER(SEARCH("亿",$B$1)),100000000,IF(ISNUMBER(SEARCH("万",$B$1)),10000,1))</f>
        <v>#VALUE!</v>
      </c>
      <c r="D71" s="101" t="e">
        <f t="shared" si="8"/>
        <v>#VALUE!</v>
      </c>
      <c r="E71" s="100" t="e">
        <f>ROUND(HLOOKUP($E$2,bs!$C$1:$AB$110,MATCH(TRIM(B71),TRIM(bs!$B$1:$B$110),0),FALSE),0)/IF(ISNUMBER(SEARCH("亿",$B$1)),100000000,IF(ISNUMBER(SEARCH("万",$B$1)),10000,1))</f>
        <v>#VALUE!</v>
      </c>
      <c r="F71" s="101" t="e">
        <f t="shared" si="9"/>
        <v>#VALUE!</v>
      </c>
      <c r="G71" s="102" t="e">
        <f>ROUND(HLOOKUP($G$2,bs!$C$1:$AB$110,MATCH(TRIM(B71),TRIM(bs!$B$1:$B$110),0),FALSE),0)/IF(ISNUMBER(SEARCH("亿",$B$1)),100000000,IF(ISNUMBER(SEARCH("万",$B$1)),10000,1))</f>
        <v>#VALUE!</v>
      </c>
      <c r="H71" s="101" t="e">
        <f t="shared" si="10"/>
        <v>#VALUE!</v>
      </c>
      <c r="I71" s="102" t="e">
        <f>ROUND(HLOOKUP($I$2,bs!$C$1:$AB$110,MATCH(TRIM(B71),TRIM(bs!$B$1:$B$110),0),FALSE),0)/IF(ISNUMBER(SEARCH("亿",$B$1)),100000000,IF(ISNUMBER(SEARCH("万",$B$1)),10000,1))</f>
        <v>#VALUE!</v>
      </c>
      <c r="J71" s="101" t="e">
        <f t="shared" si="11"/>
        <v>#VALUE!</v>
      </c>
      <c r="L71" s="103" t="e">
        <f t="shared" si="12"/>
        <v>#VALUE!</v>
      </c>
      <c r="M71" s="103" t="str">
        <f t="shared" si="13"/>
        <v>  租赁负债 </v>
      </c>
      <c r="N71" t="e">
        <f t="shared" si="15"/>
        <v>#VALUE!</v>
      </c>
    </row>
    <row r="72" spans="2:16">
      <c r="B72" s="99" t="s">
        <v>377</v>
      </c>
      <c r="C72" s="100" t="e">
        <f>ROUND(HLOOKUP($C$2,bs!$C$1:$AB$110,MATCH(TRIM(B72),TRIM(bs!$B$1:$B$110),0),FALSE),0)/IF(ISNUMBER(SEARCH("亿",$B$1)),100000000,IF(ISNUMBER(SEARCH("万",$B$1)),10000,1))</f>
        <v>#VALUE!</v>
      </c>
      <c r="D72" s="101" t="e">
        <f t="shared" si="8"/>
        <v>#VALUE!</v>
      </c>
      <c r="E72" s="100" t="e">
        <f>ROUND(HLOOKUP($E$2,bs!$C$1:$AB$110,MATCH(TRIM(B72),TRIM(bs!$B$1:$B$110),0),FALSE),0)/IF(ISNUMBER(SEARCH("亿",$B$1)),100000000,IF(ISNUMBER(SEARCH("万",$B$1)),10000,1))</f>
        <v>#VALUE!</v>
      </c>
      <c r="F72" s="101" t="e">
        <f t="shared" si="9"/>
        <v>#VALUE!</v>
      </c>
      <c r="G72" s="102" t="e">
        <f>ROUND(HLOOKUP($G$2,bs!$C$1:$AB$110,MATCH(TRIM(B72),TRIM(bs!$B$1:$B$110),0),FALSE),0)/IF(ISNUMBER(SEARCH("亿",$B$1)),100000000,IF(ISNUMBER(SEARCH("万",$B$1)),10000,1))</f>
        <v>#VALUE!</v>
      </c>
      <c r="H72" s="101" t="e">
        <f t="shared" si="10"/>
        <v>#VALUE!</v>
      </c>
      <c r="I72" s="102" t="e">
        <f>ROUND(HLOOKUP($I$2,bs!$C$1:$AB$110,MATCH(TRIM(B72),TRIM(bs!$B$1:$B$110),0),FALSE),0)/IF(ISNUMBER(SEARCH("亿",$B$1)),100000000,IF(ISNUMBER(SEARCH("万",$B$1)),10000,1))</f>
        <v>#VALUE!</v>
      </c>
      <c r="J72" s="101" t="e">
        <f t="shared" si="11"/>
        <v>#VALUE!</v>
      </c>
      <c r="L72" s="103" t="e">
        <f t="shared" si="12"/>
        <v>#VALUE!</v>
      </c>
      <c r="M72" s="103" t="str">
        <f t="shared" si="13"/>
        <v>  专项应付款 </v>
      </c>
      <c r="N72" t="e">
        <f t="shared" si="15"/>
        <v>#VALUE!</v>
      </c>
    </row>
    <row r="73" spans="2:16">
      <c r="B73" s="99" t="s">
        <v>600</v>
      </c>
      <c r="C73" s="100" t="e">
        <f>ROUND(HLOOKUP($C$2,bs!$C$1:$AB$110,MATCH(TRIM(B73),TRIM(bs!$B$1:$B$110),0),FALSE),0)/IF(ISNUMBER(SEARCH("亿",$B$1)),100000000,IF(ISNUMBER(SEARCH("万",$B$1)),10000,1))</f>
        <v>#VALUE!</v>
      </c>
      <c r="D73" s="101" t="e">
        <f t="shared" si="8"/>
        <v>#VALUE!</v>
      </c>
      <c r="E73" s="100" t="e">
        <f>ROUND(HLOOKUP($E$2,bs!$C$1:$AB$110,MATCH(TRIM(B73),TRIM(bs!$B$1:$B$110),0),FALSE),0)/IF(ISNUMBER(SEARCH("亿",$B$1)),100000000,IF(ISNUMBER(SEARCH("万",$B$1)),10000,1))</f>
        <v>#VALUE!</v>
      </c>
      <c r="F73" s="101" t="e">
        <f t="shared" si="9"/>
        <v>#VALUE!</v>
      </c>
      <c r="G73" s="102" t="e">
        <f>ROUND(HLOOKUP($G$2,bs!$C$1:$AB$110,MATCH(TRIM(B73),TRIM(bs!$B$1:$B$110),0),FALSE),0)/IF(ISNUMBER(SEARCH("亿",$B$1)),100000000,IF(ISNUMBER(SEARCH("万",$B$1)),10000,1))</f>
        <v>#VALUE!</v>
      </c>
      <c r="H73" s="101" t="e">
        <f t="shared" si="10"/>
        <v>#VALUE!</v>
      </c>
      <c r="I73" s="102" t="e">
        <f>ROUND(HLOOKUP($I$2,bs!$C$1:$AB$110,MATCH(TRIM(B73),TRIM(bs!$B$1:$B$110),0),FALSE),0)/IF(ISNUMBER(SEARCH("亿",$B$1)),100000000,IF(ISNUMBER(SEARCH("万",$B$1)),10000,1))</f>
        <v>#VALUE!</v>
      </c>
      <c r="J73" s="101" t="e">
        <f t="shared" si="11"/>
        <v>#VALUE!</v>
      </c>
      <c r="L73" s="103" t="e">
        <f t="shared" si="12"/>
        <v>#VALUE!</v>
      </c>
      <c r="M73" s="103" t="str">
        <f t="shared" si="13"/>
        <v>长期应付款</v>
      </c>
      <c r="N73" t="e">
        <f t="shared" si="15"/>
        <v>#VALUE!</v>
      </c>
      <c r="P73">
        <v>0</v>
      </c>
    </row>
    <row r="74" spans="2:16">
      <c r="B74" s="99" t="s">
        <v>379</v>
      </c>
      <c r="C74" s="100" t="e">
        <f>ROUND(HLOOKUP($C$2,bs!$C$1:$AB$110,MATCH(TRIM(B74),TRIM(bs!$B$1:$B$110),0),FALSE),0)/IF(ISNUMBER(SEARCH("亿",$B$1)),100000000,IF(ISNUMBER(SEARCH("万",$B$1)),10000,1))</f>
        <v>#VALUE!</v>
      </c>
      <c r="D74" s="101" t="e">
        <f t="shared" si="8"/>
        <v>#VALUE!</v>
      </c>
      <c r="E74" s="100" t="e">
        <f>ROUND(HLOOKUP($E$2,bs!$C$1:$AB$110,MATCH(TRIM(B74),TRIM(bs!$B$1:$B$110),0),FALSE),0)/IF(ISNUMBER(SEARCH("亿",$B$1)),100000000,IF(ISNUMBER(SEARCH("万",$B$1)),10000,1))</f>
        <v>#VALUE!</v>
      </c>
      <c r="F74" s="101" t="e">
        <f t="shared" si="9"/>
        <v>#VALUE!</v>
      </c>
      <c r="G74" s="102" t="e">
        <f>ROUND(HLOOKUP($G$2,bs!$C$1:$AB$110,MATCH(TRIM(B74),TRIM(bs!$B$1:$B$110),0),FALSE),0)/IF(ISNUMBER(SEARCH("亿",$B$1)),100000000,IF(ISNUMBER(SEARCH("万",$B$1)),10000,1))</f>
        <v>#VALUE!</v>
      </c>
      <c r="H74" s="101" t="e">
        <f t="shared" si="10"/>
        <v>#VALUE!</v>
      </c>
      <c r="I74" s="102" t="e">
        <f>ROUND(HLOOKUP($I$2,bs!$C$1:$AB$110,MATCH(TRIM(B74),TRIM(bs!$B$1:$B$110),0),FALSE),0)/IF(ISNUMBER(SEARCH("亿",$B$1)),100000000,IF(ISNUMBER(SEARCH("万",$B$1)),10000,1))</f>
        <v>#VALUE!</v>
      </c>
      <c r="J74" s="101" t="e">
        <f t="shared" si="11"/>
        <v>#VALUE!</v>
      </c>
      <c r="L74" s="103" t="e">
        <f t="shared" si="12"/>
        <v>#VALUE!</v>
      </c>
      <c r="M74" s="103" t="str">
        <f t="shared" si="13"/>
        <v>  长期应付职工薪酬</v>
      </c>
      <c r="N74" t="e">
        <f t="shared" si="15"/>
        <v>#VALUE!</v>
      </c>
    </row>
    <row r="75" spans="2:16">
      <c r="B75" s="99" t="s">
        <v>658</v>
      </c>
      <c r="C75" s="100" t="e">
        <f>ROUND(HLOOKUP($C$2,bs!$C$1:$AB$110,MATCH(TRIM(B75),TRIM(bs!$B$1:$B$110),0),FALSE),0)/IF(ISNUMBER(SEARCH("亿",$B$1)),100000000,IF(ISNUMBER(SEARCH("万",$B$1)),10000,1))</f>
        <v>#VALUE!</v>
      </c>
      <c r="D75" s="101" t="e">
        <f t="shared" si="8"/>
        <v>#VALUE!</v>
      </c>
      <c r="E75" s="100" t="e">
        <f>ROUND(HLOOKUP($E$2,bs!$C$1:$AB$110,MATCH(TRIM(B75),TRIM(bs!$B$1:$B$110),0),FALSE),0)/IF(ISNUMBER(SEARCH("亿",$B$1)),100000000,IF(ISNUMBER(SEARCH("万",$B$1)),10000,1))</f>
        <v>#VALUE!</v>
      </c>
      <c r="F75" s="101" t="e">
        <f t="shared" si="9"/>
        <v>#VALUE!</v>
      </c>
      <c r="G75" s="102" t="e">
        <f>ROUND(HLOOKUP($G$2,bs!$C$1:$AB$110,MATCH(TRIM(B75),TRIM(bs!$B$1:$B$110),0),FALSE),0)/IF(ISNUMBER(SEARCH("亿",$B$1)),100000000,IF(ISNUMBER(SEARCH("万",$B$1)),10000,1))</f>
        <v>#VALUE!</v>
      </c>
      <c r="H75" s="101" t="e">
        <f t="shared" si="10"/>
        <v>#VALUE!</v>
      </c>
      <c r="I75" s="102" t="e">
        <f>ROUND(HLOOKUP($I$2,bs!$C$1:$AB$110,MATCH(TRIM(B75),TRIM(bs!$B$1:$B$110),0),FALSE),0)/IF(ISNUMBER(SEARCH("亿",$B$1)),100000000,IF(ISNUMBER(SEARCH("万",$B$1)),10000,1))</f>
        <v>#VALUE!</v>
      </c>
      <c r="J75" s="101" t="e">
        <f t="shared" si="11"/>
        <v>#VALUE!</v>
      </c>
      <c r="L75" s="103" t="e">
        <f t="shared" si="12"/>
        <v>#VALUE!</v>
      </c>
      <c r="M75" s="103" t="str">
        <f t="shared" si="13"/>
        <v>预计负债</v>
      </c>
      <c r="N75" t="e">
        <f t="shared" si="15"/>
        <v>#VALUE!</v>
      </c>
      <c r="P75">
        <v>0</v>
      </c>
    </row>
    <row r="76" spans="2:16">
      <c r="B76" s="99" t="s">
        <v>659</v>
      </c>
      <c r="C76" s="100" t="e">
        <f>ROUND(HLOOKUP($C$2,bs!$C$1:$AB$110,MATCH(TRIM(B76),TRIM(bs!$B$1:$B$110),0),FALSE),0)/IF(ISNUMBER(SEARCH("亿",$B$1)),100000000,IF(ISNUMBER(SEARCH("万",$B$1)),10000,1))</f>
        <v>#VALUE!</v>
      </c>
      <c r="D76" s="101" t="e">
        <f t="shared" si="8"/>
        <v>#VALUE!</v>
      </c>
      <c r="E76" s="100" t="e">
        <f>ROUND(HLOOKUP($E$2,bs!$C$1:$AB$110,MATCH(TRIM(B76),TRIM(bs!$B$1:$B$110),0),FALSE),0)/IF(ISNUMBER(SEARCH("亿",$B$1)),100000000,IF(ISNUMBER(SEARCH("万",$B$1)),10000,1))</f>
        <v>#VALUE!</v>
      </c>
      <c r="F76" s="101" t="e">
        <f t="shared" si="9"/>
        <v>#VALUE!</v>
      </c>
      <c r="G76" s="102" t="e">
        <f>ROUND(HLOOKUP($G$2,bs!$C$1:$AB$110,MATCH(TRIM(B76),TRIM(bs!$B$1:$B$110),0),FALSE),0)/IF(ISNUMBER(SEARCH("亿",$B$1)),100000000,IF(ISNUMBER(SEARCH("万",$B$1)),10000,1))</f>
        <v>#VALUE!</v>
      </c>
      <c r="H76" s="101" t="e">
        <f t="shared" si="10"/>
        <v>#VALUE!</v>
      </c>
      <c r="I76" s="102" t="e">
        <f>ROUND(HLOOKUP($I$2,bs!$C$1:$AB$110,MATCH(TRIM(B76),TRIM(bs!$B$1:$B$110),0),FALSE),0)/IF(ISNUMBER(SEARCH("亿",$B$1)),100000000,IF(ISNUMBER(SEARCH("万",$B$1)),10000,1))</f>
        <v>#VALUE!</v>
      </c>
      <c r="J76" s="101" t="e">
        <f t="shared" si="11"/>
        <v>#VALUE!</v>
      </c>
      <c r="L76" s="103" t="e">
        <f t="shared" si="12"/>
        <v>#VALUE!</v>
      </c>
      <c r="M76" s="103" t="str">
        <f t="shared" si="13"/>
        <v>递延收益</v>
      </c>
      <c r="N76" t="e">
        <f t="shared" si="15"/>
        <v>#VALUE!</v>
      </c>
      <c r="P76">
        <v>0</v>
      </c>
    </row>
    <row r="77" spans="2:16">
      <c r="B77" s="99" t="s">
        <v>382</v>
      </c>
      <c r="C77" s="100" t="e">
        <f>ROUND(HLOOKUP($C$2,bs!$C$1:$AB$110,MATCH(TRIM(B77),TRIM(bs!$B$1:$B$110),0),FALSE),0)/IF(ISNUMBER(SEARCH("亿",$B$1)),100000000,IF(ISNUMBER(SEARCH("万",$B$1)),10000,1))</f>
        <v>#VALUE!</v>
      </c>
      <c r="D77" s="101" t="e">
        <f t="shared" si="8"/>
        <v>#VALUE!</v>
      </c>
      <c r="E77" s="100" t="e">
        <f>ROUND(HLOOKUP($E$2,bs!$C$1:$AB$110,MATCH(TRIM(B77),TRIM(bs!$B$1:$B$110),0),FALSE),0)/IF(ISNUMBER(SEARCH("亿",$B$1)),100000000,IF(ISNUMBER(SEARCH("万",$B$1)),10000,1))</f>
        <v>#VALUE!</v>
      </c>
      <c r="F77" s="101" t="e">
        <f t="shared" si="9"/>
        <v>#VALUE!</v>
      </c>
      <c r="G77" s="102" t="e">
        <f>ROUND(HLOOKUP($G$2,bs!$C$1:$AB$110,MATCH(TRIM(B77),TRIM(bs!$B$1:$B$110),0),FALSE),0)/IF(ISNUMBER(SEARCH("亿",$B$1)),100000000,IF(ISNUMBER(SEARCH("万",$B$1)),10000,1))</f>
        <v>#VALUE!</v>
      </c>
      <c r="H77" s="101" t="e">
        <f t="shared" si="10"/>
        <v>#VALUE!</v>
      </c>
      <c r="I77" s="102" t="e">
        <f>ROUND(HLOOKUP($I$2,bs!$C$1:$AB$110,MATCH(TRIM(B77),TRIM(bs!$B$1:$B$110),0),FALSE),0)/IF(ISNUMBER(SEARCH("亿",$B$1)),100000000,IF(ISNUMBER(SEARCH("万",$B$1)),10000,1))</f>
        <v>#VALUE!</v>
      </c>
      <c r="J77" s="101" t="e">
        <f t="shared" si="11"/>
        <v>#VALUE!</v>
      </c>
      <c r="L77" s="103" t="e">
        <f t="shared" si="12"/>
        <v>#VALUE!</v>
      </c>
      <c r="M77" s="103" t="str">
        <f t="shared" si="13"/>
        <v>  递延所得税负债 </v>
      </c>
      <c r="N77" t="e">
        <f t="shared" si="15"/>
        <v>#VALUE!</v>
      </c>
    </row>
    <row r="78" spans="2:16">
      <c r="B78" s="99" t="s">
        <v>383</v>
      </c>
      <c r="C78" s="100" t="e">
        <f>ROUND(HLOOKUP($C$2,bs!$C$1:$AB$110,MATCH(TRIM(B78),TRIM(bs!$B$1:$B$110),0),FALSE),0)/IF(ISNUMBER(SEARCH("亿",$B$1)),100000000,IF(ISNUMBER(SEARCH("万",$B$1)),10000,1))</f>
        <v>#VALUE!</v>
      </c>
      <c r="D78" s="101" t="e">
        <f t="shared" si="8"/>
        <v>#VALUE!</v>
      </c>
      <c r="E78" s="100" t="e">
        <f>ROUND(HLOOKUP($E$2,bs!$C$1:$AB$110,MATCH(TRIM(B78),TRIM(bs!$B$1:$B$110),0),FALSE),0)/IF(ISNUMBER(SEARCH("亿",$B$1)),100000000,IF(ISNUMBER(SEARCH("万",$B$1)),10000,1))</f>
        <v>#VALUE!</v>
      </c>
      <c r="F78" s="101" t="e">
        <f t="shared" si="9"/>
        <v>#VALUE!</v>
      </c>
      <c r="G78" s="102" t="e">
        <f>ROUND(HLOOKUP($G$2,bs!$C$1:$AB$110,MATCH(TRIM(B78),TRIM(bs!$B$1:$B$110),0),FALSE),0)/IF(ISNUMBER(SEARCH("亿",$B$1)),100000000,IF(ISNUMBER(SEARCH("万",$B$1)),10000,1))</f>
        <v>#VALUE!</v>
      </c>
      <c r="H78" s="101" t="e">
        <f t="shared" si="10"/>
        <v>#VALUE!</v>
      </c>
      <c r="I78" s="102" t="e">
        <f>ROUND(HLOOKUP($I$2,bs!$C$1:$AB$110,MATCH(TRIM(B78),TRIM(bs!$B$1:$B$110),0),FALSE),0)/IF(ISNUMBER(SEARCH("亿",$B$1)),100000000,IF(ISNUMBER(SEARCH("万",$B$1)),10000,1))</f>
        <v>#VALUE!</v>
      </c>
      <c r="J78" s="101" t="e">
        <f t="shared" si="11"/>
        <v>#VALUE!</v>
      </c>
      <c r="L78" s="103" t="e">
        <f t="shared" si="12"/>
        <v>#VALUE!</v>
      </c>
      <c r="M78" s="103" t="str">
        <f t="shared" si="13"/>
        <v>  其他非流动负债 </v>
      </c>
      <c r="N78" t="e">
        <f t="shared" si="15"/>
        <v>#VALUE!</v>
      </c>
    </row>
    <row r="79" spans="2:16">
      <c r="B79" s="104" t="s">
        <v>536</v>
      </c>
      <c r="C79" s="100" t="e">
        <f>ROUND(HLOOKUP($C$2,bs!$C$1:$AB$110,MATCH(TRIM(B79),TRIM(bs!$B$1:$B$110),0),FALSE),0)/IF(ISNUMBER(SEARCH("亿",$B$1)),100000000,IF(ISNUMBER(SEARCH("万",$B$1)),10000,1))</f>
        <v>#VALUE!</v>
      </c>
      <c r="D79" s="105" t="e">
        <f t="shared" si="8"/>
        <v>#VALUE!</v>
      </c>
      <c r="E79" s="100" t="e">
        <f>ROUND(HLOOKUP($E$2,bs!$C$1:$AB$110,MATCH(TRIM(B79),TRIM(bs!$B$1:$B$110),0),FALSE),0)/IF(ISNUMBER(SEARCH("亿",$B$1)),100000000,IF(ISNUMBER(SEARCH("万",$B$1)),10000,1))</f>
        <v>#VALUE!</v>
      </c>
      <c r="F79" s="105" t="e">
        <f t="shared" si="9"/>
        <v>#VALUE!</v>
      </c>
      <c r="G79" s="102" t="e">
        <f>ROUND(HLOOKUP($G$2,bs!$C$1:$AB$110,MATCH(TRIM(B79),TRIM(bs!$B$1:$B$110),0),FALSE),0)/IF(ISNUMBER(SEARCH("亿",$B$1)),100000000,IF(ISNUMBER(SEARCH("万",$B$1)),10000,1))</f>
        <v>#VALUE!</v>
      </c>
      <c r="H79" s="105" t="e">
        <f t="shared" si="10"/>
        <v>#VALUE!</v>
      </c>
      <c r="I79" s="102" t="e">
        <f>ROUND(HLOOKUP($I$2,bs!$C$1:$AB$110,MATCH(TRIM(B79),TRIM(bs!$B$1:$B$110),0),FALSE),0)/IF(ISNUMBER(SEARCH("亿",$B$1)),100000000,IF(ISNUMBER(SEARCH("万",$B$1)),10000,1))</f>
        <v>#VALUE!</v>
      </c>
      <c r="J79" s="105" t="e">
        <f t="shared" si="11"/>
        <v>#VALUE!</v>
      </c>
      <c r="L79" s="103" t="e">
        <f t="shared" si="12"/>
        <v>#VALUE!</v>
      </c>
      <c r="M79" s="103" t="str">
        <f t="shared" si="13"/>
        <v>非流动负债合计</v>
      </c>
      <c r="O79" t="e">
        <f>CONCATENATE($N$2,N1,B79,"分别为",TEXT(I79,"#,##0.00"),"万元、",TEXT(G79,"#,##0.00"),"万元、",TEXT(E79,"#,##0.00"),"万元及",TEXT(C79,"#,##0.00"),"万元，","占总负债的比重分别为",TEXT(J79,"0.00%"),"、",TEXT(H79,"0.00%"),"、",TEXT(F79,"0.00%"),"和",TEXT(D79,"0.00%"),"。")</f>
        <v>#VALUE!</v>
      </c>
      <c r="P79">
        <v>0</v>
      </c>
    </row>
    <row r="80" spans="2:16">
      <c r="B80" s="104" t="s">
        <v>537</v>
      </c>
      <c r="C80" s="100" t="e">
        <f>ROUND(HLOOKUP($C$2,bs!$C$1:$AB$110,MATCH(TRIM(B80),TRIM(bs!$B$1:$B$110),0),FALSE),0)/IF(ISNUMBER(SEARCH("亿",$B$1)),100000000,IF(ISNUMBER(SEARCH("万",$B$1)),10000,1))</f>
        <v>#VALUE!</v>
      </c>
      <c r="D80" s="105" t="e">
        <f t="shared" si="8"/>
        <v>#VALUE!</v>
      </c>
      <c r="E80" s="100" t="e">
        <f>ROUND(HLOOKUP($E$2,bs!$C$1:$AB$110,MATCH(TRIM(B80),TRIM(bs!$B$1:$B$110),0),FALSE),0)/IF(ISNUMBER(SEARCH("亿",$B$1)),100000000,IF(ISNUMBER(SEARCH("万",$B$1)),10000,1))</f>
        <v>#VALUE!</v>
      </c>
      <c r="F80" s="105" t="e">
        <f t="shared" si="9"/>
        <v>#VALUE!</v>
      </c>
      <c r="G80" s="102" t="e">
        <f>ROUND(HLOOKUP($G$2,bs!$C$1:$AB$110,MATCH(TRIM(B80),TRIM(bs!$B$1:$B$110),0),FALSE),0)/IF(ISNUMBER(SEARCH("亿",$B$1)),100000000,IF(ISNUMBER(SEARCH("万",$B$1)),10000,1))</f>
        <v>#VALUE!</v>
      </c>
      <c r="H80" s="105" t="e">
        <f t="shared" si="10"/>
        <v>#VALUE!</v>
      </c>
      <c r="I80" s="102" t="e">
        <f>ROUND(HLOOKUP($I$2,bs!$C$1:$AB$110,MATCH(TRIM(B80),TRIM(bs!$B$1:$B$110),0),FALSE),0)/IF(ISNUMBER(SEARCH("亿",$B$1)),100000000,IF(ISNUMBER(SEARCH("万",$B$1)),10000,1))</f>
        <v>#VALUE!</v>
      </c>
      <c r="J80" s="105" t="e">
        <f t="shared" si="11"/>
        <v>#VALUE!</v>
      </c>
      <c r="K80" s="20" t="s">
        <v>660</v>
      </c>
      <c r="L80" s="103" t="e">
        <f t="shared" si="12"/>
        <v>#VALUE!</v>
      </c>
      <c r="M80" s="111" t="s">
        <v>602</v>
      </c>
      <c r="O80" t="e">
        <f>CONCATENATE($N$2,$N$1,M80,"分别为",TEXT(I80,"#,##0.00"),"万元、",TEXT(G80,"#,##0.00"),"万元、",TEXT(E80,"#,##0.00"),"万元及",TEXT(C80,"#,##0.00"),"万元。")</f>
        <v>#VALUE!</v>
      </c>
      <c r="P80">
        <v>0</v>
      </c>
    </row>
    <row r="81" spans="2:16">
      <c r="B81" s="107"/>
      <c r="C81" s="108"/>
      <c r="D81" s="109"/>
      <c r="E81" s="108"/>
      <c r="F81" s="109"/>
      <c r="G81" s="110"/>
      <c r="H81" s="109"/>
      <c r="I81" s="110" t="str">
        <f>B1</f>
        <v>单位：万元</v>
      </c>
      <c r="J81" s="109"/>
      <c r="L81" s="103"/>
      <c r="M81" s="103"/>
      <c r="P81">
        <v>0</v>
      </c>
    </row>
    <row r="82" spans="2:16">
      <c r="B82" s="104" t="s">
        <v>527</v>
      </c>
      <c r="C82" s="96">
        <f>C2</f>
        <v>45930</v>
      </c>
      <c r="D82" s="3"/>
      <c r="E82" s="96">
        <f>E2</f>
        <v>45657</v>
      </c>
      <c r="F82" s="3"/>
      <c r="G82" s="96">
        <f>G2</f>
        <v>45291</v>
      </c>
      <c r="H82" s="3"/>
      <c r="I82" s="96">
        <f>I2</f>
        <v>44926</v>
      </c>
      <c r="J82" s="3"/>
      <c r="L82" s="103"/>
      <c r="M82" s="103"/>
      <c r="P82">
        <v>0</v>
      </c>
    </row>
    <row r="83" spans="2:16">
      <c r="B83" s="57"/>
      <c r="C83" s="98" t="s">
        <v>622</v>
      </c>
      <c r="D83" s="98" t="s">
        <v>623</v>
      </c>
      <c r="E83" s="98" t="s">
        <v>622</v>
      </c>
      <c r="F83" s="98" t="s">
        <v>623</v>
      </c>
      <c r="G83" s="98" t="s">
        <v>622</v>
      </c>
      <c r="H83" s="98" t="s">
        <v>623</v>
      </c>
      <c r="I83" s="98" t="s">
        <v>622</v>
      </c>
      <c r="J83" s="98" t="s">
        <v>623</v>
      </c>
      <c r="L83" s="103"/>
      <c r="M83" s="103"/>
      <c r="P83">
        <v>0</v>
      </c>
    </row>
    <row r="84" spans="2:16">
      <c r="B84" s="99" t="s">
        <v>661</v>
      </c>
      <c r="C84" s="112">
        <f t="array" ref="C84">ROUND(HLOOKUP($C$2,bs!$C$1:$AB$110,MATCH(TRIM(B84),TRIM(bs!$B$1:$B$110),0),FALSE),0)/IF(ISNUMBER(SEARCH("亿",$B$1)),100000000,IF(ISNUMBER(SEARCH("万",$B$1)),10000,1))</f>
        <v>0</v>
      </c>
      <c r="D84" s="101" t="e">
        <f t="shared" ref="D84:D92" si="16">C84/$C$92</f>
        <v>#DIV/0!</v>
      </c>
      <c r="E84" s="100" t="e">
        <f t="array" ref="E84">ROUND(HLOOKUP($E$2,bs!$C$1:$AB$110,MATCH(TRIM(B84),TRIM(bs!$B$1:$B$110),0),FALSE),0)/IF(ISNUMBER(SEARCH("亿",$B$1)),100000000,IF(ISNUMBER(SEARCH("万",$B$1)),10000,1))</f>
        <v>#N/A</v>
      </c>
      <c r="F84" s="101" t="e">
        <f t="shared" ref="F84:F92" si="17">E84/$E$92</f>
        <v>#N/A</v>
      </c>
      <c r="G84" s="102" t="e">
        <f t="array" ref="G84">ROUND(HLOOKUP($G$2,bs!$C$1:$AB$110,MATCH(TRIM(B84),TRIM(bs!$B$1:$B$110),0),FALSE),0)/IF(ISNUMBER(SEARCH("亿",$B$1)),100000000,IF(ISNUMBER(SEARCH("万",$B$1)),10000,1))</f>
        <v>#N/A</v>
      </c>
      <c r="H84" s="101" t="e">
        <f t="shared" ref="H84:H92" si="18">G84/$G$92</f>
        <v>#N/A</v>
      </c>
      <c r="I84" s="102" t="e">
        <f t="array" ref="I84">ROUND(HLOOKUP($I$2,bs!$C$1:$AB$110,MATCH(TRIM(B84),TRIM(bs!$B$1:$B$110),0),FALSE),0)/IF(ISNUMBER(SEARCH("亿",$B$1)),100000000,IF(ISNUMBER(SEARCH("万",$B$1)),10000,1))</f>
        <v>#N/A</v>
      </c>
      <c r="J84" s="101" t="e">
        <f t="shared" ref="J84:J92" si="19">I84/$I$92</f>
        <v>#N/A</v>
      </c>
      <c r="L84" s="103" t="e">
        <f t="shared" ref="L84:L92" si="20">D84+F84+H84+J84</f>
        <v>#DIV/0!</v>
      </c>
      <c r="M84" s="103" t="str">
        <f t="shared" ref="M84:M91" si="21">B84</f>
        <v>实收资本（或股本）</v>
      </c>
      <c r="N84" t="e">
        <f t="shared" ref="N84:N91" si="22">CONCATENATE(M84,":",$N$2,$N$1,B84,"分别为",TEXT(I84,"#,##0.00"),"万元、",TEXT(G84,"#,##0.00"),"万元、",TEXT(E84,"#,##0.00"),"万元及",TEXT(C84,"#,##0.00"),"万元，","占净资产的比重分别为",TEXT(J84,"0.00%"),"、",TEXT(H84,"0.00%"),"、",TEXT(F84,"0.00%"),"和",TEXT(D84,"0.00%"),"。")</f>
        <v>#N/A</v>
      </c>
      <c r="P84">
        <v>0</v>
      </c>
    </row>
    <row r="85" spans="2:16">
      <c r="B85" s="99" t="s">
        <v>662</v>
      </c>
      <c r="C85" s="112">
        <f t="array" ref="C85">ROUND(HLOOKUP($C$2,bs!$C$1:$AB$110,MATCH(TRIM(B85),TRIM(bs!$B$1:$B$110),0),FALSE),0)/IF(ISNUMBER(SEARCH("亿",$B$1)),100000000,IF(ISNUMBER(SEARCH("万",$B$1)),10000,1))</f>
        <v>0</v>
      </c>
      <c r="D85" s="101" t="e">
        <f t="shared" si="16"/>
        <v>#DIV/0!</v>
      </c>
      <c r="E85" s="100" t="e">
        <f t="array" ref="E85">ROUND(HLOOKUP($E$2,bs!$C$1:$AB$110,MATCH(TRIM(B85),TRIM(bs!$B$1:$B$110),0),FALSE),0)/IF(ISNUMBER(SEARCH("亿",$B$1)),100000000,IF(ISNUMBER(SEARCH("万",$B$1)),10000,1))</f>
        <v>#N/A</v>
      </c>
      <c r="F85" s="101" t="e">
        <f t="shared" si="17"/>
        <v>#N/A</v>
      </c>
      <c r="G85" s="102" t="e">
        <f t="array" ref="G85">ROUND(HLOOKUP($G$2,bs!$C$1:$AB$110,MATCH(TRIM(B85),TRIM(bs!$B$1:$B$110),0),FALSE),0)/IF(ISNUMBER(SEARCH("亿",$B$1)),100000000,IF(ISNUMBER(SEARCH("万",$B$1)),10000,1))</f>
        <v>#N/A</v>
      </c>
      <c r="H85" s="101" t="e">
        <f t="shared" si="18"/>
        <v>#N/A</v>
      </c>
      <c r="I85" s="102" t="e">
        <f t="array" ref="I85">ROUND(HLOOKUP($I$2,bs!$C$1:$AB$110,MATCH(TRIM(B85),TRIM(bs!$B$1:$B$110),0),FALSE),0)/IF(ISNUMBER(SEARCH("亿",$B$1)),100000000,IF(ISNUMBER(SEARCH("万",$B$1)),10000,1))</f>
        <v>#N/A</v>
      </c>
      <c r="J85" s="101" t="e">
        <f t="shared" si="19"/>
        <v>#N/A</v>
      </c>
      <c r="L85" s="103" t="e">
        <f t="shared" si="20"/>
        <v>#DIV/0!</v>
      </c>
      <c r="M85" s="103" t="str">
        <f t="shared" si="21"/>
        <v>其他权益工具</v>
      </c>
      <c r="N85" t="e">
        <f t="shared" si="22"/>
        <v>#N/A</v>
      </c>
    </row>
    <row r="86" spans="2:16">
      <c r="B86" s="99" t="s">
        <v>663</v>
      </c>
      <c r="C86" s="112">
        <f t="array" ref="C86">ROUND(HLOOKUP($C$2,bs!$C$1:$AB$110,MATCH(TRIM(B86),TRIM(bs!$B$1:$B$110),0),FALSE),0)/IF(ISNUMBER(SEARCH("亿",$B$1)),100000000,IF(ISNUMBER(SEARCH("万",$B$1)),10000,1))</f>
        <v>0</v>
      </c>
      <c r="D86" s="101" t="e">
        <f t="shared" si="16"/>
        <v>#DIV/0!</v>
      </c>
      <c r="E86" s="100" t="e">
        <f t="array" ref="E86">ROUND(HLOOKUP($E$2,bs!$C$1:$AB$110,MATCH(TRIM(B86),TRIM(bs!$B$1:$B$110),0),FALSE),0)/IF(ISNUMBER(SEARCH("亿",$B$1)),100000000,IF(ISNUMBER(SEARCH("万",$B$1)),10000,1))</f>
        <v>#N/A</v>
      </c>
      <c r="F86" s="101" t="e">
        <f t="shared" si="17"/>
        <v>#N/A</v>
      </c>
      <c r="G86" s="102" t="e">
        <f t="array" ref="G86">ROUND(HLOOKUP($G$2,bs!$C$1:$AB$110,MATCH(TRIM(B86),TRIM(bs!$B$1:$B$110),0),FALSE),0)/IF(ISNUMBER(SEARCH("亿",$B$1)),100000000,IF(ISNUMBER(SEARCH("万",$B$1)),10000,1))</f>
        <v>#N/A</v>
      </c>
      <c r="H86" s="101" t="e">
        <f t="shared" si="18"/>
        <v>#N/A</v>
      </c>
      <c r="I86" s="102" t="e">
        <f t="array" ref="I86">ROUND(HLOOKUP($I$2,bs!$C$1:$AB$110,MATCH(TRIM(B86),TRIM(bs!$B$1:$B$110),0),FALSE),0)/IF(ISNUMBER(SEARCH("亿",$B$1)),100000000,IF(ISNUMBER(SEARCH("万",$B$1)),10000,1))</f>
        <v>#N/A</v>
      </c>
      <c r="J86" s="101" t="e">
        <f t="shared" si="19"/>
        <v>#N/A</v>
      </c>
      <c r="L86" s="103" t="e">
        <f t="shared" si="20"/>
        <v>#DIV/0!</v>
      </c>
      <c r="M86" s="103" t="str">
        <f t="shared" si="21"/>
        <v>资本公积</v>
      </c>
      <c r="N86" t="e">
        <f t="shared" si="22"/>
        <v>#N/A</v>
      </c>
      <c r="P86">
        <v>0</v>
      </c>
    </row>
    <row r="87" spans="2:16">
      <c r="B87" s="99" t="s">
        <v>391</v>
      </c>
      <c r="C87" s="112">
        <f t="array" ref="C87">ROUND(HLOOKUP($C$2,bs!$C$1:$AB$110,MATCH(TRIM(B87),TRIM(bs!$B$1:$B$110),0),FALSE),0)/IF(ISNUMBER(SEARCH("亿",$B$1)),100000000,IF(ISNUMBER(SEARCH("万",$B$1)),10000,1))</f>
        <v>0</v>
      </c>
      <c r="D87" s="101" t="e">
        <f t="shared" si="16"/>
        <v>#DIV/0!</v>
      </c>
      <c r="E87" s="100" t="e">
        <f t="array" ref="E87">ROUND(HLOOKUP($E$2,bs!$C$1:$AB$110,MATCH(TRIM(B87),TRIM(bs!$B$1:$B$110),0),FALSE),0)/IF(ISNUMBER(SEARCH("亿",$B$1)),100000000,IF(ISNUMBER(SEARCH("万",$B$1)),10000,1))</f>
        <v>#N/A</v>
      </c>
      <c r="F87" s="101" t="e">
        <f t="shared" si="17"/>
        <v>#N/A</v>
      </c>
      <c r="G87" s="102" t="e">
        <f t="array" ref="G87">ROUND(HLOOKUP($G$2,bs!$C$1:$AB$110,MATCH(TRIM(B87),TRIM(bs!$B$1:$B$110),0),FALSE),0)/IF(ISNUMBER(SEARCH("亿",$B$1)),100000000,IF(ISNUMBER(SEARCH("万",$B$1)),10000,1))</f>
        <v>#N/A</v>
      </c>
      <c r="H87" s="101" t="e">
        <f t="shared" si="18"/>
        <v>#N/A</v>
      </c>
      <c r="I87" s="102" t="e">
        <f t="array" ref="I87">ROUND(HLOOKUP($I$2,bs!$C$1:$AB$110,MATCH(TRIM(B87),TRIM(bs!$B$1:$B$110),0),FALSE),0)/IF(ISNUMBER(SEARCH("亿",$B$1)),100000000,IF(ISNUMBER(SEARCH("万",$B$1)),10000,1))</f>
        <v>#N/A</v>
      </c>
      <c r="J87" s="101" t="e">
        <f t="shared" si="19"/>
        <v>#N/A</v>
      </c>
      <c r="L87" s="103" t="e">
        <f t="shared" si="20"/>
        <v>#DIV/0!</v>
      </c>
      <c r="M87" s="103" t="str">
        <f t="shared" si="21"/>
        <v>  其他综合收益 </v>
      </c>
      <c r="N87" t="e">
        <f t="shared" si="22"/>
        <v>#N/A</v>
      </c>
    </row>
    <row r="88" spans="2:16">
      <c r="B88" s="99" t="s">
        <v>664</v>
      </c>
      <c r="C88" s="112">
        <f t="array" ref="C88">ROUND(HLOOKUP($C$2,bs!$C$1:$AB$110,MATCH(TRIM(B88),TRIM(bs!$B$1:$B$110),0),FALSE),0)/IF(ISNUMBER(SEARCH("亿",$B$1)),100000000,IF(ISNUMBER(SEARCH("万",$B$1)),10000,1))</f>
        <v>0</v>
      </c>
      <c r="D88" s="101" t="e">
        <f t="shared" si="16"/>
        <v>#DIV/0!</v>
      </c>
      <c r="E88" s="100" t="e">
        <f t="array" ref="E88">ROUND(HLOOKUP($E$2,bs!$C$1:$AB$110,MATCH(TRIM(B88),TRIM(bs!$B$1:$B$110),0),FALSE),0)/IF(ISNUMBER(SEARCH("亿",$B$1)),100000000,IF(ISNUMBER(SEARCH("万",$B$1)),10000,1))</f>
        <v>#N/A</v>
      </c>
      <c r="F88" s="101" t="e">
        <f t="shared" si="17"/>
        <v>#N/A</v>
      </c>
      <c r="G88" s="102" t="e">
        <f t="array" ref="G88">ROUND(HLOOKUP($G$2,bs!$C$1:$AB$110,MATCH(TRIM(B88),TRIM(bs!$B$1:$B$110),0),FALSE),0)/IF(ISNUMBER(SEARCH("亿",$B$1)),100000000,IF(ISNUMBER(SEARCH("万",$B$1)),10000,1))</f>
        <v>#N/A</v>
      </c>
      <c r="H88" s="101" t="e">
        <f t="shared" si="18"/>
        <v>#N/A</v>
      </c>
      <c r="I88" s="102" t="e">
        <f t="array" ref="I88">ROUND(HLOOKUP($I$2,bs!$C$1:$AB$110,MATCH(TRIM(B88),TRIM(bs!$B$1:$B$110),0),FALSE),0)/IF(ISNUMBER(SEARCH("亿",$B$1)),100000000,IF(ISNUMBER(SEARCH("万",$B$1)),10000,1))</f>
        <v>#N/A</v>
      </c>
      <c r="J88" s="101" t="e">
        <f t="shared" si="19"/>
        <v>#N/A</v>
      </c>
      <c r="L88" s="103" t="e">
        <f t="shared" si="20"/>
        <v>#DIV/0!</v>
      </c>
      <c r="M88" s="103" t="str">
        <f t="shared" si="21"/>
        <v>盈余公积</v>
      </c>
      <c r="N88" t="e">
        <f t="shared" si="22"/>
        <v>#N/A</v>
      </c>
      <c r="P88">
        <v>0</v>
      </c>
    </row>
    <row r="89" spans="2:16">
      <c r="B89" s="99" t="s">
        <v>665</v>
      </c>
      <c r="C89" s="112">
        <f t="array" ref="C89">ROUND(HLOOKUP($C$2,bs!$C$1:$AB$110,MATCH(TRIM(B89),TRIM(bs!$B$1:$B$110),0),FALSE),0)/IF(ISNUMBER(SEARCH("亿",$B$1)),100000000,IF(ISNUMBER(SEARCH("万",$B$1)),10000,1))</f>
        <v>0</v>
      </c>
      <c r="D89" s="101" t="e">
        <f t="shared" si="16"/>
        <v>#DIV/0!</v>
      </c>
      <c r="E89" s="100" t="e">
        <f t="array" ref="E89">ROUND(HLOOKUP($E$2,bs!$C$1:$AB$110,MATCH(TRIM(B89),TRIM(bs!$B$1:$B$110),0),FALSE),0)/IF(ISNUMBER(SEARCH("亿",$B$1)),100000000,IF(ISNUMBER(SEARCH("万",$B$1)),10000,1))</f>
        <v>#N/A</v>
      </c>
      <c r="F89" s="101" t="e">
        <f t="shared" si="17"/>
        <v>#N/A</v>
      </c>
      <c r="G89" s="102" t="e">
        <f t="array" ref="G89">ROUND(HLOOKUP($G$2,bs!$C$1:$AB$110,MATCH(TRIM(B89),TRIM(bs!$B$1:$B$110),0),FALSE),0)/IF(ISNUMBER(SEARCH("亿",$B$1)),100000000,IF(ISNUMBER(SEARCH("万",$B$1)),10000,1))</f>
        <v>#N/A</v>
      </c>
      <c r="H89" s="101" t="e">
        <f t="shared" si="18"/>
        <v>#N/A</v>
      </c>
      <c r="I89" s="102" t="e">
        <f t="array" ref="I89">ROUND(HLOOKUP($I$2,bs!$C$1:$AB$110,MATCH(TRIM(B89),TRIM(bs!$B$1:$B$110),0),FALSE),0)/IF(ISNUMBER(SEARCH("亿",$B$1)),100000000,IF(ISNUMBER(SEARCH("万",$B$1)),10000,1))</f>
        <v>#N/A</v>
      </c>
      <c r="J89" s="101" t="e">
        <f t="shared" si="19"/>
        <v>#N/A</v>
      </c>
      <c r="L89" s="103" t="e">
        <f t="shared" si="20"/>
        <v>#DIV/0!</v>
      </c>
      <c r="M89" s="103" t="str">
        <f t="shared" si="21"/>
        <v>未分配利润</v>
      </c>
      <c r="N89" t="e">
        <f t="shared" si="22"/>
        <v>#N/A</v>
      </c>
      <c r="P89">
        <v>0</v>
      </c>
    </row>
    <row r="90" ht="41" customHeight="1" spans="2:16">
      <c r="B90" s="104" t="s">
        <v>396</v>
      </c>
      <c r="C90" s="112">
        <f t="array" ref="C90">ROUND(HLOOKUP($C$2,bs!$C$1:$AB$110,MATCH(TRIM(B90),TRIM(bs!$B$1:$B$110),0),FALSE),0)/IF(ISNUMBER(SEARCH("亿",$B$1)),100000000,IF(ISNUMBER(SEARCH("万",$B$1)),10000,1))</f>
        <v>0</v>
      </c>
      <c r="D90" s="105" t="e">
        <f t="shared" si="16"/>
        <v>#DIV/0!</v>
      </c>
      <c r="E90" s="100" t="e">
        <f t="array" ref="E90">ROUND(HLOOKUP($E$2,bs!$C$1:$AB$110,MATCH(TRIM(B90),TRIM(bs!$B$1:$B$110),0),FALSE),0)/IF(ISNUMBER(SEARCH("亿",$B$1)),100000000,IF(ISNUMBER(SEARCH("万",$B$1)),10000,1))</f>
        <v>#N/A</v>
      </c>
      <c r="F90" s="105" t="e">
        <f t="shared" si="17"/>
        <v>#N/A</v>
      </c>
      <c r="G90" s="102" t="e">
        <f t="array" ref="G90">ROUND(HLOOKUP($G$2,bs!$C$1:$AB$110,MATCH(TRIM(B90),TRIM(bs!$B$1:$B$110),0),FALSE),0)/IF(ISNUMBER(SEARCH("亿",$B$1)),100000000,IF(ISNUMBER(SEARCH("万",$B$1)),10000,1))</f>
        <v>#N/A</v>
      </c>
      <c r="H90" s="105" t="e">
        <f t="shared" si="18"/>
        <v>#N/A</v>
      </c>
      <c r="I90" s="102" t="e">
        <f t="array" ref="I90">ROUND(HLOOKUP($I$2,bs!$C$1:$AB$110,MATCH(TRIM(B90),TRIM(bs!$B$1:$B$110),0),FALSE),0)/IF(ISNUMBER(SEARCH("亿",$B$1)),100000000,IF(ISNUMBER(SEARCH("万",$B$1)),10000,1))</f>
        <v>#N/A</v>
      </c>
      <c r="J90" s="105" t="e">
        <f t="shared" si="19"/>
        <v>#N/A</v>
      </c>
      <c r="L90" s="103" t="e">
        <f t="shared" si="20"/>
        <v>#DIV/0!</v>
      </c>
      <c r="M90" s="103" t="str">
        <f t="shared" si="21"/>
        <v>归属于母公司所有者权益（或股东权益）合计</v>
      </c>
      <c r="N90" t="e">
        <f t="shared" si="22"/>
        <v>#N/A</v>
      </c>
      <c r="P90">
        <v>0</v>
      </c>
    </row>
    <row r="91" spans="2:16">
      <c r="B91" s="104" t="s">
        <v>666</v>
      </c>
      <c r="C91" s="112">
        <f t="array" ref="C91">ROUND(HLOOKUP($C$2,bs!$C$1:$AB$110,MATCH(TRIM(B91),TRIM(bs!$B$1:$B$110),0),FALSE),0)/IF(ISNUMBER(SEARCH("亿",$B$1)),100000000,IF(ISNUMBER(SEARCH("万",$B$1)),10000,1))</f>
        <v>0</v>
      </c>
      <c r="D91" s="101" t="e">
        <f t="shared" si="16"/>
        <v>#DIV/0!</v>
      </c>
      <c r="E91" s="100" t="e">
        <f t="array" ref="E91">ROUND(HLOOKUP($E$2,bs!$C$1:$AB$110,MATCH(TRIM(B91),TRIM(bs!$B$1:$B$110),0),FALSE),0)/IF(ISNUMBER(SEARCH("亿",$B$1)),100000000,IF(ISNUMBER(SEARCH("万",$B$1)),10000,1))</f>
        <v>#N/A</v>
      </c>
      <c r="F91" s="101" t="e">
        <f t="shared" si="17"/>
        <v>#N/A</v>
      </c>
      <c r="G91" s="102" t="e">
        <f t="array" ref="G91">ROUND(HLOOKUP($G$2,bs!$C$1:$AB$110,MATCH(TRIM(B91),TRIM(bs!$B$1:$B$110),0),FALSE),0)/IF(ISNUMBER(SEARCH("亿",$B$1)),100000000,IF(ISNUMBER(SEARCH("万",$B$1)),10000,1))</f>
        <v>#N/A</v>
      </c>
      <c r="H91" s="101" t="e">
        <f t="shared" si="18"/>
        <v>#N/A</v>
      </c>
      <c r="I91" s="102" t="e">
        <f t="array" ref="I91">ROUND(HLOOKUP($I$2,bs!$C$1:$AB$110,MATCH(TRIM(B91),TRIM(bs!$B$1:$B$110),0),FALSE),0)/IF(ISNUMBER(SEARCH("亿",$B$1)),100000000,IF(ISNUMBER(SEARCH("万",$B$1)),10000,1))</f>
        <v>#N/A</v>
      </c>
      <c r="J91" s="101" t="e">
        <f t="shared" si="19"/>
        <v>#N/A</v>
      </c>
      <c r="L91" s="103" t="e">
        <f t="shared" si="20"/>
        <v>#DIV/0!</v>
      </c>
      <c r="M91" s="103" t="str">
        <f t="shared" si="21"/>
        <v>少数股东权益</v>
      </c>
      <c r="N91" t="e">
        <f t="shared" si="22"/>
        <v>#N/A</v>
      </c>
      <c r="P91">
        <v>0</v>
      </c>
    </row>
    <row r="92" ht="28" customHeight="1" spans="2:16">
      <c r="B92" s="104" t="s">
        <v>667</v>
      </c>
      <c r="C92" s="112">
        <f t="array" ref="C92">ROUND(HLOOKUP($C$2,bs!$C$1:$AB$110,MATCH(TRIM(B92),TRIM(bs!$B$1:$B$110),0),FALSE),0)/IF(ISNUMBER(SEARCH("亿",$B$1)),100000000,IF(ISNUMBER(SEARCH("万",$B$1)),10000,1))</f>
        <v>0</v>
      </c>
      <c r="D92" s="105" t="e">
        <f t="shared" si="16"/>
        <v>#DIV/0!</v>
      </c>
      <c r="E92" s="100" t="e">
        <f t="array" ref="E92">ROUND(HLOOKUP($E$2,bs!$C$1:$AB$110,MATCH(TRIM(B92),TRIM(bs!$B$1:$B$110),0),FALSE),0)/IF(ISNUMBER(SEARCH("亿",$B$1)),100000000,IF(ISNUMBER(SEARCH("万",$B$1)),10000,1))</f>
        <v>#N/A</v>
      </c>
      <c r="F92" s="105" t="e">
        <f t="shared" si="17"/>
        <v>#N/A</v>
      </c>
      <c r="G92" s="102" t="e">
        <f t="array" ref="G92">ROUND(HLOOKUP($G$2,bs!$C$1:$AB$110,MATCH(TRIM(B92),TRIM(bs!$B$1:$B$110),0),FALSE),0)/IF(ISNUMBER(SEARCH("亿",$B$1)),100000000,IF(ISNUMBER(SEARCH("万",$B$1)),10000,1))</f>
        <v>#N/A</v>
      </c>
      <c r="H92" s="105" t="e">
        <f t="shared" si="18"/>
        <v>#N/A</v>
      </c>
      <c r="I92" s="102" t="e">
        <f t="array" ref="I92">ROUND(HLOOKUP($I$2,bs!$C$1:$AB$110,MATCH(TRIM(B92),TRIM(bs!$B$1:$B$110),0),FALSE),0)/IF(ISNUMBER(SEARCH("亿",$B$1)),100000000,IF(ISNUMBER(SEARCH("万",$B$1)),10000,1))</f>
        <v>#N/A</v>
      </c>
      <c r="J92" s="105" t="e">
        <f t="shared" si="19"/>
        <v>#N/A</v>
      </c>
      <c r="L92" s="103" t="e">
        <f t="shared" si="20"/>
        <v>#DIV/0!</v>
      </c>
      <c r="M92" s="113" t="s">
        <v>668</v>
      </c>
      <c r="O92" t="e">
        <f>CONCATENATE($N$2,$N$1,"净资产","分别为",TEXT(I92,"#,##0.00"),"万元、",TEXT(G92,"#,##0.00"),"万元、",TEXT(E92,"#,##0.00"),"万元及",TEXT(C92,"#,##0.00"),"万元。")</f>
        <v>#N/A</v>
      </c>
      <c r="P92">
        <v>0</v>
      </c>
    </row>
    <row r="94" spans="2:16">
      <c r="C94" s="91">
        <f>MATCH("*"&amp;B92&amp;"*",bs!$B$1:$B$110,)</f>
        <v>107</v>
      </c>
    </row>
    <row r="95" spans="2:16">
      <c r="B95" s="90" t="s">
        <v>669</v>
      </c>
    </row>
    <row r="96" spans="2:16">
      <c r="B96" s="90" t="s">
        <v>670</v>
      </c>
    </row>
    <row r="97" spans="2:2">
      <c r="B97" s="90" t="s">
        <v>671</v>
      </c>
    </row>
    <row r="98" spans="2:2">
      <c r="B98" s="90" t="s">
        <v>672</v>
      </c>
    </row>
  </sheetData>
  <autoFilter xmlns:etc="http://www.wps.cn/officeDocument/2017/etCustomData" ref="L3:L92" etc:filterBottomFollowUsedRange="0">
    <extLst/>
  </autoFilter>
  <mergeCells count="16">
    <mergeCell ref="B1:J1"/>
    <mergeCell ref="C2:D2"/>
    <mergeCell ref="E2:F2"/>
    <mergeCell ref="G2:H2"/>
    <mergeCell ref="I2:J2"/>
    <mergeCell ref="C47:D47"/>
    <mergeCell ref="E47:F47"/>
    <mergeCell ref="G47:H47"/>
    <mergeCell ref="I47:J47"/>
    <mergeCell ref="C82:D82"/>
    <mergeCell ref="E82:F82"/>
    <mergeCell ref="G82:H82"/>
    <mergeCell ref="I82:J82"/>
    <mergeCell ref="B2:B3"/>
    <mergeCell ref="B47:B48"/>
    <mergeCell ref="B82:B83"/>
  </mergeCells>
  <conditionalFormatting sqref="D4:D17 D22:D43">
    <cfRule type="top10" dxfId="0" priority="5" percent="1" rank="25"/>
    <cfRule type="top10" priority="6" percent="1" rank="50"/>
  </conditionalFormatting>
  <conditionalFormatting sqref="D4:D17 D22:D43 F4:F17 F22:F43 H4:H17 H28:H43 J4:J17 J22:J43">
    <cfRule type="cellIs" dxfId="0" priority="1" operator="greaterThan">
      <formula>0.02</formula>
    </cfRule>
  </conditionalFormatting>
  <conditionalFormatting sqref="F4:F17 F22:F43">
    <cfRule type="top10" dxfId="0" priority="4" percent="1" rank="20"/>
  </conditionalFormatting>
  <conditionalFormatting sqref="H4:H17 H19:H43">
    <cfRule type="cellIs" dxfId="0" priority="3" operator="greaterThan">
      <formula>0.05</formula>
    </cfRule>
  </conditionalFormatting>
  <conditionalFormatting sqref="J4:J17 J22:J43">
    <cfRule type="cellIs" dxfId="0" priority="2" operator="greaterThan">
      <formula>0.05</formula>
    </cfRule>
  </conditionalFormatting>
  <dataValidations count="1">
    <dataValidation type="list" allowBlank="1" showInputMessage="1" showErrorMessage="1" sqref="B1">
      <formula1>"单位：元,单位：万元,单位：亿元"</formula1>
    </dataValidation>
  </dataValidation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53"/>
  <sheetViews>
    <sheetView topLeftCell="D1" workbookViewId="0">
      <selection activeCell="H2" sqref="H2:H11"/>
    </sheetView>
  </sheetViews>
  <sheetFormatPr defaultColWidth="9" defaultRowHeight="15.2"/>
  <cols>
    <col min="1" max="1" width="36.2857142857143" customWidth="1"/>
    <col min="2" max="2" width="19.5714285714286" customWidth="1"/>
    <col min="3" max="3" width="17.2857142857143" customWidth="1"/>
    <col min="4" max="4" width="17.7142857142857" customWidth="1"/>
    <col min="5" max="5" width="17.2857142857143" customWidth="1"/>
    <col min="6" max="6" width="14.2857142857143" customWidth="1"/>
    <col min="7" max="7" width="26.7142857142857" customWidth="1"/>
    <col min="8" max="8" width="13.2857142857143" customWidth="1"/>
    <col min="9" max="9" width="13.5714285714286" customWidth="1"/>
    <col min="10" max="10" width="14.2857142857143" customWidth="1"/>
    <col min="11" max="11" width="13.5714285714286" customWidth="1"/>
  </cols>
  <sheetData>
    <row r="1" ht="17.6" customHeight="1" spans="1:13">
      <c r="A1" s="76" t="s">
        <v>527</v>
      </c>
      <c r="B1" s="77">
        <f>'财务分析（2022）版'!B3</f>
        <v>45930</v>
      </c>
      <c r="C1" s="77">
        <f>'财务分析（2022）版'!C3</f>
        <v>45657</v>
      </c>
      <c r="D1" s="77">
        <f>'财务分析（2022）版'!D3</f>
        <v>45291</v>
      </c>
      <c r="E1" s="78">
        <f>'财务分析（2022）版'!E3</f>
        <v>44926</v>
      </c>
      <c r="F1" t="s">
        <v>526</v>
      </c>
      <c r="G1" s="79" t="str">
        <f t="shared" ref="G1:G11" si="0">A1</f>
        <v>项目</v>
      </c>
      <c r="H1" s="80">
        <f>B1</f>
        <v>45930</v>
      </c>
      <c r="I1" s="80">
        <f>C1</f>
        <v>45657</v>
      </c>
      <c r="J1" s="80">
        <f>D1</f>
        <v>45291</v>
      </c>
      <c r="K1" s="81">
        <f>E1</f>
        <v>44926</v>
      </c>
    </row>
    <row r="2" ht="17.6" customHeight="1" spans="1:13">
      <c r="A2" s="76" t="s">
        <v>673</v>
      </c>
      <c r="B2" s="82">
        <f>B3-B4</f>
        <v>3208359167.36</v>
      </c>
      <c r="C2" s="82">
        <f>C3-C4</f>
        <v>41789324.79</v>
      </c>
      <c r="D2" s="82">
        <f>D3-D4</f>
        <v>49774014.9</v>
      </c>
      <c r="E2" s="82">
        <f>E3-E4</f>
        <v>123470334.88</v>
      </c>
      <c r="G2" s="79" t="str">
        <f t="shared" si="0"/>
        <v>经营活动现金流量净额</v>
      </c>
      <c r="H2" s="83">
        <f t="shared" ref="H2:H11" si="1">ROUND(B2,0)/IF(LEN($F$1)&gt;4,10000,1)</f>
        <v>320835.9167</v>
      </c>
      <c r="I2" s="83">
        <f t="shared" ref="I2:I11" si="2">ROUND(C2,0)/IF(LEN($F$1)&gt;4,10000,1)</f>
        <v>4178.9325</v>
      </c>
      <c r="J2" s="83">
        <f t="shared" ref="J2:J11" si="3">ROUND(D2,0)/IF(LEN($F$1)&gt;4,10000,1)</f>
        <v>4977.4015</v>
      </c>
      <c r="K2" s="83">
        <f t="shared" ref="K2:K11" si="4">ROUND(E2,0)/IF(LEN($F$1)&gt;4,10000,1)</f>
        <v>12347.0335</v>
      </c>
      <c r="M2" t="str">
        <f>CONCATENATE(资产负债权益结构分析!$N$2,资产负债权益结构分析!$N$1,G2,"分别为",ROUND(K2/10000,2),"亿元、",ROUND(J2/10000,2),"亿元、",ROUND(I2/10000,2),"亿元和",ROUND(H2/10000,2),"亿元。")</f>
        <v>2022年-2025年，拟承租人经营活动现金流量净额分别为1.23亿元、0.5亿元、0.42亿元和32.08亿元。</v>
      </c>
    </row>
    <row r="3" ht="17.6" customHeight="1" spans="1:13">
      <c r="A3" s="84" t="s">
        <v>674</v>
      </c>
      <c r="B3" s="85">
        <f>HLOOKUP(B1,cf!$C$1:$Z$57,MATCH("*"&amp;A3&amp;"*",cf!$B$1:$B$68,),FALSE)</f>
        <v>8383004394.68</v>
      </c>
      <c r="C3" s="85">
        <f>HLOOKUP(C1,cf!$C$1:$Z$57,MATCH("*"&amp;A3&amp;"*",cf!$B$1:$B$68,),FALSE)</f>
        <v>61387095.25</v>
      </c>
      <c r="D3" s="85">
        <f>HLOOKUP(D1,cf!$C$1:$Z$57,MATCH("*"&amp;A3&amp;"*",cf!$B$1:$B$68,),FALSE)</f>
        <v>68266898.16</v>
      </c>
      <c r="E3" s="85">
        <f>HLOOKUP(E1,cf!$C$1:$Z$57,MATCH("*"&amp;A3&amp;"*",cf!$B$1:$B$68,),FALSE)</f>
        <v>141528707.77</v>
      </c>
      <c r="G3" s="86" t="str">
        <f t="shared" si="0"/>
        <v>经营活动现金流入</v>
      </c>
      <c r="H3" s="87">
        <f t="shared" si="1"/>
        <v>838300.4395</v>
      </c>
      <c r="I3" s="87">
        <f t="shared" si="2"/>
        <v>6138.7095</v>
      </c>
      <c r="J3" s="87">
        <f t="shared" si="3"/>
        <v>6826.6898</v>
      </c>
      <c r="K3" s="87">
        <f t="shared" si="4"/>
        <v>14152.8708</v>
      </c>
      <c r="M3" t="str">
        <f>CONCATENATE(资产负债权益结构分析!$N$2,资产负债权益结构分析!$N$1,G3,"分别为",ROUND(K3/10000,2),"亿元、",ROUND(J3/10000,2),"亿元、",ROUND(I3/10000,2),"亿元和",ROUND(H3/10000,2),"亿元。")</f>
        <v>2022年-2025年，拟承租人经营活动现金流入分别为1.42亿元、0.68亿元、0.61亿元和83.83亿元。</v>
      </c>
    </row>
    <row r="4" ht="17.6" customHeight="1" spans="1:13">
      <c r="A4" s="88" t="s">
        <v>675</v>
      </c>
      <c r="B4" s="85">
        <f>HLOOKUP(B1,cf!$C$1:$Z$57,MATCH("*"&amp;A4&amp;"*",cf!$B$1:$B$68,),FALSE)</f>
        <v>5174645227.32</v>
      </c>
      <c r="C4" s="85">
        <f>HLOOKUP(C1,cf!$C$1:$Z$57,MATCH("*"&amp;A4&amp;"*",cf!$B$1:$B$68,),FALSE)</f>
        <v>19597770.46</v>
      </c>
      <c r="D4" s="85">
        <f>HLOOKUP(D1,cf!$C$1:$Z$57,MATCH("*"&amp;A4&amp;"*",cf!$B$1:$B$68,),FALSE)</f>
        <v>18492883.26</v>
      </c>
      <c r="E4" s="85">
        <f>HLOOKUP(E1,cf!$C$1:$Z$57,MATCH("*"&amp;A4&amp;"*",cf!$B$1:$B$68,),FALSE)</f>
        <v>18058372.89</v>
      </c>
      <c r="G4" s="86" t="str">
        <f t="shared" si="0"/>
        <v>经营活动现金流出</v>
      </c>
      <c r="H4" s="87">
        <f t="shared" si="1"/>
        <v>517464.5227</v>
      </c>
      <c r="I4" s="87">
        <f t="shared" si="2"/>
        <v>1959.777</v>
      </c>
      <c r="J4" s="87">
        <f t="shared" si="3"/>
        <v>1849.2883</v>
      </c>
      <c r="K4" s="87">
        <f t="shared" si="4"/>
        <v>1805.8373</v>
      </c>
      <c r="M4" t="str">
        <f>CONCATENATE(资产负债权益结构分析!$N$2,资产负债权益结构分析!$N$1,G4,"分别为",ROUND(K4/10000,2),"亿元、",ROUND(J4/10000,2),"亿元、",ROUND(I4/10000,2),"亿元和",ROUND(H4/10000,2),"亿元。")</f>
        <v>2022年-2025年，拟承租人经营活动现金流出分别为0.18亿元、0.18亿元、0.2亿元和51.75亿元。</v>
      </c>
    </row>
    <row r="5" ht="17.6" customHeight="1" spans="1:13">
      <c r="A5" s="76" t="s">
        <v>676</v>
      </c>
      <c r="B5" s="82">
        <f>B6-B7</f>
        <v>-478762820.49</v>
      </c>
      <c r="C5" s="82">
        <f>C6-C7</f>
        <v>-243086.44</v>
      </c>
      <c r="D5" s="82">
        <f>D6-D7</f>
        <v>-1897419.39</v>
      </c>
      <c r="E5" s="82">
        <f>E6-E7</f>
        <v>-676400</v>
      </c>
      <c r="G5" s="79" t="str">
        <f t="shared" si="0"/>
        <v>投资活动现金流量净额</v>
      </c>
      <c r="H5" s="83">
        <f t="shared" si="1"/>
        <v>-47876.282</v>
      </c>
      <c r="I5" s="83">
        <f t="shared" si="2"/>
        <v>-24.3086</v>
      </c>
      <c r="J5" s="83">
        <f t="shared" si="3"/>
        <v>-189.7419</v>
      </c>
      <c r="K5" s="83">
        <f t="shared" si="4"/>
        <v>-67.64</v>
      </c>
      <c r="M5" t="str">
        <f>CONCATENATE(资产负债权益结构分析!$N$2,资产负债权益结构分析!$N$1,G5,"分别为",ROUND(K5/10000,2),"亿元、",ROUND(J5/10000,2),"亿元、",ROUND(I5/10000,2),"亿元和",ROUND(H5/10000,2),"亿元。")</f>
        <v>2022年-2025年，拟承租人投资活动现金流量净额分别为-0.01亿元、-0.02亿元、0亿元和-4.79亿元。</v>
      </c>
    </row>
    <row r="6" ht="17.6" customHeight="1" spans="1:13">
      <c r="A6" s="88" t="s">
        <v>677</v>
      </c>
      <c r="B6" s="85">
        <f>HLOOKUP(B1,cf!$C$1:$Z$57,MATCH("*"&amp;A6&amp;"*",cf!$B$1:$B$68,),FALSE)</f>
        <v>0</v>
      </c>
      <c r="C6" s="85">
        <f>HLOOKUP(C1,cf!$C$1:$Z$57,MATCH("*"&amp;A6&amp;"*",cf!$B$1:$B$68,),FALSE)</f>
        <v>2747.22</v>
      </c>
      <c r="D6" s="85">
        <f>HLOOKUP(D1,cf!$C$1:$Z$57,MATCH("*"&amp;A6&amp;"*",cf!$B$1:$B$68,),FALSE)</f>
        <v>0</v>
      </c>
      <c r="E6" s="85">
        <f>HLOOKUP(E1,cf!$C$1:$Z$57,MATCH("*"&amp;A6&amp;"*",cf!$B$1:$B$68,),FALSE)</f>
        <v>0</v>
      </c>
      <c r="G6" s="86" t="str">
        <f t="shared" si="0"/>
        <v>投资活动现金流入</v>
      </c>
      <c r="H6" s="87">
        <f t="shared" si="1"/>
        <v>0</v>
      </c>
      <c r="I6" s="87">
        <f t="shared" si="2"/>
        <v>0.2747</v>
      </c>
      <c r="J6" s="87">
        <f t="shared" si="3"/>
        <v>0</v>
      </c>
      <c r="K6" s="87">
        <f t="shared" si="4"/>
        <v>0</v>
      </c>
      <c r="M6" t="str">
        <f>CONCATENATE(资产负债权益结构分析!$N$2,资产负债权益结构分析!$N$1,G6,"分别为",ROUND(K6/10000,2),"亿元、",ROUND(J6/10000,2),"亿元、",ROUND(I6/10000,2),"亿元和",ROUND(H6/10000,2),"亿元。")</f>
        <v>2022年-2025年，拟承租人投资活动现金流入分别为0亿元、0亿元、0亿元和0亿元。</v>
      </c>
    </row>
    <row r="7" ht="17.6" customHeight="1" spans="1:13">
      <c r="A7" s="88" t="s">
        <v>678</v>
      </c>
      <c r="B7" s="85">
        <f>HLOOKUP(B1,cf!$C$1:$Z$57,MATCH("*"&amp;A7&amp;"*",cf!$B$1:$B$68,),FALSE)</f>
        <v>478762820.49</v>
      </c>
      <c r="C7" s="85">
        <f>HLOOKUP(C1,cf!$C$1:$Z$57,MATCH("*"&amp;A7&amp;"*",cf!$B$1:$B$68,),FALSE)</f>
        <v>245833.66</v>
      </c>
      <c r="D7" s="85">
        <f>HLOOKUP(D1,cf!$C$1:$Z$57,MATCH("*"&amp;A7&amp;"*",cf!$B$1:$B$68,),FALSE)</f>
        <v>1897419.39</v>
      </c>
      <c r="E7" s="85">
        <f>HLOOKUP(E1,cf!$C$1:$Z$57,MATCH("*"&amp;A7&amp;"*",cf!$B$1:$B$68,),FALSE)</f>
        <v>676400</v>
      </c>
      <c r="G7" s="86" t="str">
        <f t="shared" si="0"/>
        <v>投资活动现金流出</v>
      </c>
      <c r="H7" s="87">
        <f t="shared" si="1"/>
        <v>47876.282</v>
      </c>
      <c r="I7" s="87">
        <f t="shared" si="2"/>
        <v>24.5834</v>
      </c>
      <c r="J7" s="87">
        <f t="shared" si="3"/>
        <v>189.7419</v>
      </c>
      <c r="K7" s="87">
        <f t="shared" si="4"/>
        <v>67.64</v>
      </c>
      <c r="M7" t="str">
        <f>CONCATENATE(资产负债权益结构分析!$N$2,资产负债权益结构分析!$N$1,G7,"分别为",ROUND(K7/10000,2),"亿元、",ROUND(J7/10000,2),"亿元、",ROUND(I7/10000,2),"亿元和",ROUND(H7/10000,2),"亿元。")</f>
        <v>2022年-2025年，拟承租人投资活动现金流出分别为0.01亿元、0.02亿元、0亿元和4.79亿元。</v>
      </c>
    </row>
    <row r="8" ht="17.6" customHeight="1" spans="1:13">
      <c r="A8" s="76" t="s">
        <v>679</v>
      </c>
      <c r="B8" s="82">
        <f>B9-B10</f>
        <v>-2799097850.09</v>
      </c>
      <c r="C8" s="82">
        <f>C9-C10</f>
        <v>-38910230.84</v>
      </c>
      <c r="D8" s="82">
        <f>D9-D10</f>
        <v>-72344070.84</v>
      </c>
      <c r="E8" s="82">
        <f>E9-E10</f>
        <v>-106412381.25</v>
      </c>
      <c r="G8" s="79" t="str">
        <f t="shared" si="0"/>
        <v>筹资活动现金流量净额</v>
      </c>
      <c r="H8" s="83">
        <f t="shared" si="1"/>
        <v>-279909.785</v>
      </c>
      <c r="I8" s="83">
        <f t="shared" si="2"/>
        <v>-3891.0231</v>
      </c>
      <c r="J8" s="83">
        <f t="shared" si="3"/>
        <v>-7234.4071</v>
      </c>
      <c r="K8" s="83">
        <f t="shared" si="4"/>
        <v>-10641.2381</v>
      </c>
      <c r="M8" t="str">
        <f>CONCATENATE(资产负债权益结构分析!$N$2,资产负债权益结构分析!$N$1,G8,"分别为",ROUND(K8/10000,2),"亿元、",ROUND(J8/10000,2),"亿元、",ROUND(I8/10000,2),"亿元和",ROUND(H8/10000,2),"亿元。")</f>
        <v>2022年-2025年，拟承租人筹资活动现金流量净额分别为-1.06亿元、-0.72亿元、-0.39亿元和-27.99亿元。</v>
      </c>
    </row>
    <row r="9" ht="17.6" customHeight="1" spans="1:13">
      <c r="A9" s="88" t="s">
        <v>680</v>
      </c>
      <c r="B9" s="85">
        <f>HLOOKUP(B1,cf!$C$1:$Z$57,MATCH("*"&amp;A9&amp;"*",cf!$B$1:$B$68,),FALSE)</f>
        <v>5869049436.6</v>
      </c>
      <c r="C9" s="85">
        <f>HLOOKUP(C1,cf!$C$1:$Z$57,MATCH("*"&amp;A9&amp;"*",cf!$B$1:$B$68,),FALSE)</f>
        <v>16500000</v>
      </c>
      <c r="D9" s="85">
        <f>HLOOKUP(D1,cf!$C$1:$Z$57,MATCH("*"&amp;A9&amp;"*",cf!$B$1:$B$68,),FALSE)</f>
        <v>0</v>
      </c>
      <c r="E9" s="85">
        <f>HLOOKUP(E1,cf!$C$1:$Z$57,MATCH("*"&amp;A9&amp;"*",cf!$B$1:$B$68,),FALSE)</f>
        <v>0</v>
      </c>
      <c r="G9" s="86" t="str">
        <f t="shared" si="0"/>
        <v>筹资活动现金流入</v>
      </c>
      <c r="H9" s="87">
        <f t="shared" si="1"/>
        <v>586904.9437</v>
      </c>
      <c r="I9" s="87">
        <f t="shared" si="2"/>
        <v>1650</v>
      </c>
      <c r="J9" s="87">
        <f t="shared" si="3"/>
        <v>0</v>
      </c>
      <c r="K9" s="87">
        <f t="shared" si="4"/>
        <v>0</v>
      </c>
      <c r="M9" t="str">
        <f>CONCATENATE(资产负债权益结构分析!$N$2,资产负债权益结构分析!$N$1,G9,"分别为",ROUND(K9/10000,2),"亿元、",ROUND(J9/10000,2),"亿元、",ROUND(I9/10000,2),"亿元和",ROUND(H9/10000,2),"亿元。")</f>
        <v>2022年-2025年，拟承租人筹资活动现金流入分别为0亿元、0亿元、0.17亿元和58.69亿元。</v>
      </c>
    </row>
    <row r="10" ht="17.6" customHeight="1" spans="1:13">
      <c r="A10" s="88" t="s">
        <v>681</v>
      </c>
      <c r="B10" s="85">
        <f>HLOOKUP(B1,cf!$C$1:$Z$57,MATCH("*"&amp;A10&amp;"*",cf!$B$1:$B$68,),FALSE)</f>
        <v>8668147286.69</v>
      </c>
      <c r="C10" s="85">
        <f>HLOOKUP(C1,cf!$C$1:$Z$57,MATCH("*"&amp;A10&amp;"*",cf!$B$1:$B$68,),FALSE)</f>
        <v>55410230.84</v>
      </c>
      <c r="D10" s="85">
        <f>HLOOKUP(D1,cf!$C$1:$Z$57,MATCH("*"&amp;A10&amp;"*",cf!$B$1:$B$68,),FALSE)</f>
        <v>72344070.84</v>
      </c>
      <c r="E10" s="85">
        <f>HLOOKUP(E1,cf!$C$1:$Z$57,MATCH("*"&amp;A10&amp;"*",cf!$B$1:$B$68,),FALSE)</f>
        <v>106412381.25</v>
      </c>
      <c r="G10" s="86" t="str">
        <f t="shared" si="0"/>
        <v>筹资活动现金流出</v>
      </c>
      <c r="H10" s="87">
        <f t="shared" si="1"/>
        <v>866814.7287</v>
      </c>
      <c r="I10" s="87">
        <f t="shared" si="2"/>
        <v>5541.0231</v>
      </c>
      <c r="J10" s="87">
        <f t="shared" si="3"/>
        <v>7234.4071</v>
      </c>
      <c r="K10" s="87">
        <f t="shared" si="4"/>
        <v>10641.2381</v>
      </c>
      <c r="M10" t="str">
        <f>CONCATENATE(资产负债权益结构分析!$N$2,资产负债权益结构分析!$N$1,G10,"分别为",ROUND(K10/10000,2),"亿元、",ROUND(J10/10000,2),"亿元、",ROUND(I10/10000,2),"亿元和",ROUND(H10/10000,2),"亿元。")</f>
        <v>2022年-2025年，拟承租人筹资活动现金流出分别为1.06亿元、0.72亿元、0.55亿元和86.68亿元。</v>
      </c>
    </row>
    <row r="11" ht="36" customHeight="1" spans="1:13">
      <c r="A11" s="88" t="s">
        <v>517</v>
      </c>
      <c r="B11" s="85">
        <f>HLOOKUP(B1,cf!$C$1:$Z$57,MATCH("*"&amp;A11&amp;"*",cf!$B$1:$B$68,),FALSE)</f>
        <v>2612921267</v>
      </c>
      <c r="C11" s="85">
        <f>HLOOKUP(C1,cf!$C$1:$Z$57,MATCH("*"&amp;A11&amp;"*",cf!$B$1:$B$68,),FALSE)</f>
        <v>1058069.44</v>
      </c>
      <c r="D11" s="85">
        <f>HLOOKUP(D1,cf!$C$1:$Z$57,MATCH("*"&amp;A11&amp;"*",cf!$B$1:$B$68,),FALSE)</f>
        <v>1594070.84</v>
      </c>
      <c r="E11" s="85">
        <f>HLOOKUP(E1,cf!$C$1:$Z$57,MATCH("*"&amp;A11&amp;"*",cf!$B$1:$B$68,),FALSE)</f>
        <v>62412381.25</v>
      </c>
      <c r="G11" s="89" t="str">
        <f t="shared" si="0"/>
        <v>分配股利、利润或偿付利息支付的现金</v>
      </c>
      <c r="H11" s="87">
        <f t="shared" si="1"/>
        <v>261292.1267</v>
      </c>
      <c r="I11" s="87">
        <f t="shared" si="2"/>
        <v>105.8069</v>
      </c>
      <c r="J11" s="87">
        <f t="shared" si="3"/>
        <v>159.4071</v>
      </c>
      <c r="K11" s="87">
        <f t="shared" si="4"/>
        <v>6241.2381</v>
      </c>
      <c r="M11" t="str">
        <f>CONCATENATE(资产负债权益结构分析!$N$2,资产负债权益结构分析!$N$1,G11,"分别为",ROUND(K11/10000,2),"亿元、",ROUND(J11/10000,2),"亿元、",ROUND(I11/10000,2),"亿元和",ROUND(H11/10000,2),"亿元。")</f>
        <v>2022年-2025年，拟承租人分配股利、利润或偿付利息支付的现金分别为0.62亿元、0.02亿元、0.01亿元和26.13亿元。</v>
      </c>
    </row>
    <row r="16" spans="1:13">
      <c r="B16">
        <f>MATCH("*"&amp;A3&amp;"*",cf!$B$1:$B$68,)</f>
        <v>16</v>
      </c>
    </row>
    <row r="53" spans="9:9">
      <c r="I53" t="str">
        <f>CONCATENATE(资产负债权益结构分析!N1,G2,"分别为",ROUND(K2/10000,2),"亿元、",ROUND(J2/10000,2),"亿元、",ROUND(I2/10000,2),"亿元和",ROUND(H2/10000,2),"亿元。")</f>
        <v>拟承租人经营活动现金流量净额分别为1.23亿元、0.5亿元、0.42亿元和32.08亿元。</v>
      </c>
    </row>
  </sheetData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39"/>
  <sheetViews>
    <sheetView topLeftCell="C18" workbookViewId="0">
      <selection activeCell="H30" sqref="H30"/>
    </sheetView>
  </sheetViews>
  <sheetFormatPr defaultColWidth="9" defaultRowHeight="15.2"/>
  <cols>
    <col min="1" max="1" width="28.7142857142857" customWidth="1"/>
    <col min="2" max="2" width="23.7142857142857" customWidth="1"/>
    <col min="3" max="3" width="18.2857142857143" customWidth="1"/>
    <col min="4" max="4" width="17.7142857142857" customWidth="1"/>
    <col min="5" max="5" width="19.4285714285714" customWidth="1"/>
    <col min="7" max="7" width="27.5714285714286" customWidth="1"/>
    <col min="8" max="11" width="17.2857142857143" customWidth="1"/>
  </cols>
  <sheetData>
    <row r="1" ht="16.8" customHeight="1" spans="1:11">
      <c r="A1" s="50" t="s">
        <v>527</v>
      </c>
      <c r="B1" s="51">
        <f>'财务分析（2022）版'!B3</f>
        <v>45930</v>
      </c>
      <c r="C1" s="52">
        <f>'财务分析（2022）版'!C3</f>
        <v>45657</v>
      </c>
      <c r="D1" s="52">
        <f>'财务分析（2022）版'!D3</f>
        <v>45291</v>
      </c>
      <c r="E1" s="52">
        <f>'财务分析（2022）版'!E3</f>
        <v>44926</v>
      </c>
      <c r="F1" s="53"/>
      <c r="G1" s="54" t="s">
        <v>527</v>
      </c>
      <c r="H1" s="55">
        <f>B1</f>
        <v>45930</v>
      </c>
      <c r="I1" s="55">
        <f>C1</f>
        <v>45657</v>
      </c>
      <c r="J1" s="55">
        <f>D1</f>
        <v>45291</v>
      </c>
      <c r="K1" s="55">
        <f>E1</f>
        <v>44926</v>
      </c>
    </row>
    <row r="2" ht="16.8" customHeight="1" spans="1:11">
      <c r="B2" s="56" t="s">
        <v>622</v>
      </c>
      <c r="C2" s="56" t="s">
        <v>622</v>
      </c>
      <c r="D2" s="56" t="s">
        <v>622</v>
      </c>
      <c r="E2" s="56" t="s">
        <v>622</v>
      </c>
      <c r="F2" s="53"/>
      <c r="G2" s="57"/>
      <c r="H2" s="58" t="s">
        <v>622</v>
      </c>
      <c r="I2" s="58" t="s">
        <v>622</v>
      </c>
      <c r="J2" s="58" t="s">
        <v>622</v>
      </c>
      <c r="K2" s="58" t="s">
        <v>622</v>
      </c>
    </row>
    <row r="3" ht="34" customHeight="1" spans="1:11">
      <c r="A3" s="59" t="s">
        <v>470</v>
      </c>
      <c r="B3" s="60">
        <f>HLOOKUP(B1,cf!$C$1:$CI$39,MATCH("*"&amp;A3&amp;"*",cf!$B$1:$B$68,),FALSE)</f>
        <v>757987491.72</v>
      </c>
      <c r="C3" s="60">
        <f>HLOOKUP(C1,cf!$C$1:$CI$39,MATCH("*"&amp;A3&amp;"*",cf!$B$1:$B$68,),FALSE)</f>
        <v>61281050.57</v>
      </c>
      <c r="D3" s="60">
        <f>HLOOKUP(D1,cf!$C$1:$CI$39,MATCH("*"&amp;A3&amp;"*",cf!$B$1:$B$68,),FALSE)</f>
        <v>67634905.01</v>
      </c>
      <c r="E3" s="60">
        <f>HLOOKUP(E1,cf!$C$1:$CI$39,MATCH("*"&amp;A3&amp;"*",cf!$B$1:$B$68,),FALSE)</f>
        <v>108154268.21</v>
      </c>
      <c r="F3" s="53"/>
      <c r="G3" s="61" t="str">
        <f t="shared" ref="G3:G11" si="0">A3</f>
        <v>销售商品、提供劳务收到的现金 </v>
      </c>
      <c r="H3" s="62">
        <f t="shared" ref="H3:H10" si="1">ROUND(B3/10000,0)</f>
        <v>75799</v>
      </c>
      <c r="I3" s="62">
        <f t="shared" ref="I3:I10" si="2">ROUND(C3/10000,0)</f>
        <v>6128</v>
      </c>
      <c r="J3" s="62">
        <f t="shared" ref="J3:J10" si="3">ROUND(D3/10000,0)</f>
        <v>6763</v>
      </c>
      <c r="K3" s="62">
        <f t="shared" ref="K3:K10" si="4">ROUND(E3/10000,0)</f>
        <v>10815</v>
      </c>
    </row>
    <row r="4" ht="17" customHeight="1" spans="1:11">
      <c r="A4" s="63" t="s">
        <v>682</v>
      </c>
      <c r="B4" s="64">
        <f>HLOOKUP(B1,pl!$C$1:$CF$46,MATCH("*"&amp;A4&amp;"*",pl!$B$1:$B$71,),FALSE)</f>
        <v>0</v>
      </c>
      <c r="C4" s="64">
        <f>HLOOKUP(C1,pl!$C$1:$CF$46,MATCH("*"&amp;A4&amp;"*",pl!$B$1:$B$71,),FALSE)</f>
        <v>0</v>
      </c>
      <c r="D4" s="60">
        <f>HLOOKUP(D1,pl!$C$1:$CF$46,MATCH("*"&amp;A4&amp;"*",pl!$B$1:$B$71,),FALSE)</f>
        <v>0</v>
      </c>
      <c r="E4" s="64">
        <f>HLOOKUP(E1,pl!$C$1:$CF$46,MATCH("*"&amp;A4&amp;"*",pl!$B$1:$B$71,),FALSE)</f>
        <v>0</v>
      </c>
      <c r="F4" s="53"/>
      <c r="G4" s="61" t="str">
        <f t="shared" si="0"/>
        <v>营业收入</v>
      </c>
      <c r="H4" s="62">
        <f t="shared" si="1"/>
        <v>0</v>
      </c>
      <c r="I4" s="62">
        <f t="shared" si="2"/>
        <v>0</v>
      </c>
      <c r="J4" s="62">
        <f t="shared" si="3"/>
        <v>0</v>
      </c>
      <c r="K4" s="62">
        <f t="shared" si="4"/>
        <v>0</v>
      </c>
    </row>
    <row r="5" ht="31.5" customHeight="1" spans="1:11">
      <c r="A5" s="65" t="s">
        <v>683</v>
      </c>
      <c r="B5" s="60">
        <f>HLOOKUP(B1,cf!$C$1:$CI$68,MATCH("*"&amp;A5&amp;"*",cf!$B$1:$B$68,),FALSE)</f>
        <v>371428503.09</v>
      </c>
      <c r="C5" s="60">
        <f>HLOOKUP(C1,cf!$C$1:$CI$68,MATCH("*"&amp;A5&amp;"*",cf!$B$1:$B$68,),FALSE)</f>
        <v>4291596.65</v>
      </c>
      <c r="D5" s="60">
        <f>HLOOKUP(D1,cf!$C$1:$CI$68,MATCH("*"&amp;A5&amp;"*",cf!$B$1:$B$68,),FALSE)</f>
        <v>3660074.05</v>
      </c>
      <c r="E5" s="60">
        <f>HLOOKUP(E1,cf!$C$1:$CI$68,MATCH("*"&amp;A5&amp;"*",cf!$B$1:$B$68,),FALSE)</f>
        <v>4526754.99</v>
      </c>
      <c r="F5" s="53"/>
      <c r="G5" s="61" t="str">
        <f t="shared" si="0"/>
        <v>购买商品、接受劳务支付的现金</v>
      </c>
      <c r="H5" s="62">
        <f t="shared" si="1"/>
        <v>37143</v>
      </c>
      <c r="I5" s="62">
        <f t="shared" si="2"/>
        <v>429</v>
      </c>
      <c r="J5" s="62">
        <f t="shared" si="3"/>
        <v>366</v>
      </c>
      <c r="K5" s="62">
        <f t="shared" si="4"/>
        <v>453</v>
      </c>
    </row>
    <row r="6" ht="23.25" customHeight="1" spans="1:11">
      <c r="A6" s="63" t="s">
        <v>543</v>
      </c>
      <c r="B6" s="60">
        <f>HLOOKUP(B1,pl!$C$1:$CF$46,MATCH("*"&amp;A6&amp;"*",pl!$B$1:$B$71,),FALSE)</f>
        <v>0</v>
      </c>
      <c r="C6" s="60">
        <f>HLOOKUP(C1,pl!$C$1:$CF$46,MATCH("*"&amp;A6&amp;"*",pl!$B$1:$B$71,),FALSE)</f>
        <v>0</v>
      </c>
      <c r="D6" s="60">
        <f>HLOOKUP(D1,pl!$C$1:$CF$46,MATCH("*"&amp;A6&amp;"*",pl!$B$1:$B$71,),FALSE)</f>
        <v>0</v>
      </c>
      <c r="E6" s="60">
        <f>HLOOKUP(E1,pl!$C$1:$CF$46,MATCH("*"&amp;A6&amp;"*",pl!$B$1:$B$71,),FALSE)</f>
        <v>0</v>
      </c>
      <c r="F6" s="53"/>
      <c r="G6" s="61" t="str">
        <f t="shared" si="0"/>
        <v>营业成本</v>
      </c>
      <c r="H6" s="62">
        <f t="shared" si="1"/>
        <v>0</v>
      </c>
      <c r="I6" s="62">
        <f t="shared" si="2"/>
        <v>0</v>
      </c>
      <c r="J6" s="62">
        <f t="shared" si="3"/>
        <v>0</v>
      </c>
      <c r="K6" s="62">
        <f t="shared" si="4"/>
        <v>0</v>
      </c>
    </row>
    <row r="7" ht="43.5" customHeight="1" spans="1:11">
      <c r="A7" s="65" t="s">
        <v>517</v>
      </c>
      <c r="B7" s="60">
        <f>HLOOKUP(B1,cf!$C$1:$CI$68,MATCH("*"&amp;A7&amp;"*",cf!$B$1:$B$68,),FALSE)</f>
        <v>2612921267</v>
      </c>
      <c r="C7" s="60">
        <f>HLOOKUP(C1,cf!$C$1:$CI$68,MATCH("*"&amp;A7&amp;"*",cf!$B$1:$B$68,),FALSE)</f>
        <v>1058069.44</v>
      </c>
      <c r="D7" s="60">
        <f>HLOOKUP(D1,cf!$C$1:$CI$68,MATCH("*"&amp;A7&amp;"*",cf!$B$1:$B$68,),FALSE)</f>
        <v>1594070.84</v>
      </c>
      <c r="E7" s="60">
        <f>HLOOKUP(E1,cf!$C$1:$CI$68,MATCH("*"&amp;A7&amp;"*",cf!$B$1:$B$68,),FALSE)</f>
        <v>62412381.25</v>
      </c>
      <c r="F7" s="53"/>
      <c r="G7" s="61" t="str">
        <f t="shared" si="0"/>
        <v>分配股利、利润或偿付利息支付的现金</v>
      </c>
      <c r="H7" s="62">
        <f t="shared" si="1"/>
        <v>261292</v>
      </c>
      <c r="I7" s="62">
        <f t="shared" si="2"/>
        <v>106</v>
      </c>
      <c r="J7" s="62">
        <f t="shared" si="3"/>
        <v>159</v>
      </c>
      <c r="K7" s="62">
        <f t="shared" si="4"/>
        <v>6241</v>
      </c>
    </row>
    <row r="8" ht="17" customHeight="1" spans="1:11">
      <c r="A8" s="65" t="s">
        <v>548</v>
      </c>
      <c r="B8" s="60">
        <f>HLOOKUP($B$1,pl!$C$1:$W$71,MATCH("*"&amp;A8&amp;"*",pl!$B$1:$B$71,),FALSE)</f>
        <v>0</v>
      </c>
      <c r="C8" s="60">
        <f>HLOOKUP(C1,pl!$C$1:$W$71,MATCH("*"&amp;A8&amp;"*",pl!$B$1:$B$71,),FALSE)</f>
        <v>0</v>
      </c>
      <c r="D8" s="60">
        <f>HLOOKUP(D$1,pl!$C$1:$W$71,MATCH("*"&amp;$A8&amp;"*",pl!$B$1:$B$71,),FALSE)</f>
        <v>0</v>
      </c>
      <c r="E8" s="60">
        <f>HLOOKUP(E$1,pl!$C$1:$W$71,MATCH("*"&amp;$A8&amp;"*",pl!$B$1:$B$71,),FALSE)</f>
        <v>0</v>
      </c>
      <c r="F8" s="53"/>
      <c r="G8" s="61" t="str">
        <f t="shared" si="0"/>
        <v>财务费用</v>
      </c>
      <c r="H8" s="62">
        <f t="shared" si="1"/>
        <v>0</v>
      </c>
      <c r="I8" s="62">
        <f t="shared" si="2"/>
        <v>0</v>
      </c>
      <c r="J8" s="62">
        <f t="shared" si="3"/>
        <v>0</v>
      </c>
      <c r="K8" s="62">
        <f t="shared" si="4"/>
        <v>0</v>
      </c>
    </row>
    <row r="9" ht="17" customHeight="1" spans="1:11">
      <c r="A9" s="63" t="s">
        <v>495</v>
      </c>
      <c r="B9" s="60">
        <f>HLOOKUP(B$1,cf!$C$1:$CI$68,MATCH("*"&amp;$A9&amp;"*",cf!$B$1:$B$68,),FALSE)</f>
        <v>3208359167.36</v>
      </c>
      <c r="C9" s="60">
        <f>HLOOKUP(C$1,cf!$C$1:$CI$68,MATCH("*"&amp;$A9&amp;"*",cf!$B$1:$B$68,),FALSE)</f>
        <v>41789324.79</v>
      </c>
      <c r="D9" s="60">
        <f>HLOOKUP(D$1,cf!$C$1:$CI$68,MATCH("*"&amp;$A9&amp;"*",cf!$B$1:$B$68,),FALSE)</f>
        <v>49774014.9</v>
      </c>
      <c r="E9" s="60">
        <f>HLOOKUP(E$1,cf!$C$1:$CI$68,MATCH("*"&amp;$A9&amp;"*",cf!$B$1:$B$68,),FALSE)</f>
        <v>123470334.88</v>
      </c>
      <c r="F9" s="53"/>
      <c r="G9" s="61" t="str">
        <f t="shared" si="0"/>
        <v>经营活动产生的现金流量净额</v>
      </c>
      <c r="H9" s="62">
        <f t="shared" si="1"/>
        <v>320836</v>
      </c>
      <c r="I9" s="62">
        <f t="shared" si="2"/>
        <v>4179</v>
      </c>
      <c r="J9" s="62">
        <f t="shared" si="3"/>
        <v>4977</v>
      </c>
      <c r="K9" s="62">
        <f t="shared" si="4"/>
        <v>12347</v>
      </c>
    </row>
    <row r="10" ht="17" customHeight="1" spans="1:11">
      <c r="A10" s="65" t="s">
        <v>181</v>
      </c>
      <c r="B10" s="60">
        <f>HLOOKUP(B$1,pl!$C$1:$CF$46,MATCH("*"&amp;$A10&amp;"*",pl!$B$1:$B$71,),FALSE)</f>
        <v>0</v>
      </c>
      <c r="C10" s="60">
        <f>HLOOKUP(C$1,pl!$C$1:$CF$46,MATCH("*"&amp;$A10&amp;"*",pl!$B$1:$B$71,),FALSE)</f>
        <v>0</v>
      </c>
      <c r="D10" s="60">
        <f>HLOOKUP(D$1,pl!$C$1:$CF$46,MATCH("*"&amp;$A10&amp;"*",pl!$B$1:$B$71,),FALSE)</f>
        <v>0</v>
      </c>
      <c r="E10" s="60">
        <f>HLOOKUP(E$1,pl!$C$1:$CF$46,MATCH("*"&amp;$A10&amp;"*",pl!$B$1:$B$71,),FALSE)</f>
        <v>0</v>
      </c>
      <c r="F10" s="53"/>
      <c r="G10" s="61" t="str">
        <f t="shared" si="0"/>
        <v>净利润</v>
      </c>
      <c r="H10" s="62">
        <f t="shared" si="1"/>
        <v>0</v>
      </c>
      <c r="I10" s="62">
        <f t="shared" si="2"/>
        <v>0</v>
      </c>
      <c r="J10" s="62">
        <f t="shared" si="3"/>
        <v>0</v>
      </c>
      <c r="K10" s="62">
        <f t="shared" si="4"/>
        <v>0</v>
      </c>
    </row>
    <row r="11" ht="17" customHeight="1" spans="1:11">
      <c r="A11" s="65" t="s">
        <v>684</v>
      </c>
      <c r="B11" s="60" t="e">
        <f>B9/B10</f>
        <v>#DIV/0!</v>
      </c>
      <c r="C11" s="60" t="e">
        <f>C9/C10</f>
        <v>#DIV/0!</v>
      </c>
      <c r="D11" s="60" t="e">
        <f>D9/D10</f>
        <v>#DIV/0!</v>
      </c>
      <c r="E11" s="60" t="e">
        <f>E9/E10</f>
        <v>#DIV/0!</v>
      </c>
      <c r="F11" s="53"/>
      <c r="G11" s="61" t="str">
        <f t="shared" si="0"/>
        <v>盈利现金比</v>
      </c>
      <c r="H11" s="62" t="e">
        <f>B11</f>
        <v>#DIV/0!</v>
      </c>
      <c r="I11" s="62" t="e">
        <f>C11</f>
        <v>#DIV/0!</v>
      </c>
      <c r="J11" s="62" t="e">
        <f>D11</f>
        <v>#DIV/0!</v>
      </c>
      <c r="K11" s="62" t="e">
        <f>E11</f>
        <v>#DIV/0!</v>
      </c>
    </row>
    <row r="12" spans="1:11">
      <c r="G12" s="20" t="s">
        <v>596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685</v>
      </c>
      <c r="H13">
        <v>57403</v>
      </c>
      <c r="I13">
        <v>88363</v>
      </c>
      <c r="J13">
        <v>120993</v>
      </c>
      <c r="K13">
        <v>110718</v>
      </c>
    </row>
    <row r="14" spans="1:11">
      <c r="G14" s="20" t="s">
        <v>628</v>
      </c>
    </row>
    <row r="19" spans="7:11">
      <c r="G19" s="18"/>
      <c r="H19" s="66"/>
      <c r="I19" s="66"/>
      <c r="J19" s="66"/>
      <c r="K19" s="67"/>
    </row>
    <row r="20" spans="7:11">
      <c r="G20" s="68" t="s">
        <v>628</v>
      </c>
      <c r="H20" s="69"/>
      <c r="I20" s="69"/>
      <c r="J20" s="69"/>
      <c r="K20" s="69"/>
    </row>
    <row r="21" spans="7:11">
      <c r="G21" s="68" t="s">
        <v>629</v>
      </c>
      <c r="H21" s="69"/>
      <c r="I21" s="69"/>
      <c r="J21" s="69"/>
      <c r="K21" s="69"/>
    </row>
    <row r="22" spans="7:11">
      <c r="G22" s="18"/>
      <c r="H22" s="39"/>
      <c r="I22" s="39"/>
      <c r="J22" s="39"/>
      <c r="K22" s="39"/>
    </row>
    <row r="23" spans="7:11">
      <c r="G23" s="68" t="s">
        <v>554</v>
      </c>
      <c r="H23" s="69"/>
      <c r="I23" s="69"/>
      <c r="J23" s="69"/>
      <c r="K23" s="69"/>
    </row>
    <row r="24" spans="7:11">
      <c r="G24" s="17" t="s">
        <v>686</v>
      </c>
      <c r="H24" s="70">
        <f>H23</f>
        <v>0</v>
      </c>
      <c r="I24" s="70">
        <f>SUM(I23)</f>
        <v>0</v>
      </c>
      <c r="J24" s="70">
        <f>SUM(J21,J23)</f>
        <v>0</v>
      </c>
      <c r="K24" s="70">
        <f>SUM(K21,K20,K23)</f>
        <v>0</v>
      </c>
    </row>
    <row r="25" ht="46" customHeight="1" spans="7:11">
      <c r="G25" s="17" t="s">
        <v>687</v>
      </c>
      <c r="H25" s="71" t="str">
        <f>I25</f>
        <v>销售商品、提供劳务收到的现金</v>
      </c>
      <c r="I25" s="71" t="str">
        <f>G23</f>
        <v>销售商品、提供劳务收到的现金</v>
      </c>
      <c r="J25" s="72" t="s">
        <v>688</v>
      </c>
      <c r="K25" s="72" t="s">
        <v>689</v>
      </c>
    </row>
    <row r="26" spans="7:11">
      <c r="G26" s="73" t="s">
        <v>682</v>
      </c>
      <c r="H26" s="74">
        <v>913276863.59</v>
      </c>
      <c r="I26" s="74">
        <v>1114615416.79</v>
      </c>
      <c r="J26" s="70">
        <v>1011661321.48</v>
      </c>
      <c r="K26" s="70">
        <v>1014548010.3</v>
      </c>
    </row>
    <row r="29" spans="7:11">
      <c r="G29" s="18"/>
      <c r="H29" s="66">
        <v>43465</v>
      </c>
      <c r="I29" s="66">
        <v>43830</v>
      </c>
      <c r="J29" s="66">
        <v>44196</v>
      </c>
      <c r="K29" s="67">
        <v>44530</v>
      </c>
    </row>
    <row r="30" spans="7:11">
      <c r="G30" s="68" t="s">
        <v>690</v>
      </c>
      <c r="H30" s="75"/>
      <c r="I30" s="75"/>
      <c r="J30" s="75"/>
      <c r="K30" s="75"/>
    </row>
    <row r="31" spans="7:11">
      <c r="G31" s="68" t="s">
        <v>561</v>
      </c>
      <c r="H31" s="19"/>
      <c r="I31" s="19"/>
      <c r="J31" s="19"/>
      <c r="K31" s="19"/>
    </row>
    <row r="32" spans="7:11">
      <c r="G32" s="19" t="s">
        <v>596</v>
      </c>
      <c r="H32" s="19"/>
      <c r="I32" s="19"/>
      <c r="J32" s="19"/>
      <c r="K32" s="19"/>
    </row>
    <row r="33" spans="7:11">
      <c r="G33" s="68" t="s">
        <v>628</v>
      </c>
      <c r="H33" s="69"/>
      <c r="I33" s="69"/>
      <c r="J33" s="69"/>
      <c r="K33" s="69"/>
    </row>
    <row r="34" spans="7:11">
      <c r="G34" s="68" t="s">
        <v>629</v>
      </c>
      <c r="H34" s="69"/>
      <c r="I34" s="69"/>
      <c r="J34" s="69"/>
      <c r="K34" s="69"/>
    </row>
    <row r="35" spans="7:11">
      <c r="G35" s="18"/>
      <c r="H35" s="66">
        <v>43465</v>
      </c>
      <c r="I35" s="66">
        <v>43830</v>
      </c>
      <c r="J35" s="66">
        <v>44196</v>
      </c>
      <c r="K35" s="67">
        <v>44530</v>
      </c>
    </row>
    <row r="36" spans="7:11">
      <c r="G36" s="68" t="s">
        <v>691</v>
      </c>
      <c r="H36" s="19"/>
      <c r="I36" s="19"/>
      <c r="J36" s="19"/>
      <c r="K36" s="19"/>
    </row>
    <row r="37" spans="7:11">
      <c r="G37" s="68" t="s">
        <v>517</v>
      </c>
      <c r="H37" s="19"/>
      <c r="I37" s="19"/>
      <c r="J37" s="19"/>
      <c r="K37" s="19"/>
    </row>
    <row r="38" spans="7:11">
      <c r="G38" s="68" t="s">
        <v>692</v>
      </c>
      <c r="H38" s="19"/>
      <c r="I38" s="19"/>
      <c r="J38" s="19"/>
      <c r="K38" s="19"/>
    </row>
    <row r="39" spans="7:11">
      <c r="G39" s="68" t="s">
        <v>560</v>
      </c>
      <c r="H39" s="19"/>
      <c r="I39" s="19"/>
      <c r="J39" s="19"/>
      <c r="K39" s="19"/>
    </row>
  </sheetData>
  <mergeCells count="2">
    <mergeCell ref="A1:A2"/>
    <mergeCell ref="G1:G2"/>
  </mergeCell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J33" sqref="J33"/>
    </sheetView>
  </sheetViews>
  <sheetFormatPr defaultColWidth="9" defaultRowHeight="15.2" outlineLevelCol="5"/>
  <cols>
    <col min="2" max="2" width="19.4285714285714" customWidth="1"/>
    <col min="3" max="3" width="12.2857142857143" customWidth="1"/>
    <col min="4" max="6" width="13.5714285714286" customWidth="1"/>
  </cols>
  <sheetData>
    <row r="2" ht="15.95" customHeight="1" spans="2:6">
      <c r="F2" t="str">
        <f>'财务分析-万位'!G6</f>
        <v>单位：万元</v>
      </c>
    </row>
    <row r="3" ht="18.75" customHeight="1" spans="2:6">
      <c r="B3" s="45" t="s">
        <v>625</v>
      </c>
      <c r="C3" s="46">
        <f>'财务分析（2022）版'!B3</f>
        <v>45930</v>
      </c>
      <c r="D3" s="46">
        <f>'财务分析（2022）版'!C3</f>
        <v>45657</v>
      </c>
      <c r="E3" s="46">
        <f>'财务分析（2022）版'!D3</f>
        <v>45291</v>
      </c>
      <c r="F3" s="46">
        <f>'财务分析（2022）版'!E3</f>
        <v>44926</v>
      </c>
    </row>
    <row r="4" ht="18.75" customHeight="1" spans="2:6">
      <c r="B4" s="47" t="s">
        <v>595</v>
      </c>
      <c r="C4" s="48">
        <f>'财务分析（2022）版'!B55</f>
        <v>0</v>
      </c>
      <c r="D4" s="48" t="e">
        <f>'财务分析（2022）版'!C55</f>
        <v>#N/A</v>
      </c>
      <c r="E4" s="48" t="e">
        <f>'财务分析（2022）版'!D55</f>
        <v>#N/A</v>
      </c>
      <c r="F4" s="48" t="e">
        <f>'财务分析（2022）版'!E55</f>
        <v>#N/A</v>
      </c>
    </row>
    <row r="5" ht="18.75" customHeight="1" spans="2:6">
      <c r="B5" s="47" t="s">
        <v>668</v>
      </c>
      <c r="C5" s="48">
        <f>'财务分析（2022）版'!B108</f>
        <v>0</v>
      </c>
      <c r="D5" s="48" t="e">
        <f>'财务分析（2022）版'!C108</f>
        <v>#N/A</v>
      </c>
      <c r="E5" s="48" t="e">
        <f>'财务分析（2022）版'!D108</f>
        <v>#N/A</v>
      </c>
      <c r="F5" s="48" t="e">
        <f>'财务分析（2022）版'!E108</f>
        <v>#N/A</v>
      </c>
    </row>
    <row r="6" ht="18.75" customHeight="1" spans="2:6">
      <c r="B6" s="47" t="s">
        <v>693</v>
      </c>
      <c r="C6" s="49" t="e">
        <f>'财务分析（2022）版'!B143</f>
        <v>#DIV/0!</v>
      </c>
      <c r="D6" s="49" t="e">
        <f>'财务分析（2022）版'!C143</f>
        <v>#N/A</v>
      </c>
      <c r="E6" s="49" t="e">
        <f>'财务分析（2022）版'!D143</f>
        <v>#N/A</v>
      </c>
      <c r="F6" s="49" t="e">
        <f>'财务分析（2022）版'!E143</f>
        <v>#N/A</v>
      </c>
    </row>
    <row r="7" ht="18.75" customHeight="1" spans="2:6">
      <c r="B7" s="47" t="s">
        <v>682</v>
      </c>
      <c r="C7" s="48">
        <f>'财务分析（2022）版'!B111</f>
        <v>0</v>
      </c>
      <c r="D7" s="48">
        <f>'财务分析（2022）版'!C111</f>
        <v>0</v>
      </c>
      <c r="E7" s="48">
        <f>'财务分析（2022）版'!D111</f>
        <v>0</v>
      </c>
      <c r="F7" s="48">
        <f>'财务分析（2022）版'!E111</f>
        <v>0</v>
      </c>
    </row>
    <row r="8" ht="18.75" customHeight="1" spans="2:6">
      <c r="B8" s="47" t="s">
        <v>176</v>
      </c>
      <c r="C8" s="48">
        <f>'财务分析（2022）版'!B121</f>
        <v>0</v>
      </c>
      <c r="D8" s="48">
        <f>'财务分析（2022）版'!C121</f>
        <v>0</v>
      </c>
      <c r="E8" s="48">
        <f>'财务分析（2022）版'!D121</f>
        <v>0</v>
      </c>
      <c r="F8" s="48">
        <f>'财务分析（2022）版'!E121</f>
        <v>0</v>
      </c>
    </row>
    <row r="9" ht="18.75" customHeight="1" spans="2:6">
      <c r="B9" s="47" t="s">
        <v>694</v>
      </c>
      <c r="C9" s="48">
        <f>'财务分析（2022）版'!B130</f>
        <v>320835.9167</v>
      </c>
      <c r="D9" s="48">
        <f>'财务分析（2022）版'!C130</f>
        <v>4178.9325</v>
      </c>
      <c r="E9" s="48">
        <f>'财务分析（2022）版'!D130</f>
        <v>4977.4015</v>
      </c>
      <c r="F9" s="48">
        <f>'财务分析（2022）版'!E130</f>
        <v>12347.0335</v>
      </c>
    </row>
    <row r="10" ht="18.75" customHeight="1" spans="2:6">
      <c r="B10" s="47" t="s">
        <v>695</v>
      </c>
      <c r="C10" s="48">
        <f>'财务分析（2022）版'!B136</f>
        <v>-279909.785</v>
      </c>
      <c r="D10" s="48">
        <f>'财务分析（2022）版'!C136</f>
        <v>-3891.0231</v>
      </c>
      <c r="E10" s="48">
        <f>'财务分析（2022）版'!D136</f>
        <v>-7234.4071</v>
      </c>
      <c r="F10" s="48">
        <f>'财务分析（2022）版'!E136</f>
        <v>-10641.2381</v>
      </c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25"/>
  <sheetViews>
    <sheetView workbookViewId="0">
      <selection activeCell="B10" sqref="B10:F10"/>
    </sheetView>
  </sheetViews>
  <sheetFormatPr defaultColWidth="9.14285714285714" defaultRowHeight="15.2" outlineLevelCol="5"/>
  <cols>
    <col min="1" max="2" width="20.7142857142857" customWidth="1"/>
    <col min="3" max="3" width="24.5714285714286" customWidth="1"/>
    <col min="4" max="4" width="23" customWidth="1"/>
    <col min="5" max="5" width="25.7142857142857" customWidth="1"/>
    <col min="6" max="6" width="24" customWidth="1"/>
    <col min="7" max="7" width="20.7142857142857" customWidth="1"/>
  </cols>
  <sheetData>
    <row r="1" ht="18.35" customHeight="1" spans="1:6">
      <c r="A1" s="26"/>
      <c r="B1" s="27"/>
      <c r="C1" s="28">
        <f>'财务分析（2022）版'!B3</f>
        <v>45930</v>
      </c>
      <c r="D1" s="29">
        <f>'财务分析（2022）版'!C3</f>
        <v>45657</v>
      </c>
      <c r="E1" s="29">
        <f>'财务分析（2022）版'!D3</f>
        <v>45291</v>
      </c>
      <c r="F1" s="29">
        <f>'财务分析（2022）版'!E3</f>
        <v>44926</v>
      </c>
    </row>
    <row r="2" ht="18.75" customHeight="1" spans="1:6">
      <c r="A2" s="30"/>
      <c r="B2" s="31" t="s">
        <v>696</v>
      </c>
      <c r="C2" s="32">
        <f>C23</f>
        <v>0</v>
      </c>
      <c r="D2" s="32" t="e">
        <f>D23</f>
        <v>#N/A</v>
      </c>
      <c r="E2" s="32" t="e">
        <f>E23</f>
        <v>#N/A</v>
      </c>
      <c r="F2" s="32" t="e">
        <f>F23</f>
        <v>#N/A</v>
      </c>
    </row>
    <row r="3" ht="30" customHeight="1" spans="1:6">
      <c r="A3" s="30" t="s">
        <v>697</v>
      </c>
      <c r="B3" s="31" t="s">
        <v>698</v>
      </c>
      <c r="C3" s="32">
        <f>C16+C20</f>
        <v>0</v>
      </c>
      <c r="D3" s="32" t="e">
        <f>D16+D20</f>
        <v>#N/A</v>
      </c>
      <c r="E3" s="32" t="e">
        <f>E16+E20</f>
        <v>#N/A</v>
      </c>
      <c r="F3" s="32" t="e">
        <f>F16+F20</f>
        <v>#N/A</v>
      </c>
    </row>
    <row r="4" ht="18.75" customHeight="1" spans="1:6">
      <c r="A4" s="33"/>
      <c r="B4" s="31" t="s">
        <v>699</v>
      </c>
      <c r="C4" s="32">
        <f>C22</f>
        <v>0</v>
      </c>
      <c r="D4" s="32" t="e">
        <f>D22</f>
        <v>#N/A</v>
      </c>
      <c r="E4" s="32" t="e">
        <f>E22</f>
        <v>#N/A</v>
      </c>
      <c r="F4" s="32" t="e">
        <f>F22</f>
        <v>#N/A</v>
      </c>
    </row>
    <row r="5" ht="18.75" customHeight="1" spans="1:6">
      <c r="A5" s="33"/>
      <c r="B5" s="31" t="s">
        <v>700</v>
      </c>
      <c r="C5" s="32" t="s">
        <v>701</v>
      </c>
      <c r="D5" s="32" t="s">
        <v>701</v>
      </c>
      <c r="E5" s="32" t="s">
        <v>701</v>
      </c>
      <c r="F5" s="34" t="s">
        <v>701</v>
      </c>
    </row>
    <row r="6" ht="18.75" customHeight="1" spans="1:6">
      <c r="A6" s="33"/>
      <c r="B6" s="31" t="s">
        <v>702</v>
      </c>
      <c r="C6" s="32" t="s">
        <v>701</v>
      </c>
      <c r="D6" s="32" t="s">
        <v>701</v>
      </c>
      <c r="E6" s="32" t="s">
        <v>701</v>
      </c>
      <c r="F6" s="34" t="s">
        <v>701</v>
      </c>
    </row>
    <row r="7" ht="18.75" customHeight="1" spans="1:6">
      <c r="A7" s="35"/>
      <c r="B7" s="31" t="s">
        <v>703</v>
      </c>
      <c r="C7" s="32">
        <f>C21</f>
        <v>0</v>
      </c>
      <c r="D7" s="32" t="e">
        <f>D21</f>
        <v>#N/A</v>
      </c>
      <c r="E7" s="32" t="e">
        <f>E21</f>
        <v>#N/A</v>
      </c>
      <c r="F7" s="32" t="e">
        <f>F21</f>
        <v>#N/A</v>
      </c>
    </row>
    <row r="8" ht="30" customHeight="1" spans="1:6">
      <c r="A8" s="30" t="s">
        <v>704</v>
      </c>
      <c r="B8" s="31" t="s">
        <v>705</v>
      </c>
      <c r="C8" s="32">
        <f>C19</f>
        <v>0</v>
      </c>
      <c r="D8" s="32" t="e">
        <f>D19</f>
        <v>#N/A</v>
      </c>
      <c r="E8" s="32" t="e">
        <f>E19</f>
        <v>#N/A</v>
      </c>
      <c r="F8" s="32" t="e">
        <f>F19</f>
        <v>#N/A</v>
      </c>
    </row>
    <row r="9" ht="18.75" customHeight="1" spans="1:6">
      <c r="A9" s="35"/>
      <c r="B9" s="36" t="s">
        <v>706</v>
      </c>
      <c r="C9" s="37">
        <f>C2-C8</f>
        <v>0</v>
      </c>
      <c r="D9" s="37" t="e">
        <f>D2-D8</f>
        <v>#N/A</v>
      </c>
      <c r="E9" s="37" t="e">
        <f>E2-E8</f>
        <v>#N/A</v>
      </c>
      <c r="F9" s="37" t="e">
        <f>F2-F8</f>
        <v>#N/A</v>
      </c>
    </row>
    <row r="10" ht="58.5" customHeight="1" spans="1:6">
      <c r="A10" s="38" t="s">
        <v>707</v>
      </c>
      <c r="B10" s="39"/>
      <c r="C10" s="2"/>
      <c r="D10" s="2"/>
      <c r="E10" s="2"/>
      <c r="F10" s="3"/>
    </row>
    <row r="11" ht="92" customHeight="1" spans="1:6">
      <c r="A11" s="20" t="s">
        <v>708</v>
      </c>
      <c r="E11" s="40" t="s">
        <v>709</v>
      </c>
      <c r="F11" t="s">
        <v>710</v>
      </c>
    </row>
    <row r="12" spans="1:6">
      <c r="A12" s="20" t="s">
        <v>711</v>
      </c>
    </row>
    <row r="13" spans="1:6">
      <c r="A13" s="20" t="s">
        <v>712</v>
      </c>
    </row>
    <row r="14" spans="1:6">
      <c r="A14" s="20" t="s">
        <v>713</v>
      </c>
    </row>
    <row r="15" spans="1:6">
      <c r="A15" s="20" t="s">
        <v>714</v>
      </c>
      <c r="C15" s="41">
        <f>C1</f>
        <v>45930</v>
      </c>
      <c r="D15" s="41">
        <f>D1</f>
        <v>45657</v>
      </c>
      <c r="E15" s="41">
        <f>E1</f>
        <v>45291</v>
      </c>
      <c r="F15" s="41">
        <f>F1</f>
        <v>44926</v>
      </c>
    </row>
    <row r="16" spans="1:6">
      <c r="B16" s="20" t="s">
        <v>596</v>
      </c>
      <c r="C16" s="42">
        <f>ROUND(HLOOKUP(C$1,bs!$C$1:$AB$110,MATCH("*"&amp;$B16&amp;"*",bs!$B$1:$B$110,),FALSE),0)/IF(LEN($A$15)&gt;4,10000,1)</f>
        <v>0</v>
      </c>
      <c r="D16" s="42" t="e">
        <f>ROUND(HLOOKUP(D$1,bs!$C$1:$AB$110,MATCH("*"&amp;$B16&amp;"*",bs!$B$1:$B$110,),FALSE),0)/IF(LEN($A$15)&gt;4,10000,1)</f>
        <v>#N/A</v>
      </c>
      <c r="E16" s="42" t="e">
        <f>ROUND(HLOOKUP(E$1,bs!$C$1:$AB$110,MATCH("*"&amp;$B16&amp;"*",bs!$B$1:$B$110,),FALSE),0)/IF(LEN($A$15)&gt;4,10000,1)</f>
        <v>#N/A</v>
      </c>
      <c r="F16" s="42" t="e">
        <f>ROUND(HLOOKUP(F$1,bs!$C$1:$AB$110,MATCH("*"&amp;$B16&amp;"*",bs!$B$1:$B$110,),FALSE),0)/IF(LEN($A$15)&gt;4,10000,1)</f>
        <v>#N/A</v>
      </c>
    </row>
    <row r="17" spans="2:6">
      <c r="B17" s="20" t="s">
        <v>653</v>
      </c>
      <c r="C17" s="42">
        <f>ROUND(HLOOKUP($C1,bs!$C$1:$AB$110,MATCH("*"&amp;$B17&amp;"*",bs!$B$1:$B$110,),FALSE),0)/IF(LEN($A$15)&gt;4,10000,1)</f>
        <v>0</v>
      </c>
      <c r="D17" s="42">
        <f>ROUND(HLOOKUP($C1,bs!$C$1:$AB$110,MATCH("*"&amp;$B17&amp;"*",bs!$B$1:$B$110,),FALSE),0)/IF(LEN($A$15)&gt;4,10000,1)</f>
        <v>0</v>
      </c>
      <c r="E17" s="42">
        <f>ROUND(HLOOKUP($C1,bs!$C$1:$AB$110,MATCH("*"&amp;$B17&amp;"*",bs!$B$1:$B$110,),FALSE),0)/IF(LEN($A$15)&gt;4,10000,1)</f>
        <v>0</v>
      </c>
      <c r="F17" s="42">
        <f>ROUND(HLOOKUP($C1,bs!$C$1:$AB$110,MATCH("*"&amp;$B17&amp;"*",bs!$B$1:$B$110,),FALSE),0)/IF(LEN($A$15)&gt;4,10000,1)</f>
        <v>0</v>
      </c>
    </row>
    <row r="18" spans="2:6">
      <c r="B18" s="20" t="s">
        <v>715</v>
      </c>
      <c r="C18" s="42">
        <f>ROUND(HLOOKUP(C$1,bs!$C$1:$AB$110,MATCH("*"&amp;$B18&amp;"*",bs!$B$1:$B$110,),FALSE),0)/IF(LEN($A$15)&gt;4,10000,1)</f>
        <v>0</v>
      </c>
      <c r="D18" s="42" t="e">
        <f>ROUND(HLOOKUP(D$1,bs!$C$1:$AB$110,MATCH("*"&amp;$B18&amp;"*",bs!$B$1:$B$110,),FALSE),0)/IF(LEN($A$15)&gt;4,10000,1)</f>
        <v>#N/A</v>
      </c>
      <c r="E18" s="42" t="e">
        <f>ROUND(HLOOKUP(E$1,bs!$C$1:$AB$110,MATCH("*"&amp;$B18&amp;"*",bs!$B$1:$B$110,),FALSE),0)/IF(LEN($A$15)&gt;4,10000,1)</f>
        <v>#N/A</v>
      </c>
      <c r="F18" s="42" t="e">
        <f>ROUND(HLOOKUP(F$1,bs!$C$1:$AB$110,MATCH("*"&amp;$B18&amp;"*",bs!$B$1:$B$110,),FALSE),0)/IF(LEN($A$15)&gt;4,10000,1)</f>
        <v>#N/A</v>
      </c>
    </row>
    <row r="19" spans="2:6">
      <c r="B19" s="43" t="s">
        <v>367</v>
      </c>
      <c r="C19" s="42">
        <f>ROUND(HLOOKUP(C$1,bs!$C$1:$AB$110,MATCH("*"&amp;$B19&amp;"*",bs!$B$1:$B$110,),FALSE),0)/IF(LEN($A$15)&gt;4,10000,1)</f>
        <v>0</v>
      </c>
      <c r="D19" s="42" t="e">
        <f>ROUND(HLOOKUP(D$1,bs!$C$1:$AB$110,MATCH("*"&amp;$B19&amp;"*",bs!$B$1:$B$110,),FALSE),0)/IF(LEN($A$15)&gt;4,10000,1)</f>
        <v>#N/A</v>
      </c>
      <c r="E19" s="42" t="e">
        <f>ROUND(HLOOKUP(E$1,bs!$C$1:$AB$110,MATCH("*"&amp;$B19&amp;"*",bs!$B$1:$B$110,),FALSE),0)/IF(LEN($A$15)&gt;4,10000,1)</f>
        <v>#N/A</v>
      </c>
      <c r="F19" s="42" t="e">
        <f>ROUND(HLOOKUP(F$1,bs!$C$1:$AB$110,MATCH("*"&amp;$B19&amp;"*",bs!$B$1:$B$110,),FALSE),0)/IF(LEN($A$15)&gt;4,10000,1)</f>
        <v>#N/A</v>
      </c>
    </row>
    <row r="20" spans="2:6">
      <c r="B20" s="20" t="s">
        <v>599</v>
      </c>
      <c r="C20" s="42">
        <f>ROUND(HLOOKUP(C$1,bs!$C$1:$AB$110,MATCH("*"&amp;$B20&amp;"*",bs!$B$1:$B$110,),FALSE),0)/IF(LEN($A$15)&gt;4,10000,1)</f>
        <v>0</v>
      </c>
      <c r="D20" s="42" t="e">
        <f>ROUND(HLOOKUP(D$1,bs!$C$1:$AB$110,MATCH("*"&amp;$B20&amp;"*",bs!$B$1:$B$110,),FALSE),0)/IF(LEN($A$15)&gt;4,10000,1)</f>
        <v>#N/A</v>
      </c>
      <c r="E20" s="42" t="e">
        <f>ROUND(HLOOKUP(E$1,bs!$C$1:$AB$110,MATCH("*"&amp;$B20&amp;"*",bs!$B$1:$B$110,),FALSE),0)/IF(LEN($A$15)&gt;4,10000,1)</f>
        <v>#N/A</v>
      </c>
      <c r="F20" s="42" t="e">
        <f>ROUND(HLOOKUP(F$1,bs!$C$1:$AB$110,MATCH("*"&amp;$B20&amp;"*",bs!$B$1:$B$110,),FALSE),0)/IF(LEN($A$15)&gt;4,10000,1)</f>
        <v>#N/A</v>
      </c>
    </row>
    <row r="21" spans="2:6">
      <c r="B21" s="20" t="s">
        <v>716</v>
      </c>
      <c r="C21" s="42">
        <f>ROUND(HLOOKUP(C$1,bs!$C$1:$AB$110,MATCH("*"&amp;$B21&amp;"*",bs!$B$1:$B$110,),FALSE),0)/IF(LEN($A$15)&gt;4,10000,1)</f>
        <v>0</v>
      </c>
      <c r="D21" s="42" t="e">
        <f>ROUND(HLOOKUP(D$1,bs!$C$1:$AB$110,MATCH("*"&amp;$B21&amp;"*",bs!$B$1:$B$110,),FALSE),0)/IF(LEN($A$15)&gt;4,10000,1)</f>
        <v>#N/A</v>
      </c>
      <c r="E21" s="42" t="e">
        <f>ROUND(HLOOKUP(E$1,bs!$C$1:$AB$110,MATCH("*"&amp;$B21&amp;"*",bs!$B$1:$B$110,),FALSE),0)/IF(LEN($A$15)&gt;4,10000,1)</f>
        <v>#N/A</v>
      </c>
      <c r="F21" s="42" t="e">
        <f>ROUND(HLOOKUP(F$1,bs!$C$1:$AB$110,MATCH("*"&amp;$B21&amp;"*",bs!$B$1:$B$110,),FALSE),0)/IF(LEN($A$15)&gt;4,10000,1)</f>
        <v>#N/A</v>
      </c>
    </row>
    <row r="22" spans="2:6">
      <c r="B22" s="20" t="s">
        <v>600</v>
      </c>
      <c r="C22" s="42">
        <f>ROUND(HLOOKUP(C$1,bs!$C$1:$AB$110,MATCH("*"&amp;$B22&amp;"*",bs!$B$1:$B$110,),FALSE),0)/IF(LEN($A$15)&gt;4,10000,1)</f>
        <v>0</v>
      </c>
      <c r="D22" s="42" t="e">
        <f>ROUND(HLOOKUP(D$1,bs!$C$1:$AB$110,MATCH("*"&amp;$B22&amp;"*",bs!$B$1:$B$110,),FALSE),0)/IF(LEN($A$15)&gt;4,10000,1)</f>
        <v>#N/A</v>
      </c>
      <c r="E22" s="42" t="e">
        <f>ROUND(HLOOKUP(E$1,bs!$C$1:$AB$110,MATCH("*"&amp;$B22&amp;"*",bs!$B$1:$B$110,),FALSE),0)/IF(LEN($A$15)&gt;4,10000,1)</f>
        <v>#N/A</v>
      </c>
      <c r="F22" s="42" t="e">
        <f>ROUND(HLOOKUP(F$1,bs!$C$1:$AB$110,MATCH("*"&amp;$B22&amp;"*",bs!$B$1:$B$110,),FALSE),0)/IF(LEN($A$15)&gt;4,10000,1)</f>
        <v>#N/A</v>
      </c>
    </row>
    <row r="23" spans="2:6">
      <c r="B23" s="20" t="s">
        <v>717</v>
      </c>
      <c r="C23" s="42">
        <f>SUM(C16,C19,C20,C22)</f>
        <v>0</v>
      </c>
      <c r="D23" s="42" t="e">
        <f>SUM(D16,D19,D20,D22)</f>
        <v>#N/A</v>
      </c>
      <c r="E23" s="42" t="e">
        <f>SUM(E16,E19,E20,E22)</f>
        <v>#N/A</v>
      </c>
      <c r="F23" s="42" t="e">
        <f>SUM(F16,F19,F20,F22)</f>
        <v>#N/A</v>
      </c>
    </row>
    <row r="24" spans="2:6">
      <c r="C24" s="44"/>
      <c r="D24" s="44"/>
      <c r="E24" s="44"/>
      <c r="F24" s="44"/>
    </row>
    <row r="25" spans="2:6">
      <c r="C25" s="44"/>
      <c r="D25" s="44"/>
      <c r="E25" s="44"/>
      <c r="F25" s="44"/>
    </row>
  </sheetData>
  <mergeCells count="3">
    <mergeCell ref="B10:F10"/>
    <mergeCell ref="A3:A7"/>
    <mergeCell ref="A8:A9"/>
  </mergeCells>
  <dataValidations count="1">
    <dataValidation type="list" allowBlank="1" showInputMessage="1" showErrorMessage="1" sqref="A15">
      <formula1>"单位：元,单位：万元"</formula1>
    </dataValidation>
  </dataValidation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6"/>
  <sheetViews>
    <sheetView workbookViewId="0">
      <selection activeCell="F21" sqref="F21"/>
    </sheetView>
  </sheetViews>
  <sheetFormatPr defaultColWidth="9" defaultRowHeight="15.2" outlineLevelRow="5"/>
  <sheetData>
    <row r="1" spans="1:1">
      <c r="A1" s="20" t="s">
        <v>718</v>
      </c>
    </row>
    <row r="2" spans="1:1">
      <c r="A2" t="s">
        <v>719</v>
      </c>
    </row>
    <row r="3" ht="16" customHeight="1" spans="1:1">
      <c r="A3" t="s">
        <v>720</v>
      </c>
    </row>
    <row r="4" spans="1:1">
      <c r="A4" t="s">
        <v>721</v>
      </c>
    </row>
    <row r="5" ht="16" customHeight="1" spans="1:1">
      <c r="A5" t="s">
        <v>722</v>
      </c>
    </row>
    <row r="6" ht="16" customHeight="1" spans="1:1">
      <c r="A6" t="s">
        <v>723</v>
      </c>
    </row>
  </sheetData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I7" sqref="I7"/>
    </sheetView>
  </sheetViews>
  <sheetFormatPr defaultColWidth="9" defaultRowHeight="15.2" outlineLevelRow="7"/>
  <cols>
    <col min="1" max="1" width="18" customWidth="1"/>
    <col min="4" max="4" width="15.1428571428571" customWidth="1"/>
    <col min="5" max="5" width="9.71428571428571" customWidth="1"/>
    <col min="8" max="8" width="10.2857142857143" customWidth="1"/>
  </cols>
  <sheetData>
    <row r="1" spans="1:9">
      <c r="A1" s="21" t="s">
        <v>724</v>
      </c>
      <c r="B1" s="21" t="s">
        <v>725</v>
      </c>
      <c r="C1" s="21" t="s">
        <v>726</v>
      </c>
      <c r="D1" s="21" t="s">
        <v>727</v>
      </c>
    </row>
    <row r="2" spans="1:9">
      <c r="A2" s="22" t="s">
        <v>728</v>
      </c>
      <c r="B2" s="23" t="str">
        <f>LEFT(A2,4)</f>
        <v>2024</v>
      </c>
      <c r="C2" s="23" t="str">
        <f>RIGHT(A2,2)</f>
        <v>12</v>
      </c>
      <c r="D2" s="24" t="str">
        <f>TEXT(DATE(B2,C2+1,0),"e/m/d")</f>
        <v>2024/12/31</v>
      </c>
      <c r="E2" s="25" t="str">
        <f>B2&amp;B1&amp;C2&amp;C1</f>
        <v>2024年12月</v>
      </c>
      <c r="F2">
        <f t="shared" ref="F2:F8" si="0">$B$2-I2</f>
        <v>2023</v>
      </c>
      <c r="G2" t="s">
        <v>729</v>
      </c>
      <c r="H2" t="str">
        <f t="shared" ref="H2:H8" si="1">F2&amp;$G$2</f>
        <v>2023/12/31</v>
      </c>
      <c r="I2">
        <v>1</v>
      </c>
    </row>
    <row r="3" spans="1:9">
      <c r="F3">
        <f t="shared" si="0"/>
        <v>2022</v>
      </c>
      <c r="H3" t="str">
        <f t="shared" si="1"/>
        <v>2022/12/31</v>
      </c>
      <c r="I3">
        <v>2</v>
      </c>
    </row>
    <row r="4" spans="1:9">
      <c r="A4" s="25"/>
      <c r="F4">
        <f t="shared" si="0"/>
        <v>2021</v>
      </c>
      <c r="H4" t="str">
        <f t="shared" si="1"/>
        <v>2021/12/31</v>
      </c>
      <c r="I4">
        <v>3</v>
      </c>
    </row>
    <row r="5" spans="1:9">
      <c r="F5">
        <f t="shared" si="0"/>
        <v>2020</v>
      </c>
      <c r="H5" t="str">
        <f t="shared" si="1"/>
        <v>2020/12/31</v>
      </c>
      <c r="I5">
        <v>4</v>
      </c>
    </row>
    <row r="6" spans="1:9">
      <c r="F6">
        <f t="shared" si="0"/>
        <v>2019</v>
      </c>
      <c r="H6" t="str">
        <f t="shared" si="1"/>
        <v>2019/12/31</v>
      </c>
      <c r="I6">
        <v>5</v>
      </c>
    </row>
    <row r="7" spans="1:9">
      <c r="F7">
        <f t="shared" si="0"/>
        <v>2018</v>
      </c>
      <c r="H7" t="str">
        <f t="shared" si="1"/>
        <v>2018/12/31</v>
      </c>
      <c r="I7">
        <v>6</v>
      </c>
    </row>
    <row r="8" spans="1:9">
      <c r="F8">
        <f t="shared" si="0"/>
        <v>2017</v>
      </c>
      <c r="H8" t="str">
        <f t="shared" si="1"/>
        <v>2017/12/31</v>
      </c>
      <c r="I8">
        <v>7</v>
      </c>
    </row>
  </sheetData>
  <pageMargins left="0.7" right="0.7" top="0.75" bottom="0.75" header="0.3" footer="0.3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7"/>
  <sheetViews>
    <sheetView workbookViewId="0">
      <selection activeCell="A8" sqref="A8"/>
    </sheetView>
  </sheetViews>
  <sheetFormatPr defaultColWidth="9.14285714285714" defaultRowHeight="15.2" outlineLevelRow="6" outlineLevelCol="5"/>
  <cols>
    <col min="1" max="1" width="5.28571428571429" customWidth="1"/>
    <col min="2" max="2" width="12.7142857142857" customWidth="1"/>
    <col min="3" max="3" width="19.1428571428571" customWidth="1"/>
    <col min="4" max="4" width="14.7142857142857" customWidth="1"/>
    <col min="5" max="5" width="24.4285714285714" customWidth="1"/>
    <col min="6" max="6" width="4.71428571428571" customWidth="1"/>
  </cols>
  <sheetData>
    <row r="1" ht="15.6" customHeight="1" spans="1:6">
      <c r="A1" s="10"/>
      <c r="B1" s="10"/>
      <c r="C1" s="11"/>
      <c r="D1" s="11"/>
      <c r="E1" s="11"/>
      <c r="F1" s="11"/>
    </row>
    <row r="2" ht="15.6" customHeight="1" spans="1:6">
      <c r="A2" s="12"/>
      <c r="B2" s="13"/>
      <c r="C2" s="14"/>
      <c r="D2" s="15"/>
      <c r="E2" s="12"/>
      <c r="F2" s="12"/>
    </row>
    <row r="3" ht="15.6" customHeight="1" spans="1:6">
      <c r="A3" s="12"/>
      <c r="B3" s="13"/>
      <c r="C3" s="16"/>
      <c r="D3" s="15"/>
      <c r="E3" s="12"/>
      <c r="F3" s="12"/>
    </row>
    <row r="4" ht="15.6" customHeight="1" spans="1:6">
      <c r="A4" s="12"/>
      <c r="B4" s="13"/>
      <c r="C4" s="16"/>
      <c r="D4" s="15"/>
      <c r="E4" s="12"/>
      <c r="F4" s="12"/>
    </row>
    <row r="5" spans="1:6">
      <c r="A5" s="17"/>
      <c r="B5" s="18"/>
      <c r="C5" s="18"/>
      <c r="D5" s="19"/>
      <c r="E5" s="18"/>
      <c r="F5" s="18"/>
    </row>
    <row r="6" spans="1:6">
      <c r="B6" t="s">
        <v>730</v>
      </c>
    </row>
    <row r="7" spans="1:6">
      <c r="B7" s="20" t="s">
        <v>731</v>
      </c>
    </row>
  </sheetData>
  <pageMargins left="0.75" right="0.75" top="1" bottom="1" header="0.5" footer="0.5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9"/>
  <sheetViews>
    <sheetView workbookViewId="0">
      <selection activeCell="E8" sqref="A2:E8"/>
    </sheetView>
  </sheetViews>
  <sheetFormatPr defaultColWidth="9" defaultRowHeight="15.2" outlineLevelCol="4"/>
  <cols>
    <col min="1" max="1" width="5" customWidth="1"/>
    <col min="2" max="2" width="39.4285714285714" customWidth="1"/>
    <col min="3" max="3" width="12.8571428571429" customWidth="1"/>
    <col min="4" max="4" width="20.7142857142857" customWidth="1"/>
    <col min="5" max="5" width="14.8571428571429" customWidth="1"/>
  </cols>
  <sheetData>
    <row r="1" ht="16.8" customHeight="1" spans="1:5">
      <c r="A1" s="1" t="s">
        <v>732</v>
      </c>
      <c r="B1" s="2"/>
      <c r="C1" s="2"/>
      <c r="D1" s="2"/>
      <c r="E1" s="3"/>
    </row>
    <row r="2" ht="16.8" customHeight="1" spans="1:5">
      <c r="A2" s="1" t="s">
        <v>733</v>
      </c>
      <c r="B2" s="1" t="s">
        <v>734</v>
      </c>
      <c r="C2" s="1" t="s">
        <v>735</v>
      </c>
      <c r="D2" s="1" t="s">
        <v>736</v>
      </c>
      <c r="E2" s="1" t="s">
        <v>737</v>
      </c>
    </row>
    <row r="3" ht="16.8" customHeight="1" spans="1:5">
      <c r="A3" s="4">
        <v>1</v>
      </c>
      <c r="B3" s="4" t="s">
        <v>738</v>
      </c>
      <c r="C3" s="4" t="s">
        <v>739</v>
      </c>
      <c r="D3" s="5">
        <v>38153768.4100311</v>
      </c>
      <c r="E3" s="6" t="e">
        <f>D3/bs!$D$9</f>
        <v>#DIV/0!</v>
      </c>
    </row>
    <row r="4" ht="16.8" customHeight="1" spans="1:5">
      <c r="A4" s="4">
        <v>2</v>
      </c>
      <c r="B4" s="4" t="s">
        <v>740</v>
      </c>
      <c r="C4" s="4" t="s">
        <v>739</v>
      </c>
      <c r="D4" s="5">
        <v>19345181.8145461</v>
      </c>
      <c r="E4" s="6" t="e">
        <f>D4/bs!$D$9</f>
        <v>#DIV/0!</v>
      </c>
    </row>
    <row r="5" ht="16.8" customHeight="1" spans="1:5">
      <c r="A5" s="4">
        <v>3</v>
      </c>
      <c r="B5" s="4" t="s">
        <v>741</v>
      </c>
      <c r="C5" s="4" t="s">
        <v>739</v>
      </c>
      <c r="D5" s="5">
        <v>15144306.6453982</v>
      </c>
      <c r="E5" s="6" t="e">
        <f>D5/bs!$D$9</f>
        <v>#DIV/0!</v>
      </c>
    </row>
    <row r="6" ht="16.8" customHeight="1" spans="1:5">
      <c r="A6" s="4">
        <v>4</v>
      </c>
      <c r="B6" s="7" t="s">
        <v>742</v>
      </c>
      <c r="C6" s="4" t="s">
        <v>743</v>
      </c>
      <c r="D6" s="8">
        <v>14230500</v>
      </c>
      <c r="E6" s="6" t="e">
        <f>D6/bs!$D$9</f>
        <v>#DIV/0!</v>
      </c>
    </row>
    <row r="7" ht="16.8" customHeight="1" spans="1:5">
      <c r="A7" s="4">
        <v>5</v>
      </c>
      <c r="B7" s="7" t="s">
        <v>744</v>
      </c>
      <c r="C7" s="4" t="s">
        <v>739</v>
      </c>
      <c r="D7" s="8">
        <v>11559092.5317092</v>
      </c>
      <c r="E7" s="6" t="e">
        <f>D7/bs!$D$9</f>
        <v>#DIV/0!</v>
      </c>
    </row>
    <row r="8" ht="16.8" customHeight="1" spans="1:5">
      <c r="A8" s="9"/>
      <c r="B8" s="9"/>
      <c r="C8" s="4" t="s">
        <v>745</v>
      </c>
      <c r="D8" s="5">
        <f>SUM(D3:D7)</f>
        <v>98432849.4016846</v>
      </c>
      <c r="E8" s="6" t="e">
        <f>D8/bs!$D$9</f>
        <v>#DIV/0!</v>
      </c>
    </row>
    <row r="9" ht="16.8" customHeight="1" spans="1:5">
      <c r="A9" s="9"/>
      <c r="B9" s="9"/>
      <c r="C9" s="4"/>
      <c r="D9" s="5"/>
      <c r="E9" s="9"/>
    </row>
  </sheetData>
  <mergeCells count="1">
    <mergeCell ref="A1:E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徐晓冬</cp:lastModifiedBy>
  <dcterms:created xsi:type="dcterms:W3CDTF">2012-10-11T05:54:00Z</dcterms:created>
  <dcterms:modified xsi:type="dcterms:W3CDTF">2026-02-27T22:14:13Z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2052-12.1.25201.25201</vt:lpwstr>
  </property>
  <property fmtid="{D5CDD505-2E9C-101B-9397-08002B2CF9AE}" pid="3" name="ICV">
    <vt:lpwstr>D7C7F2545298C68903DB9E697DD4789C_43</vt:lpwstr>
  </property>
  <property fmtid="{D5CDD505-2E9C-101B-9397-08002B2CF9AE}" pid="4" name="部门">
    <vt:lpwstr>业务四部</vt:lpwstr>
  </property>
  <property fmtid="{D5CDD505-2E9C-101B-9397-08002B2CF9AE}" pid="5" name="CalculationRule">
    <vt:i4>0</vt:i4>
  </property>
</Properties>
</file>