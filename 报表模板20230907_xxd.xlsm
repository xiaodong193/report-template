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SynologyDrive\外贸金租工作文档\模板\"/>
    </mc:Choice>
  </mc:AlternateContent>
  <xr:revisionPtr revIDLastSave="0" documentId="13_ncr:1_{575D87C5-159D-4B00-92B3-6E921D4DE55A}" xr6:coauthVersionLast="47" xr6:coauthVersionMax="47" xr10:uidLastSave="{00000000-0000-0000-0000-000000000000}"/>
  <bookViews>
    <workbookView xWindow="-120" yWindow="-120" windowWidth="29040" windowHeight="15720" tabRatio="885" xr2:uid="{00000000-000D-0000-FFFF-FFFF00000000}"/>
  </bookViews>
  <sheets>
    <sheet name="bs" sheetId="4" r:id="rId1"/>
    <sheet name="pl" sheetId="9" r:id="rId2"/>
    <sheet name="cf" sheetId="13" r:id="rId3"/>
    <sheet name="财务分析（2022）" sheetId="25" r:id="rId4"/>
    <sheet name="财务分析-万位" sheetId="8" state="hidden" r:id="rId5"/>
    <sheet name="资产负债权益结构分析" sheetId="22" r:id="rId6"/>
    <sheet name="现金流分析表" sheetId="19" r:id="rId7"/>
    <sheet name="财务对比分析表" sheetId="20" r:id="rId8"/>
    <sheet name="财务变化表" sheetId="21" r:id="rId9"/>
    <sheet name="刚性负债情况" sheetId="26" r:id="rId10"/>
    <sheet name="版本更新说明" sheetId="24" r:id="rId11"/>
    <sheet name="初始设置" sheetId="23" r:id="rId12"/>
    <sheet name="Sheet1" sheetId="27" r:id="rId13"/>
  </sheets>
  <definedNames>
    <definedName name="_xlnm._FilterDatabase" localSheetId="0" hidden="1">bs!$A$1:$H$111</definedName>
    <definedName name="_xlnm._FilterDatabase" localSheetId="2" hidden="1">cf!$A$1:$G$39</definedName>
    <definedName name="_xlnm._FilterDatabase" localSheetId="1" hidden="1">pl!$A$1:$H$46</definedName>
    <definedName name="_xlnm.Print_Area" localSheetId="3">'财务分析（2022）'!$A$1:$E$93</definedName>
  </definedNames>
  <calcPr calcId="191029"/>
  <customWorkbookViews>
    <customWorkbookView name="显示全部视图" guid="{EFE5EB9F-962C-4232-9E60-22B2AE19D01B}" maximized="1" xWindow="-8" yWindow="-8" windowWidth="1456" windowHeight="876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5" i="9" l="1"/>
  <c r="D65" i="9"/>
  <c r="E65" i="9"/>
  <c r="F65" i="9"/>
  <c r="G65" i="9"/>
  <c r="H65" i="9"/>
  <c r="I65" i="9"/>
  <c r="C41" i="9"/>
  <c r="D41" i="9"/>
  <c r="E41" i="9"/>
  <c r="F41" i="9"/>
  <c r="G41" i="9"/>
  <c r="H41" i="9"/>
  <c r="I41" i="9"/>
  <c r="C39" i="9"/>
  <c r="D39" i="9"/>
  <c r="E39" i="9"/>
  <c r="F39" i="9"/>
  <c r="G39" i="9"/>
  <c r="H39" i="9"/>
  <c r="I39" i="9"/>
  <c r="C36" i="9"/>
  <c r="D36" i="9"/>
  <c r="E36" i="9"/>
  <c r="F36" i="9"/>
  <c r="G36" i="9"/>
  <c r="H36" i="9"/>
  <c r="I36" i="9"/>
  <c r="C9" i="9"/>
  <c r="D9" i="9"/>
  <c r="E9" i="9"/>
  <c r="F9" i="9"/>
  <c r="G9" i="9"/>
  <c r="H9" i="9"/>
  <c r="I9" i="9"/>
  <c r="C2" i="9"/>
  <c r="D2" i="9"/>
  <c r="E2" i="9"/>
  <c r="F2" i="9"/>
  <c r="G2" i="9"/>
  <c r="H2" i="9"/>
  <c r="I2" i="9"/>
  <c r="D57" i="13"/>
  <c r="E57" i="13"/>
  <c r="F57" i="13"/>
  <c r="G57" i="13"/>
  <c r="H57" i="13"/>
  <c r="I57" i="13"/>
  <c r="D55" i="13"/>
  <c r="E55" i="13"/>
  <c r="F55" i="13"/>
  <c r="G55" i="13"/>
  <c r="H55" i="13"/>
  <c r="I55" i="13"/>
  <c r="D53" i="13"/>
  <c r="E53" i="13"/>
  <c r="F53" i="13"/>
  <c r="G53" i="13"/>
  <c r="H53" i="13"/>
  <c r="I53" i="13"/>
  <c r="D52" i="13"/>
  <c r="E52" i="13"/>
  <c r="F52" i="13"/>
  <c r="G52" i="13"/>
  <c r="H52" i="13"/>
  <c r="I52" i="13"/>
  <c r="D48" i="13"/>
  <c r="E48" i="13"/>
  <c r="F48" i="13"/>
  <c r="G48" i="13"/>
  <c r="H48" i="13"/>
  <c r="I48" i="13"/>
  <c r="D42" i="13"/>
  <c r="E42" i="13"/>
  <c r="F42" i="13"/>
  <c r="G42" i="13"/>
  <c r="H42" i="13"/>
  <c r="I42" i="13"/>
  <c r="D41" i="13"/>
  <c r="E41" i="13"/>
  <c r="F41" i="13"/>
  <c r="G41" i="13"/>
  <c r="H41" i="13"/>
  <c r="I41" i="13"/>
  <c r="D35" i="13"/>
  <c r="E35" i="13"/>
  <c r="F35" i="13"/>
  <c r="G35" i="13"/>
  <c r="H35" i="13"/>
  <c r="I35" i="13"/>
  <c r="D28" i="13"/>
  <c r="E28" i="13"/>
  <c r="F28" i="13"/>
  <c r="G28" i="13"/>
  <c r="H28" i="13"/>
  <c r="I28" i="13"/>
  <c r="D27" i="13"/>
  <c r="E27" i="13"/>
  <c r="F27" i="13"/>
  <c r="G27" i="13"/>
  <c r="H27" i="13"/>
  <c r="I27" i="13"/>
  <c r="D16" i="13"/>
  <c r="E16" i="13"/>
  <c r="F16" i="13"/>
  <c r="G16" i="13"/>
  <c r="H16" i="13"/>
  <c r="I16" i="13"/>
  <c r="C57" i="13"/>
  <c r="C55" i="13"/>
  <c r="C53" i="13"/>
  <c r="C52" i="13"/>
  <c r="C48" i="13"/>
  <c r="C42" i="13"/>
  <c r="C41" i="13"/>
  <c r="C35" i="13"/>
  <c r="C28" i="13"/>
  <c r="C27" i="13"/>
  <c r="C16" i="13"/>
  <c r="J65" i="9"/>
  <c r="J41" i="9"/>
  <c r="J39" i="9"/>
  <c r="J36" i="9"/>
  <c r="J9" i="9"/>
  <c r="J2" i="9"/>
  <c r="C24" i="4"/>
  <c r="C52" i="4"/>
  <c r="C53" i="4"/>
  <c r="C78" i="4"/>
  <c r="C93" i="4"/>
  <c r="C107" i="4"/>
  <c r="C109" i="4" s="1"/>
  <c r="E110" i="4"/>
  <c r="F110" i="4"/>
  <c r="G110" i="4"/>
  <c r="H110" i="4"/>
  <c r="I110" i="4"/>
  <c r="J110" i="4"/>
  <c r="E109" i="4"/>
  <c r="F109" i="4"/>
  <c r="F53" i="4" s="1"/>
  <c r="G109" i="4"/>
  <c r="G53" i="4" s="1"/>
  <c r="H109" i="4"/>
  <c r="I109" i="4"/>
  <c r="I53" i="4" s="1"/>
  <c r="J109" i="4"/>
  <c r="E107" i="4"/>
  <c r="F107" i="4"/>
  <c r="G107" i="4"/>
  <c r="H107" i="4"/>
  <c r="I107" i="4"/>
  <c r="J107" i="4"/>
  <c r="E94" i="4"/>
  <c r="E53" i="4" s="1"/>
  <c r="F94" i="4"/>
  <c r="G94" i="4"/>
  <c r="H94" i="4"/>
  <c r="H53" i="4" s="1"/>
  <c r="I94" i="4"/>
  <c r="J94" i="4"/>
  <c r="E93" i="4"/>
  <c r="F93" i="4"/>
  <c r="G93" i="4"/>
  <c r="H93" i="4"/>
  <c r="I93" i="4"/>
  <c r="J93" i="4"/>
  <c r="E78" i="4"/>
  <c r="F78" i="4"/>
  <c r="G78" i="4"/>
  <c r="H78" i="4"/>
  <c r="I78" i="4"/>
  <c r="J78" i="4"/>
  <c r="J53" i="4"/>
  <c r="E52" i="4"/>
  <c r="F52" i="4"/>
  <c r="G52" i="4"/>
  <c r="H52" i="4"/>
  <c r="I52" i="4"/>
  <c r="J52" i="4"/>
  <c r="E24" i="4"/>
  <c r="F24" i="4"/>
  <c r="G24" i="4"/>
  <c r="H24" i="4"/>
  <c r="I24" i="4"/>
  <c r="J24" i="4"/>
  <c r="D110" i="4"/>
  <c r="D107" i="4"/>
  <c r="D93" i="4"/>
  <c r="D78" i="4"/>
  <c r="D52" i="4"/>
  <c r="D24" i="4"/>
  <c r="D109" i="4"/>
  <c r="M13" i="4"/>
  <c r="M14" i="4"/>
  <c r="M15" i="4"/>
  <c r="M16" i="4"/>
  <c r="M17" i="4"/>
  <c r="M18" i="4"/>
  <c r="M19" i="4"/>
  <c r="M20" i="4"/>
  <c r="M21" i="4"/>
  <c r="M22" i="4"/>
  <c r="M23" i="4"/>
  <c r="L13" i="4"/>
  <c r="L14" i="4"/>
  <c r="L15" i="4"/>
  <c r="L16" i="4"/>
  <c r="L17" i="4"/>
  <c r="L18" i="4"/>
  <c r="L19" i="4"/>
  <c r="L20" i="4"/>
  <c r="L21" i="4"/>
  <c r="L22" i="4"/>
  <c r="L23" i="4"/>
  <c r="B10" i="8"/>
  <c r="L78" i="4"/>
  <c r="C3" i="25"/>
  <c r="D5" i="27"/>
  <c r="C2" i="23"/>
  <c r="B2" i="23"/>
  <c r="F3" i="23" s="1"/>
  <c r="H3" i="23" s="1"/>
  <c r="E9" i="26"/>
  <c r="F8" i="26"/>
  <c r="E8" i="26"/>
  <c r="D8" i="26"/>
  <c r="F7" i="26"/>
  <c r="E7" i="26"/>
  <c r="D7" i="26"/>
  <c r="C7" i="26"/>
  <c r="F4" i="26"/>
  <c r="E4" i="26"/>
  <c r="D4" i="26"/>
  <c r="F3" i="26"/>
  <c r="E3" i="26"/>
  <c r="D3" i="26"/>
  <c r="C3" i="26"/>
  <c r="F2" i="26"/>
  <c r="E2" i="26"/>
  <c r="D2" i="26"/>
  <c r="C1" i="26"/>
  <c r="C3" i="21"/>
  <c r="F2" i="21"/>
  <c r="I25" i="20"/>
  <c r="H25" i="20" s="1"/>
  <c r="K24" i="20"/>
  <c r="J24" i="20"/>
  <c r="I24" i="20"/>
  <c r="H24" i="20"/>
  <c r="K12" i="20"/>
  <c r="J12" i="20"/>
  <c r="I12" i="20"/>
  <c r="H12" i="20"/>
  <c r="G11" i="20"/>
  <c r="G10" i="20"/>
  <c r="G9" i="20"/>
  <c r="G8" i="20"/>
  <c r="G7" i="20"/>
  <c r="G6" i="20"/>
  <c r="G5" i="20"/>
  <c r="G4" i="20"/>
  <c r="G3" i="20"/>
  <c r="B1" i="20"/>
  <c r="B8" i="20" s="1"/>
  <c r="H8" i="20" s="1"/>
  <c r="G11" i="19"/>
  <c r="G10" i="19"/>
  <c r="G9" i="19"/>
  <c r="G8" i="19"/>
  <c r="G7" i="19"/>
  <c r="G6" i="19"/>
  <c r="G5" i="19"/>
  <c r="G4" i="19"/>
  <c r="G3" i="19"/>
  <c r="G2" i="19"/>
  <c r="G1" i="19"/>
  <c r="B1" i="19"/>
  <c r="B11" i="19" s="1"/>
  <c r="H11" i="19" s="1"/>
  <c r="C2" i="22"/>
  <c r="C16" i="22" s="1"/>
  <c r="A75" i="8"/>
  <c r="A74" i="8"/>
  <c r="A73" i="8"/>
  <c r="A72" i="8"/>
  <c r="A71" i="8"/>
  <c r="A70" i="8"/>
  <c r="B69" i="8"/>
  <c r="A69" i="8"/>
  <c r="A68" i="8"/>
  <c r="B61" i="8"/>
  <c r="A61" i="8"/>
  <c r="A60" i="8"/>
  <c r="B20" i="8"/>
  <c r="B19" i="8"/>
  <c r="B18" i="8"/>
  <c r="B12" i="8"/>
  <c r="B11" i="8"/>
  <c r="B9" i="8"/>
  <c r="B8" i="8"/>
  <c r="B6" i="8"/>
  <c r="B3" i="8"/>
  <c r="B2" i="8"/>
  <c r="E1" i="8"/>
  <c r="E20" i="8" s="1"/>
  <c r="D1" i="8"/>
  <c r="D20" i="8" s="1"/>
  <c r="C1" i="8"/>
  <c r="C2" i="8" s="1"/>
  <c r="G71" i="25"/>
  <c r="B63" i="25"/>
  <c r="B48" i="25"/>
  <c r="B47" i="25"/>
  <c r="B44" i="25"/>
  <c r="B37" i="25"/>
  <c r="B19" i="25"/>
  <c r="B18" i="25"/>
  <c r="B17" i="25"/>
  <c r="B15" i="25"/>
  <c r="B14" i="25"/>
  <c r="B13" i="25"/>
  <c r="B10" i="25"/>
  <c r="B8" i="25"/>
  <c r="B7" i="25"/>
  <c r="B6" i="25"/>
  <c r="B62" i="25"/>
  <c r="B51" i="25"/>
  <c r="B46" i="25"/>
  <c r="B45" i="25"/>
  <c r="B17" i="8"/>
  <c r="B16" i="8"/>
  <c r="L110" i="4"/>
  <c r="L109" i="4"/>
  <c r="M108" i="4"/>
  <c r="L108" i="4"/>
  <c r="L107" i="4"/>
  <c r="M101" i="4"/>
  <c r="L101" i="4"/>
  <c r="L100" i="4"/>
  <c r="M100" i="4"/>
  <c r="L99" i="4"/>
  <c r="M99" i="4"/>
  <c r="M98" i="4"/>
  <c r="L98" i="4"/>
  <c r="M97" i="4"/>
  <c r="L97" i="4"/>
  <c r="L96" i="4"/>
  <c r="M96" i="4"/>
  <c r="L95" i="4"/>
  <c r="M95" i="4"/>
  <c r="L94" i="4"/>
  <c r="L93" i="4"/>
  <c r="L85" i="4"/>
  <c r="C9" i="26"/>
  <c r="D9" i="26"/>
  <c r="F9" i="26"/>
  <c r="L84" i="4"/>
  <c r="M83" i="4"/>
  <c r="L83" i="4"/>
  <c r="M82" i="4"/>
  <c r="L82" i="4"/>
  <c r="M81" i="4"/>
  <c r="L81" i="4"/>
  <c r="C4" i="26"/>
  <c r="M80" i="4"/>
  <c r="L80" i="4"/>
  <c r="M79" i="4"/>
  <c r="L79" i="4"/>
  <c r="L65" i="4"/>
  <c r="M64" i="4"/>
  <c r="L64" i="4"/>
  <c r="M63" i="4"/>
  <c r="L63" i="4"/>
  <c r="M62" i="4"/>
  <c r="L62" i="4"/>
  <c r="M61" i="4"/>
  <c r="L61" i="4"/>
  <c r="M60" i="4"/>
  <c r="L60" i="4"/>
  <c r="L59" i="4"/>
  <c r="M59" i="4"/>
  <c r="M58" i="4"/>
  <c r="L58" i="4"/>
  <c r="L57" i="4"/>
  <c r="M57" i="4"/>
  <c r="L56" i="4"/>
  <c r="M56" i="4"/>
  <c r="M55" i="4"/>
  <c r="L55" i="4"/>
  <c r="M54" i="4"/>
  <c r="L54" i="4"/>
  <c r="K54" i="4"/>
  <c r="L53" i="4"/>
  <c r="L52" i="4"/>
  <c r="B5" i="8"/>
  <c r="B16" i="25"/>
  <c r="L24" i="4"/>
  <c r="B4" i="8"/>
  <c r="L12" i="4"/>
  <c r="M11" i="4"/>
  <c r="L11" i="4"/>
  <c r="L10" i="4"/>
  <c r="M10" i="4"/>
  <c r="M9" i="4"/>
  <c r="L9" i="4"/>
  <c r="M8" i="4"/>
  <c r="L8" i="4"/>
  <c r="L7" i="4"/>
  <c r="M7" i="4"/>
  <c r="L6" i="4"/>
  <c r="M6" i="4"/>
  <c r="M5" i="4"/>
  <c r="L5" i="4"/>
  <c r="L4" i="4"/>
  <c r="M4" i="4"/>
  <c r="M3" i="4"/>
  <c r="L3" i="4"/>
  <c r="M2" i="4"/>
  <c r="L2" i="4"/>
  <c r="C94" i="4" l="1"/>
  <c r="C110" i="4"/>
  <c r="D94" i="4"/>
  <c r="D53" i="4" s="1"/>
  <c r="M78" i="4"/>
  <c r="C4" i="22"/>
  <c r="B24" i="8"/>
  <c r="C64" i="25"/>
  <c r="D10" i="21" s="1"/>
  <c r="B6" i="20"/>
  <c r="H6" i="20" s="1"/>
  <c r="C48" i="22"/>
  <c r="D2" i="8"/>
  <c r="C17" i="8"/>
  <c r="D5" i="8"/>
  <c r="D9" i="8"/>
  <c r="B43" i="25"/>
  <c r="M12" i="4"/>
  <c r="H1" i="20"/>
  <c r="B4" i="20"/>
  <c r="H4" i="20" s="1"/>
  <c r="B5" i="20"/>
  <c r="H5" i="20" s="1"/>
  <c r="C54" i="22"/>
  <c r="E2" i="22"/>
  <c r="E17" i="22" s="1"/>
  <c r="C5" i="22"/>
  <c r="C20" i="22"/>
  <c r="C23" i="22"/>
  <c r="C28" i="22"/>
  <c r="C34" i="22"/>
  <c r="C42" i="22"/>
  <c r="D11" i="8"/>
  <c r="E61" i="8"/>
  <c r="D12" i="8"/>
  <c r="D3" i="8"/>
  <c r="E12" i="8"/>
  <c r="E5" i="8"/>
  <c r="D17" i="8"/>
  <c r="E69" i="8"/>
  <c r="D6" i="8"/>
  <c r="D8" i="8"/>
  <c r="C48" i="25"/>
  <c r="C51" i="25"/>
  <c r="E24" i="8"/>
  <c r="C24" i="8"/>
  <c r="B24" i="25"/>
  <c r="B7" i="8"/>
  <c r="D7" i="8"/>
  <c r="E7" i="8"/>
  <c r="E50" i="8" s="1"/>
  <c r="C21" i="25"/>
  <c r="D4" i="21" s="1"/>
  <c r="B15" i="8"/>
  <c r="B9" i="25"/>
  <c r="B12" i="25"/>
  <c r="B28" i="8"/>
  <c r="B71" i="8" s="1"/>
  <c r="B27" i="8"/>
  <c r="B70" i="8" s="1"/>
  <c r="B3" i="19"/>
  <c r="B56" i="25"/>
  <c r="B25" i="8"/>
  <c r="B7" i="19"/>
  <c r="H7" i="19" s="1"/>
  <c r="B60" i="25"/>
  <c r="B14" i="8"/>
  <c r="B13" i="8"/>
  <c r="B39" i="8"/>
  <c r="B40" i="8"/>
  <c r="B38" i="8"/>
  <c r="M65" i="4"/>
  <c r="C61" i="22"/>
  <c r="M84" i="4"/>
  <c r="B42" i="25"/>
  <c r="B80" i="25" s="1"/>
  <c r="B59" i="25"/>
  <c r="B61" i="25"/>
  <c r="B6" i="19"/>
  <c r="C4" i="8"/>
  <c r="C59" i="25"/>
  <c r="C16" i="8"/>
  <c r="C14" i="22"/>
  <c r="C44" i="25"/>
  <c r="C8" i="26"/>
  <c r="C2" i="26"/>
  <c r="D13" i="8"/>
  <c r="B64" i="25"/>
  <c r="C10" i="21" s="1"/>
  <c r="C7" i="25"/>
  <c r="C10" i="25"/>
  <c r="C13" i="25"/>
  <c r="C16" i="25"/>
  <c r="C19" i="25"/>
  <c r="C22" i="25"/>
  <c r="C25" i="25"/>
  <c r="C28" i="25"/>
  <c r="C34" i="25"/>
  <c r="C37" i="25"/>
  <c r="C40" i="25"/>
  <c r="C56" i="25"/>
  <c r="E18" i="8"/>
  <c r="E13" i="8"/>
  <c r="C5" i="8"/>
  <c r="E8" i="8"/>
  <c r="E16" i="8"/>
  <c r="E40" i="8" s="1"/>
  <c r="E66" i="22"/>
  <c r="B10" i="19"/>
  <c r="H10" i="19" s="1"/>
  <c r="C63" i="25"/>
  <c r="C15" i="8"/>
  <c r="B23" i="25"/>
  <c r="C45" i="25"/>
  <c r="C60" i="25"/>
  <c r="E9" i="8"/>
  <c r="C13" i="8"/>
  <c r="E17" i="8"/>
  <c r="E2" i="8"/>
  <c r="C22" i="22"/>
  <c r="E25" i="22"/>
  <c r="C32" i="22"/>
  <c r="B34" i="8"/>
  <c r="B37" i="8"/>
  <c r="B11" i="25"/>
  <c r="D3" i="25"/>
  <c r="E6" i="8"/>
  <c r="C10" i="8"/>
  <c r="C18" i="8"/>
  <c r="D1" i="26"/>
  <c r="C1" i="20"/>
  <c r="D3" i="21"/>
  <c r="C1" i="19"/>
  <c r="C8" i="25"/>
  <c r="C11" i="25"/>
  <c r="C14" i="25"/>
  <c r="C17" i="25"/>
  <c r="C20" i="25"/>
  <c r="C23" i="25"/>
  <c r="C26" i="25"/>
  <c r="C29" i="25"/>
  <c r="C32" i="25"/>
  <c r="C35" i="25"/>
  <c r="C38" i="25"/>
  <c r="C42" i="25"/>
  <c r="C57" i="25"/>
  <c r="E3" i="25"/>
  <c r="E10" i="8"/>
  <c r="C46" i="25"/>
  <c r="B55" i="25"/>
  <c r="C58" i="25"/>
  <c r="E3" i="8"/>
  <c r="C7" i="8"/>
  <c r="C19" i="8"/>
  <c r="E25" i="8"/>
  <c r="M85" i="4"/>
  <c r="C6" i="25"/>
  <c r="C9" i="25"/>
  <c r="C12" i="25"/>
  <c r="C15" i="25"/>
  <c r="C18" i="25"/>
  <c r="C24" i="25"/>
  <c r="C27" i="25"/>
  <c r="C30" i="25"/>
  <c r="C36" i="25"/>
  <c r="C39" i="25"/>
  <c r="C43" i="25"/>
  <c r="C55" i="25"/>
  <c r="C11" i="8"/>
  <c r="E19" i="8"/>
  <c r="C74" i="22"/>
  <c r="C71" i="22"/>
  <c r="C68" i="22"/>
  <c r="C58" i="22"/>
  <c r="C55" i="22"/>
  <c r="C52" i="22"/>
  <c r="C49" i="22"/>
  <c r="C46" i="22"/>
  <c r="C43" i="22"/>
  <c r="C33" i="22"/>
  <c r="C30" i="22"/>
  <c r="C27" i="22"/>
  <c r="C24" i="22"/>
  <c r="C21" i="22"/>
  <c r="C18" i="22"/>
  <c r="C12" i="22"/>
  <c r="C9" i="22"/>
  <c r="C6" i="22"/>
  <c r="C66" i="22"/>
  <c r="C57" i="22"/>
  <c r="C25" i="22"/>
  <c r="C7" i="22"/>
  <c r="C47" i="22"/>
  <c r="C39" i="22"/>
  <c r="C69" i="22"/>
  <c r="C60" i="22"/>
  <c r="C50" i="22"/>
  <c r="C72" i="22"/>
  <c r="C64" i="22"/>
  <c r="C45" i="22"/>
  <c r="C31" i="22"/>
  <c r="C13" i="22"/>
  <c r="C67" i="22"/>
  <c r="C26" i="22"/>
  <c r="C8" i="22"/>
  <c r="C70" i="22"/>
  <c r="C56" i="22"/>
  <c r="C29" i="22"/>
  <c r="C11" i="22"/>
  <c r="C51" i="22"/>
  <c r="C19" i="22"/>
  <c r="C59" i="22"/>
  <c r="C41" i="22"/>
  <c r="C44" i="22"/>
  <c r="C35" i="22"/>
  <c r="C17" i="22"/>
  <c r="C10" i="22"/>
  <c r="E13" i="22"/>
  <c r="E15" i="8"/>
  <c r="E74" i="22"/>
  <c r="E69" i="22"/>
  <c r="E60" i="22"/>
  <c r="E42" i="22"/>
  <c r="E39" i="22"/>
  <c r="E33" i="22"/>
  <c r="E28" i="22"/>
  <c r="E15" i="22"/>
  <c r="E10" i="22"/>
  <c r="G2" i="22"/>
  <c r="E55" i="22"/>
  <c r="E50" i="22"/>
  <c r="E72" i="22"/>
  <c r="E67" i="22"/>
  <c r="E64" i="22"/>
  <c r="E58" i="22"/>
  <c r="E53" i="22"/>
  <c r="E48" i="22"/>
  <c r="E34" i="22"/>
  <c r="E21" i="22"/>
  <c r="E16" i="22"/>
  <c r="E75" i="22"/>
  <c r="F75" i="22" s="1"/>
  <c r="E70" i="22"/>
  <c r="E61" i="22"/>
  <c r="E56" i="22"/>
  <c r="E43" i="22"/>
  <c r="E29" i="22"/>
  <c r="E11" i="22"/>
  <c r="E73" i="22"/>
  <c r="E59" i="22"/>
  <c r="E46" i="22"/>
  <c r="E41" i="22"/>
  <c r="E32" i="22"/>
  <c r="E14" i="22"/>
  <c r="E68" i="22"/>
  <c r="E54" i="22"/>
  <c r="E27" i="22"/>
  <c r="E22" i="22"/>
  <c r="E9" i="22"/>
  <c r="E4" i="22"/>
  <c r="E62" i="22"/>
  <c r="F62" i="22" s="1"/>
  <c r="E49" i="22"/>
  <c r="E44" i="22"/>
  <c r="E52" i="22"/>
  <c r="E47" i="22"/>
  <c r="E20" i="22"/>
  <c r="E23" i="22"/>
  <c r="E51" i="22"/>
  <c r="C47" i="25"/>
  <c r="C62" i="25"/>
  <c r="C23" i="8"/>
  <c r="C25" i="8"/>
  <c r="C12" i="8"/>
  <c r="C9" i="8"/>
  <c r="C6" i="8"/>
  <c r="C3" i="8"/>
  <c r="B36" i="8" s="1"/>
  <c r="C21" i="8"/>
  <c r="C69" i="8"/>
  <c r="C61" i="8"/>
  <c r="C20" i="8"/>
  <c r="E4" i="8"/>
  <c r="C8" i="8"/>
  <c r="E11" i="8"/>
  <c r="E7" i="22"/>
  <c r="E30" i="22"/>
  <c r="E45" i="22"/>
  <c r="D25" i="8"/>
  <c r="D19" i="8"/>
  <c r="D16" i="8"/>
  <c r="D10" i="8"/>
  <c r="B9" i="19"/>
  <c r="H1" i="19"/>
  <c r="D24" i="8"/>
  <c r="D61" i="8"/>
  <c r="D69" i="8"/>
  <c r="D18" i="8"/>
  <c r="B7" i="20"/>
  <c r="H7" i="20" s="1"/>
  <c r="B3" i="20"/>
  <c r="H3" i="20" s="1"/>
  <c r="F4" i="23"/>
  <c r="H4" i="23" s="1"/>
  <c r="F5" i="23"/>
  <c r="H5" i="23" s="1"/>
  <c r="F6" i="23"/>
  <c r="H6" i="23" s="1"/>
  <c r="D2" i="23"/>
  <c r="F7" i="23"/>
  <c r="H7" i="23" s="1"/>
  <c r="E2" i="23"/>
  <c r="F2" i="23"/>
  <c r="H2" i="23" s="1"/>
  <c r="F8" i="23"/>
  <c r="H8" i="23" s="1"/>
  <c r="E57" i="22" l="1"/>
  <c r="E12" i="22"/>
  <c r="E36" i="22"/>
  <c r="C50" i="25"/>
  <c r="D8" i="21" s="1"/>
  <c r="C52" i="25"/>
  <c r="C82" i="25" s="1"/>
  <c r="D37" i="8"/>
  <c r="D22" i="8"/>
  <c r="D32" i="8" s="1"/>
  <c r="D75" i="8" s="1"/>
  <c r="C49" i="25"/>
  <c r="D21" i="8"/>
  <c r="D43" i="8" s="1"/>
  <c r="D63" i="8" s="1"/>
  <c r="C33" i="25"/>
  <c r="C89" i="25" s="1"/>
  <c r="B22" i="25"/>
  <c r="M109" i="4"/>
  <c r="C31" i="25"/>
  <c r="C53" i="22"/>
  <c r="C15" i="22"/>
  <c r="D111" i="4"/>
  <c r="C111" i="4"/>
  <c r="D15" i="8"/>
  <c r="C46" i="8" s="1"/>
  <c r="C66" i="8" s="1"/>
  <c r="C36" i="22"/>
  <c r="D4" i="8"/>
  <c r="D27" i="8" s="1"/>
  <c r="D70" i="8" s="1"/>
  <c r="C73" i="22"/>
  <c r="E14" i="8"/>
  <c r="E31" i="8" s="1"/>
  <c r="E74" i="8" s="1"/>
  <c r="E71" i="22"/>
  <c r="F71" i="22" s="1"/>
  <c r="E19" i="22"/>
  <c r="E6" i="22"/>
  <c r="E26" i="22"/>
  <c r="F45" i="22"/>
  <c r="M52" i="4"/>
  <c r="C34" i="8"/>
  <c r="C37" i="8"/>
  <c r="C61" i="25"/>
  <c r="C65" i="25"/>
  <c r="D34" i="8"/>
  <c r="D23" i="8"/>
  <c r="C49" i="8" s="1"/>
  <c r="C40" i="8"/>
  <c r="E39" i="8"/>
  <c r="C80" i="25"/>
  <c r="C91" i="25"/>
  <c r="C79" i="25"/>
  <c r="E23" i="8"/>
  <c r="E58" i="8" s="1"/>
  <c r="E22" i="8"/>
  <c r="E32" i="8" s="1"/>
  <c r="E75" i="8" s="1"/>
  <c r="D40" i="8"/>
  <c r="E21" i="8"/>
  <c r="B91" i="25"/>
  <c r="C22" i="8"/>
  <c r="B35" i="8"/>
  <c r="D50" i="8"/>
  <c r="E5" i="22"/>
  <c r="E24" i="22"/>
  <c r="B79" i="25"/>
  <c r="C70" i="25"/>
  <c r="D6" i="21" s="1"/>
  <c r="E37" i="22"/>
  <c r="F37" i="22" s="1"/>
  <c r="E35" i="22"/>
  <c r="E31" i="22"/>
  <c r="E18" i="22"/>
  <c r="E8" i="22"/>
  <c r="F68" i="22"/>
  <c r="F70" i="22"/>
  <c r="F55" i="22"/>
  <c r="B56" i="8"/>
  <c r="C58" i="8"/>
  <c r="D39" i="8"/>
  <c r="D38" i="8"/>
  <c r="E56" i="8"/>
  <c r="B74" i="25"/>
  <c r="C78" i="25"/>
  <c r="B78" i="25"/>
  <c r="B77" i="25"/>
  <c r="I111" i="4"/>
  <c r="H111" i="4"/>
  <c r="B55" i="8"/>
  <c r="B30" i="8"/>
  <c r="B73" i="8" s="1"/>
  <c r="B8" i="19"/>
  <c r="H8" i="19" s="1"/>
  <c r="H9" i="19"/>
  <c r="F47" i="22"/>
  <c r="B21" i="8"/>
  <c r="C68" i="25"/>
  <c r="C69" i="25"/>
  <c r="D9" i="21"/>
  <c r="D7" i="21"/>
  <c r="C83" i="25"/>
  <c r="C9" i="19"/>
  <c r="C3" i="19"/>
  <c r="C6" i="19"/>
  <c r="C4" i="19"/>
  <c r="I4" i="19" s="1"/>
  <c r="C7" i="19"/>
  <c r="I7" i="19" s="1"/>
  <c r="C10" i="19"/>
  <c r="I10" i="19" s="1"/>
  <c r="I1" i="19"/>
  <c r="C11" i="19"/>
  <c r="I11" i="19" s="1"/>
  <c r="C56" i="8"/>
  <c r="E38" i="8"/>
  <c r="C27" i="8"/>
  <c r="C70" i="8" s="1"/>
  <c r="C28" i="8"/>
  <c r="C71" i="8" s="1"/>
  <c r="E34" i="8"/>
  <c r="E37" i="8"/>
  <c r="F52" i="22"/>
  <c r="F41" i="22"/>
  <c r="C43" i="8"/>
  <c r="C63" i="8" s="1"/>
  <c r="F44" i="22"/>
  <c r="F46" i="22"/>
  <c r="C77" i="25"/>
  <c r="C7" i="20"/>
  <c r="I7" i="20" s="1"/>
  <c r="C3" i="20"/>
  <c r="I3" i="20" s="1"/>
  <c r="C8" i="20"/>
  <c r="I8" i="20" s="1"/>
  <c r="C4" i="20"/>
  <c r="I4" i="20" s="1"/>
  <c r="C10" i="20"/>
  <c r="I10" i="20" s="1"/>
  <c r="I1" i="20"/>
  <c r="C5" i="20"/>
  <c r="I5" i="20" s="1"/>
  <c r="C9" i="20"/>
  <c r="C6" i="20"/>
  <c r="I6" i="20" s="1"/>
  <c r="F66" i="22"/>
  <c r="D5" i="21"/>
  <c r="C88" i="25"/>
  <c r="H6" i="19"/>
  <c r="B5" i="19"/>
  <c r="H5" i="19" s="1"/>
  <c r="C29" i="8"/>
  <c r="C72" i="8" s="1"/>
  <c r="E3" i="21"/>
  <c r="E1" i="26"/>
  <c r="D1" i="19"/>
  <c r="D1" i="20"/>
  <c r="D63" i="25"/>
  <c r="D60" i="25"/>
  <c r="D57" i="25"/>
  <c r="D52" i="25"/>
  <c r="D49" i="25"/>
  <c r="D46" i="25"/>
  <c r="D43" i="25"/>
  <c r="D50" i="25"/>
  <c r="E8" i="21" s="1"/>
  <c r="D55" i="25"/>
  <c r="D27" i="25"/>
  <c r="D24" i="25"/>
  <c r="D21" i="25"/>
  <c r="E4" i="21" s="1"/>
  <c r="D18" i="25"/>
  <c r="D15" i="25"/>
  <c r="D12" i="25"/>
  <c r="D9" i="25"/>
  <c r="D6" i="25"/>
  <c r="D58" i="25"/>
  <c r="D37" i="25"/>
  <c r="D22" i="25"/>
  <c r="D16" i="25"/>
  <c r="D13" i="25"/>
  <c r="D7" i="25"/>
  <c r="D61" i="25"/>
  <c r="D56" i="25"/>
  <c r="D64" i="25"/>
  <c r="E10" i="21" s="1"/>
  <c r="D45" i="25"/>
  <c r="D42" i="25"/>
  <c r="D29" i="25"/>
  <c r="D23" i="25"/>
  <c r="D20" i="25"/>
  <c r="D17" i="25"/>
  <c r="D14" i="25"/>
  <c r="D11" i="25"/>
  <c r="C74" i="25" s="1"/>
  <c r="D8" i="25"/>
  <c r="C76" i="25" s="1"/>
  <c r="D48" i="25"/>
  <c r="D10" i="25"/>
  <c r="D51" i="25"/>
  <c r="D19" i="25"/>
  <c r="D59" i="25"/>
  <c r="D44" i="25"/>
  <c r="D47" i="25"/>
  <c r="D62" i="25"/>
  <c r="F49" i="22"/>
  <c r="F59" i="22"/>
  <c r="F48" i="22"/>
  <c r="B4" i="19"/>
  <c r="H4" i="19" s="1"/>
  <c r="B57" i="25"/>
  <c r="M93" i="4"/>
  <c r="E39" i="25"/>
  <c r="B48" i="8"/>
  <c r="F57" i="22"/>
  <c r="G75" i="22"/>
  <c r="H75" i="22" s="1"/>
  <c r="G72" i="22"/>
  <c r="G69" i="22"/>
  <c r="G66" i="22"/>
  <c r="G59" i="22"/>
  <c r="G56" i="22"/>
  <c r="G53" i="22"/>
  <c r="G50" i="22"/>
  <c r="G47" i="22"/>
  <c r="G44" i="22"/>
  <c r="G41" i="22"/>
  <c r="G37" i="22"/>
  <c r="H37" i="22" s="1"/>
  <c r="G34" i="22"/>
  <c r="G31" i="22"/>
  <c r="G28" i="22"/>
  <c r="G25" i="22"/>
  <c r="G22" i="22"/>
  <c r="G19" i="22"/>
  <c r="G16" i="22"/>
  <c r="G13" i="22"/>
  <c r="G10" i="22"/>
  <c r="G7" i="22"/>
  <c r="G4" i="22"/>
  <c r="G45" i="22"/>
  <c r="G36" i="22"/>
  <c r="G18" i="22"/>
  <c r="G67" i="22"/>
  <c r="G58" i="22"/>
  <c r="G64" i="22"/>
  <c r="G70" i="22"/>
  <c r="G61" i="22"/>
  <c r="G51" i="22"/>
  <c r="G24" i="22"/>
  <c r="G6" i="22"/>
  <c r="G73" i="22"/>
  <c r="G46" i="22"/>
  <c r="G32" i="22"/>
  <c r="G14" i="22"/>
  <c r="G49" i="22"/>
  <c r="G35" i="22"/>
  <c r="G17" i="22"/>
  <c r="G71" i="22"/>
  <c r="G57" i="22"/>
  <c r="G30" i="22"/>
  <c r="G12" i="22"/>
  <c r="G52" i="22"/>
  <c r="G55" i="22"/>
  <c r="G39" i="22"/>
  <c r="G23" i="22"/>
  <c r="G5" i="22"/>
  <c r="I2" i="22"/>
  <c r="G60" i="22"/>
  <c r="G26" i="22"/>
  <c r="G33" i="22"/>
  <c r="G29" i="22"/>
  <c r="G9" i="22"/>
  <c r="G43" i="22"/>
  <c r="G68" i="22"/>
  <c r="G48" i="22"/>
  <c r="G15" i="22"/>
  <c r="H15" i="22" s="1"/>
  <c r="G42" i="22"/>
  <c r="G8" i="22"/>
  <c r="G54" i="22"/>
  <c r="G21" i="22"/>
  <c r="G11" i="22"/>
  <c r="G27" i="22"/>
  <c r="G74" i="22"/>
  <c r="G20" i="22"/>
  <c r="F73" i="22"/>
  <c r="E28" i="8"/>
  <c r="E71" i="8" s="1"/>
  <c r="E27" i="8"/>
  <c r="E70" i="8" s="1"/>
  <c r="C42" i="8"/>
  <c r="C62" i="8" s="1"/>
  <c r="C45" i="8"/>
  <c r="C65" i="8" s="1"/>
  <c r="F58" i="22"/>
  <c r="F42" i="22"/>
  <c r="B49" i="25"/>
  <c r="F53" i="22"/>
  <c r="F60" i="22"/>
  <c r="C38" i="8"/>
  <c r="C7" i="21"/>
  <c r="B76" i="25"/>
  <c r="B83" i="25"/>
  <c r="E111" i="4"/>
  <c r="D36" i="8"/>
  <c r="D35" i="8"/>
  <c r="D48" i="8"/>
  <c r="F43" i="22"/>
  <c r="F67" i="22"/>
  <c r="F69" i="22"/>
  <c r="C72" i="25"/>
  <c r="E48" i="8"/>
  <c r="E36" i="8"/>
  <c r="E35" i="8"/>
  <c r="H3" i="19"/>
  <c r="B29" i="8"/>
  <c r="B72" i="8" s="1"/>
  <c r="B51" i="8"/>
  <c r="D56" i="8"/>
  <c r="F51" i="22"/>
  <c r="F56" i="22"/>
  <c r="F72" i="22"/>
  <c r="F74" i="22"/>
  <c r="C39" i="8"/>
  <c r="M24" i="4"/>
  <c r="B31" i="8"/>
  <c r="B74" i="8" s="1"/>
  <c r="M53" i="4"/>
  <c r="F54" i="22"/>
  <c r="F61" i="22"/>
  <c r="F50" i="22"/>
  <c r="E29" i="8"/>
  <c r="E72" i="8" s="1"/>
  <c r="E51" i="8"/>
  <c r="B50" i="8"/>
  <c r="B29" i="25"/>
  <c r="C50" i="8"/>
  <c r="F3" i="21"/>
  <c r="F1" i="26"/>
  <c r="E1" i="20"/>
  <c r="E55" i="25"/>
  <c r="E36" i="25"/>
  <c r="E33" i="25"/>
  <c r="E30" i="25"/>
  <c r="E27" i="25"/>
  <c r="E24" i="25"/>
  <c r="E21" i="25"/>
  <c r="F4" i="21" s="1"/>
  <c r="E18" i="25"/>
  <c r="E15" i="25"/>
  <c r="E12" i="25"/>
  <c r="E9" i="25"/>
  <c r="E6" i="25"/>
  <c r="E58" i="25"/>
  <c r="E43" i="25"/>
  <c r="E59" i="25"/>
  <c r="E61" i="25"/>
  <c r="E46" i="25"/>
  <c r="E44" i="25"/>
  <c r="E64" i="25"/>
  <c r="F10" i="21" s="1"/>
  <c r="E49" i="25"/>
  <c r="E52" i="25"/>
  <c r="E42" i="25"/>
  <c r="E38" i="25"/>
  <c r="E35" i="25"/>
  <c r="E32" i="25"/>
  <c r="E23" i="25"/>
  <c r="E20" i="25"/>
  <c r="E17" i="25"/>
  <c r="E14" i="25"/>
  <c r="E11" i="25"/>
  <c r="E8" i="25"/>
  <c r="E48" i="25"/>
  <c r="E57" i="25"/>
  <c r="E45" i="25"/>
  <c r="E60" i="25"/>
  <c r="E63" i="25"/>
  <c r="E51" i="25"/>
  <c r="E1" i="19"/>
  <c r="E56" i="25"/>
  <c r="E40" i="25"/>
  <c r="E37" i="25"/>
  <c r="E31" i="25"/>
  <c r="E28" i="25"/>
  <c r="E25" i="25"/>
  <c r="E22" i="25"/>
  <c r="E19" i="25"/>
  <c r="E16" i="25"/>
  <c r="E13" i="25"/>
  <c r="E10" i="25"/>
  <c r="E7" i="25"/>
  <c r="E62" i="25"/>
  <c r="E47" i="25"/>
  <c r="E50" i="25"/>
  <c r="F8" i="21" s="1"/>
  <c r="E65" i="25"/>
  <c r="C48" i="8"/>
  <c r="C36" i="8"/>
  <c r="C35" i="8"/>
  <c r="D25" i="25"/>
  <c r="M107" i="4"/>
  <c r="C93" i="25" l="1"/>
  <c r="C92" i="25"/>
  <c r="D44" i="8"/>
  <c r="D64" i="8" s="1"/>
  <c r="D52" i="8"/>
  <c r="C53" i="8"/>
  <c r="C52" i="8"/>
  <c r="C75" i="22"/>
  <c r="D75" i="22" s="1"/>
  <c r="B30" i="25"/>
  <c r="D30" i="25"/>
  <c r="B28" i="25"/>
  <c r="D28" i="25"/>
  <c r="B25" i="25"/>
  <c r="E26" i="25"/>
  <c r="B26" i="25"/>
  <c r="D26" i="25"/>
  <c r="D51" i="8"/>
  <c r="B27" i="25"/>
  <c r="E29" i="25"/>
  <c r="B31" i="25"/>
  <c r="D31" i="25"/>
  <c r="D29" i="8"/>
  <c r="D72" i="8" s="1"/>
  <c r="B20" i="25"/>
  <c r="D28" i="8"/>
  <c r="D71" i="8" s="1"/>
  <c r="C51" i="8"/>
  <c r="E30" i="8"/>
  <c r="E73" i="8" s="1"/>
  <c r="E34" i="25"/>
  <c r="E70" i="25" s="1"/>
  <c r="F6" i="21" s="1"/>
  <c r="E55" i="8"/>
  <c r="C85" i="25"/>
  <c r="C84" i="25"/>
  <c r="G62" i="22"/>
  <c r="H62" i="22" s="1"/>
  <c r="F18" i="22"/>
  <c r="E43" i="8"/>
  <c r="E63" i="8" s="1"/>
  <c r="D58" i="8"/>
  <c r="E46" i="8"/>
  <c r="E66" i="8" s="1"/>
  <c r="E42" i="8"/>
  <c r="E62" i="8" s="1"/>
  <c r="E45" i="8"/>
  <c r="E65" i="8" s="1"/>
  <c r="E44" i="8"/>
  <c r="E64" i="8" s="1"/>
  <c r="D49" i="8"/>
  <c r="E49" i="8"/>
  <c r="E52" i="8"/>
  <c r="D53" i="8"/>
  <c r="D45" i="8"/>
  <c r="D65" i="8" s="1"/>
  <c r="D65" i="25"/>
  <c r="D93" i="25" s="1"/>
  <c r="E53" i="8"/>
  <c r="D42" i="8"/>
  <c r="D62" i="8" s="1"/>
  <c r="D46" i="8"/>
  <c r="D66" i="8" s="1"/>
  <c r="C44" i="8"/>
  <c r="C64" i="8" s="1"/>
  <c r="C32" i="8"/>
  <c r="C75" i="8" s="1"/>
  <c r="E78" i="25"/>
  <c r="E79" i="25"/>
  <c r="E80" i="25"/>
  <c r="F24" i="22"/>
  <c r="F22" i="22"/>
  <c r="F34" i="22"/>
  <c r="F29" i="22"/>
  <c r="F23" i="22"/>
  <c r="F28" i="22"/>
  <c r="F4" i="22"/>
  <c r="F14" i="22"/>
  <c r="F30" i="22"/>
  <c r="F8" i="22"/>
  <c r="F12" i="22"/>
  <c r="F31" i="22"/>
  <c r="F35" i="22"/>
  <c r="F27" i="22"/>
  <c r="E91" i="25"/>
  <c r="F36" i="22"/>
  <c r="F6" i="22"/>
  <c r="F13" i="22"/>
  <c r="B2" i="19"/>
  <c r="H2" i="19" s="1"/>
  <c r="F19" i="22"/>
  <c r="F5" i="22"/>
  <c r="F15" i="22"/>
  <c r="F11" i="22"/>
  <c r="F21" i="22"/>
  <c r="F7" i="22"/>
  <c r="F25" i="22"/>
  <c r="F20" i="22"/>
  <c r="F10" i="22"/>
  <c r="F9" i="22"/>
  <c r="F26" i="22"/>
  <c r="F16" i="22"/>
  <c r="F17" i="22"/>
  <c r="F33" i="22"/>
  <c r="F32" i="22"/>
  <c r="E84" i="25"/>
  <c r="H73" i="22"/>
  <c r="H4" i="22"/>
  <c r="E7" i="21"/>
  <c r="D76" i="25"/>
  <c r="D83" i="25"/>
  <c r="D75" i="25"/>
  <c r="E10" i="19"/>
  <c r="K10" i="19" s="1"/>
  <c r="E4" i="19"/>
  <c r="K4" i="19" s="1"/>
  <c r="K1" i="19"/>
  <c r="E7" i="19"/>
  <c r="K7" i="19" s="1"/>
  <c r="E11" i="19"/>
  <c r="K11" i="19" s="1"/>
  <c r="E6" i="19"/>
  <c r="E3" i="19"/>
  <c r="E9" i="19"/>
  <c r="E89" i="25"/>
  <c r="C62" i="22"/>
  <c r="H68" i="22"/>
  <c r="H6" i="22"/>
  <c r="H7" i="22"/>
  <c r="D78" i="25"/>
  <c r="D7" i="20"/>
  <c r="J7" i="20" s="1"/>
  <c r="D3" i="20"/>
  <c r="J3" i="20" s="1"/>
  <c r="D8" i="20"/>
  <c r="J8" i="20" s="1"/>
  <c r="D4" i="20"/>
  <c r="J4" i="20" s="1"/>
  <c r="J1" i="20"/>
  <c r="D10" i="20"/>
  <c r="J10" i="20" s="1"/>
  <c r="D6" i="20"/>
  <c r="J6" i="20" s="1"/>
  <c r="D5" i="20"/>
  <c r="J5" i="20" s="1"/>
  <c r="D9" i="20"/>
  <c r="I6" i="19"/>
  <c r="C5" i="19"/>
  <c r="I5" i="19" s="1"/>
  <c r="E74" i="25"/>
  <c r="E77" i="25"/>
  <c r="H12" i="22"/>
  <c r="H24" i="22"/>
  <c r="H10" i="22"/>
  <c r="M94" i="4"/>
  <c r="C14" i="8"/>
  <c r="E9" i="21"/>
  <c r="D92" i="25"/>
  <c r="D9" i="19"/>
  <c r="D3" i="19"/>
  <c r="D4" i="19"/>
  <c r="J4" i="19" s="1"/>
  <c r="D7" i="19"/>
  <c r="J7" i="19" s="1"/>
  <c r="D10" i="19"/>
  <c r="J10" i="19" s="1"/>
  <c r="D11" i="19"/>
  <c r="J11" i="19" s="1"/>
  <c r="D6" i="19"/>
  <c r="J1" i="19"/>
  <c r="C11" i="20"/>
  <c r="I11" i="20" s="1"/>
  <c r="I9" i="20"/>
  <c r="I3" i="19"/>
  <c r="C2" i="19"/>
  <c r="I2" i="19" s="1"/>
  <c r="F9" i="21"/>
  <c r="E92" i="25"/>
  <c r="F111" i="4"/>
  <c r="H20" i="22"/>
  <c r="H9" i="22"/>
  <c r="H30" i="22"/>
  <c r="H13" i="22"/>
  <c r="D91" i="25"/>
  <c r="I9" i="19"/>
  <c r="C8" i="19"/>
  <c r="I8" i="19" s="1"/>
  <c r="B22" i="8"/>
  <c r="B50" i="25"/>
  <c r="C8" i="21" s="1"/>
  <c r="H74" i="22"/>
  <c r="H29" i="22"/>
  <c r="H16" i="22"/>
  <c r="B52" i="8"/>
  <c r="B43" i="8"/>
  <c r="B63" i="8" s="1"/>
  <c r="E8" i="20"/>
  <c r="K8" i="20" s="1"/>
  <c r="E4" i="20"/>
  <c r="K4" i="20" s="1"/>
  <c r="K1" i="20"/>
  <c r="E9" i="20"/>
  <c r="E7" i="20"/>
  <c r="K7" i="20" s="1"/>
  <c r="E6" i="20"/>
  <c r="K6" i="20" s="1"/>
  <c r="E10" i="20"/>
  <c r="K10" i="20" s="1"/>
  <c r="E5" i="20"/>
  <c r="K5" i="20" s="1"/>
  <c r="E3" i="20"/>
  <c r="K3" i="20" s="1"/>
  <c r="H27" i="22"/>
  <c r="H33" i="22"/>
  <c r="H71" i="22"/>
  <c r="H70" i="22"/>
  <c r="H19" i="22"/>
  <c r="D80" i="25"/>
  <c r="D68" i="25"/>
  <c r="D69" i="25"/>
  <c r="F7" i="21"/>
  <c r="E76" i="25"/>
  <c r="E83" i="25"/>
  <c r="E75" i="25"/>
  <c r="E69" i="25"/>
  <c r="E68" i="25"/>
  <c r="B9" i="20"/>
  <c r="B58" i="25"/>
  <c r="H11" i="22"/>
  <c r="H26" i="22"/>
  <c r="H17" i="22"/>
  <c r="H22" i="22"/>
  <c r="D74" i="25"/>
  <c r="D77" i="25"/>
  <c r="C75" i="25"/>
  <c r="F5" i="21"/>
  <c r="E88" i="25"/>
  <c r="D14" i="8"/>
  <c r="E93" i="25"/>
  <c r="E86" i="25"/>
  <c r="E85" i="25"/>
  <c r="E82" i="25"/>
  <c r="H21" i="22"/>
  <c r="H35" i="22"/>
  <c r="H25" i="22"/>
  <c r="D79" i="25"/>
  <c r="B21" i="25"/>
  <c r="C37" i="22"/>
  <c r="I74" i="22"/>
  <c r="I53" i="22"/>
  <c r="I48" i="22"/>
  <c r="I21" i="22"/>
  <c r="I70" i="22"/>
  <c r="I64" i="22"/>
  <c r="I61" i="22"/>
  <c r="I43" i="22"/>
  <c r="I34" i="22"/>
  <c r="I75" i="22"/>
  <c r="J75" i="22" s="1"/>
  <c r="I56" i="22"/>
  <c r="I73" i="22"/>
  <c r="I46" i="22"/>
  <c r="I68" i="22"/>
  <c r="I59" i="22"/>
  <c r="I54" i="22"/>
  <c r="I41" i="22"/>
  <c r="I27" i="22"/>
  <c r="I9" i="22"/>
  <c r="I49" i="22"/>
  <c r="I35" i="22"/>
  <c r="I22" i="22"/>
  <c r="I17" i="22"/>
  <c r="I4" i="22"/>
  <c r="I66" i="22"/>
  <c r="I52" i="22"/>
  <c r="I25" i="22"/>
  <c r="I20" i="22"/>
  <c r="I7" i="22"/>
  <c r="I60" i="22"/>
  <c r="I47" i="22"/>
  <c r="I42" i="22"/>
  <c r="I33" i="22"/>
  <c r="I15" i="22"/>
  <c r="I69" i="22"/>
  <c r="I55" i="22"/>
  <c r="I72" i="22"/>
  <c r="I67" i="22"/>
  <c r="I58" i="22"/>
  <c r="I31" i="22"/>
  <c r="I26" i="22"/>
  <c r="I13" i="22"/>
  <c r="I8" i="22"/>
  <c r="I51" i="22"/>
  <c r="I37" i="22"/>
  <c r="J37" i="22" s="1"/>
  <c r="I29" i="22"/>
  <c r="I16" i="22"/>
  <c r="I71" i="22"/>
  <c r="I50" i="22"/>
  <c r="I44" i="22"/>
  <c r="I6" i="22"/>
  <c r="I19" i="22"/>
  <c r="I57" i="22"/>
  <c r="I36" i="22"/>
  <c r="I32" i="22"/>
  <c r="I12" i="22"/>
  <c r="I28" i="22"/>
  <c r="I5" i="22"/>
  <c r="I18" i="22"/>
  <c r="I11" i="22"/>
  <c r="I24" i="22"/>
  <c r="I14" i="22"/>
  <c r="I62" i="22"/>
  <c r="J62" i="22" s="1"/>
  <c r="I30" i="22"/>
  <c r="I45" i="22"/>
  <c r="I39" i="22"/>
  <c r="I23" i="22"/>
  <c r="I10" i="22"/>
  <c r="H67" i="22"/>
  <c r="H28" i="22"/>
  <c r="H66" i="22"/>
  <c r="D84" i="25"/>
  <c r="H8" i="22"/>
  <c r="H5" i="22"/>
  <c r="H14" i="22"/>
  <c r="H18" i="22"/>
  <c r="H31" i="22"/>
  <c r="H69" i="22"/>
  <c r="D85" i="25"/>
  <c r="D82" i="25"/>
  <c r="H23" i="22"/>
  <c r="H32" i="22"/>
  <c r="H36" i="22"/>
  <c r="H34" i="22"/>
  <c r="H72" i="22"/>
  <c r="D71" i="22" l="1"/>
  <c r="D70" i="22"/>
  <c r="D67" i="22"/>
  <c r="D68" i="22"/>
  <c r="D69" i="22"/>
  <c r="D73" i="22"/>
  <c r="D72" i="22"/>
  <c r="D74" i="22"/>
  <c r="D66" i="22"/>
  <c r="B35" i="25"/>
  <c r="B38" i="25"/>
  <c r="D35" i="25"/>
  <c r="D38" i="25"/>
  <c r="B33" i="25"/>
  <c r="B89" i="25" s="1"/>
  <c r="D32" i="25"/>
  <c r="B32" i="25"/>
  <c r="D33" i="25"/>
  <c r="D89" i="25" s="1"/>
  <c r="B34" i="25"/>
  <c r="B70" i="25" s="1"/>
  <c r="D34" i="25"/>
  <c r="B39" i="25"/>
  <c r="B36" i="25"/>
  <c r="D39" i="25"/>
  <c r="D36" i="25"/>
  <c r="B68" i="25"/>
  <c r="G68" i="25" s="1"/>
  <c r="B69" i="25"/>
  <c r="G69" i="25" s="1"/>
  <c r="G111" i="4"/>
  <c r="D40" i="25"/>
  <c r="J111" i="4"/>
  <c r="B40" i="25"/>
  <c r="C5" i="21" s="1"/>
  <c r="E72" i="25"/>
  <c r="H55" i="22"/>
  <c r="H43" i="22"/>
  <c r="H47" i="22"/>
  <c r="H59" i="22"/>
  <c r="H49" i="22"/>
  <c r="H44" i="22"/>
  <c r="H52" i="22"/>
  <c r="H58" i="22"/>
  <c r="H50" i="22"/>
  <c r="H51" i="22"/>
  <c r="H42" i="22"/>
  <c r="H41" i="22"/>
  <c r="H45" i="22"/>
  <c r="H56" i="22"/>
  <c r="H46" i="22"/>
  <c r="H60" i="22"/>
  <c r="H53" i="22"/>
  <c r="H54" i="22"/>
  <c r="H48" i="22"/>
  <c r="H61" i="22"/>
  <c r="H57" i="22"/>
  <c r="J5" i="22"/>
  <c r="J29" i="22"/>
  <c r="J18" i="22"/>
  <c r="J16" i="22"/>
  <c r="G83" i="25"/>
  <c r="J28" i="22"/>
  <c r="J23" i="22"/>
  <c r="J10" i="22"/>
  <c r="J32" i="22"/>
  <c r="J24" i="22"/>
  <c r="J72" i="22"/>
  <c r="J66" i="22"/>
  <c r="J74" i="22"/>
  <c r="J11" i="22"/>
  <c r="J71" i="22"/>
  <c r="J4" i="22"/>
  <c r="J69" i="22"/>
  <c r="M11" i="19"/>
  <c r="J46" i="22"/>
  <c r="J55" i="22"/>
  <c r="J17" i="22"/>
  <c r="J56" i="22"/>
  <c r="J15" i="22"/>
  <c r="J22" i="22"/>
  <c r="J50" i="22"/>
  <c r="J51" i="22"/>
  <c r="J8" i="22"/>
  <c r="J47" i="22"/>
  <c r="J9" i="22"/>
  <c r="J61" i="22"/>
  <c r="J36" i="22"/>
  <c r="J13" i="22"/>
  <c r="J60" i="22"/>
  <c r="J27" i="22"/>
  <c r="J45" i="22"/>
  <c r="J57" i="22"/>
  <c r="J26" i="22"/>
  <c r="J7" i="22"/>
  <c r="J41" i="22"/>
  <c r="B10" i="20"/>
  <c r="H10" i="20" s="1"/>
  <c r="B52" i="25"/>
  <c r="D55" i="8"/>
  <c r="D30" i="8"/>
  <c r="D73" i="8" s="1"/>
  <c r="D31" i="8"/>
  <c r="D74" i="8" s="1"/>
  <c r="B65" i="25"/>
  <c r="B93" i="25" s="1"/>
  <c r="J3" i="19"/>
  <c r="D2" i="19"/>
  <c r="J2" i="19" s="1"/>
  <c r="M4" i="19"/>
  <c r="M110" i="4"/>
  <c r="J33" i="22"/>
  <c r="J35" i="22"/>
  <c r="J34" i="22"/>
  <c r="H9" i="20"/>
  <c r="B23" i="8"/>
  <c r="J9" i="19"/>
  <c r="D8" i="19"/>
  <c r="J8" i="19" s="1"/>
  <c r="M10" i="19"/>
  <c r="J12" i="22"/>
  <c r="J42" i="22"/>
  <c r="J49" i="22"/>
  <c r="J43" i="22"/>
  <c r="K9" i="20"/>
  <c r="E11" i="20"/>
  <c r="K11" i="20" s="1"/>
  <c r="B44" i="8"/>
  <c r="B64" i="8" s="1"/>
  <c r="B32" i="8"/>
  <c r="B75" i="8" s="1"/>
  <c r="B53" i="8"/>
  <c r="D11" i="20"/>
  <c r="J11" i="20" s="1"/>
  <c r="J9" i="20"/>
  <c r="D62" i="22"/>
  <c r="D48" i="22"/>
  <c r="D42" i="22"/>
  <c r="D54" i="22"/>
  <c r="D44" i="22"/>
  <c r="D53" i="22"/>
  <c r="D58" i="22"/>
  <c r="D41" i="22"/>
  <c r="D52" i="22"/>
  <c r="D47" i="22"/>
  <c r="D56" i="22"/>
  <c r="D61" i="22"/>
  <c r="D60" i="22"/>
  <c r="D51" i="22"/>
  <c r="D59" i="22"/>
  <c r="D45" i="22"/>
  <c r="D55" i="22"/>
  <c r="D57" i="22"/>
  <c r="D46" i="22"/>
  <c r="D43" i="22"/>
  <c r="D49" i="22"/>
  <c r="D50" i="22"/>
  <c r="C4" i="21"/>
  <c r="B75" i="25"/>
  <c r="C55" i="8"/>
  <c r="C30" i="8"/>
  <c r="C73" i="8" s="1"/>
  <c r="C31" i="8"/>
  <c r="C74" i="8" s="1"/>
  <c r="C9" i="21"/>
  <c r="B92" i="25"/>
  <c r="J30" i="22"/>
  <c r="J19" i="22"/>
  <c r="J31" i="22"/>
  <c r="J20" i="22"/>
  <c r="J54" i="22"/>
  <c r="J21" i="22"/>
  <c r="E8" i="19"/>
  <c r="K8" i="19" s="1"/>
  <c r="K9" i="19"/>
  <c r="J70" i="22"/>
  <c r="J6" i="22"/>
  <c r="J58" i="22"/>
  <c r="J25" i="22"/>
  <c r="J59" i="22"/>
  <c r="J48" i="22"/>
  <c r="B84" i="25"/>
  <c r="J6" i="19"/>
  <c r="D5" i="19"/>
  <c r="J5" i="19" s="1"/>
  <c r="E2" i="19"/>
  <c r="K2" i="19" s="1"/>
  <c r="K3" i="19"/>
  <c r="J14" i="22"/>
  <c r="J44" i="22"/>
  <c r="J67" i="22"/>
  <c r="J52" i="22"/>
  <c r="J68" i="22"/>
  <c r="J53" i="22"/>
  <c r="K6" i="19"/>
  <c r="E5" i="19"/>
  <c r="K5" i="19" s="1"/>
  <c r="J73" i="22"/>
  <c r="D37" i="22"/>
  <c r="D5" i="22"/>
  <c r="D16" i="22"/>
  <c r="D4" i="22"/>
  <c r="D34" i="22"/>
  <c r="D20" i="22"/>
  <c r="D28" i="22"/>
  <c r="D23" i="22"/>
  <c r="D13" i="22"/>
  <c r="D29" i="22"/>
  <c r="D18" i="22"/>
  <c r="D25" i="22"/>
  <c r="D7" i="22"/>
  <c r="D33" i="22"/>
  <c r="D12" i="22"/>
  <c r="D26" i="22"/>
  <c r="D30" i="22"/>
  <c r="D21" i="22"/>
  <c r="D22" i="22"/>
  <c r="D8" i="22"/>
  <c r="D27" i="22"/>
  <c r="D36" i="22"/>
  <c r="D24" i="22"/>
  <c r="D32" i="22"/>
  <c r="D10" i="22"/>
  <c r="D14" i="22"/>
  <c r="D31" i="22"/>
  <c r="D6" i="22"/>
  <c r="D11" i="22"/>
  <c r="D19" i="22"/>
  <c r="D9" i="22"/>
  <c r="D17" i="22"/>
  <c r="D35" i="22"/>
  <c r="D15" i="22"/>
  <c r="M7" i="19"/>
  <c r="B72" i="25" l="1"/>
  <c r="D72" i="25"/>
  <c r="D70" i="25"/>
  <c r="E6" i="21" s="1"/>
  <c r="B88" i="25"/>
  <c r="C86" i="25"/>
  <c r="E5" i="21"/>
  <c r="D88" i="25"/>
  <c r="D86" i="25"/>
  <c r="M9" i="19"/>
  <c r="M2" i="19"/>
  <c r="M6" i="19"/>
  <c r="M5" i="19"/>
  <c r="B49" i="8"/>
  <c r="B46" i="8"/>
  <c r="B66" i="8" s="1"/>
  <c r="B42" i="8"/>
  <c r="B62" i="8" s="1"/>
  <c r="B45" i="8"/>
  <c r="B65" i="8" s="1"/>
  <c r="B58" i="8"/>
  <c r="C6" i="21"/>
  <c r="B11" i="20"/>
  <c r="H11" i="20" s="1"/>
  <c r="B85" i="25"/>
  <c r="B82" i="25"/>
  <c r="B86" i="25"/>
  <c r="M3" i="19"/>
  <c r="M8" i="19"/>
  <c r="G72" i="25" l="1"/>
  <c r="G70" i="25"/>
</calcChain>
</file>

<file path=xl/sharedStrings.xml><?xml version="1.0" encoding="utf-8"?>
<sst xmlns="http://schemas.openxmlformats.org/spreadsheetml/2006/main" count="605" uniqueCount="448">
  <si>
    <t>项目编号</t>
  </si>
  <si>
    <t>项目名称（元）</t>
  </si>
  <si>
    <t>年初数</t>
  </si>
  <si>
    <t>货币资金</t>
  </si>
  <si>
    <t>交易性金融资产</t>
  </si>
  <si>
    <t>应收票据</t>
  </si>
  <si>
    <t>应收账款</t>
  </si>
  <si>
    <t>预付账款</t>
  </si>
  <si>
    <t>存货</t>
  </si>
  <si>
    <t>应收利息</t>
  </si>
  <si>
    <t>应收股利</t>
  </si>
  <si>
    <t>其他应收款</t>
  </si>
  <si>
    <t>一年内到期的非流动资产</t>
  </si>
  <si>
    <t>其他流动资产</t>
  </si>
  <si>
    <t>流动资产合计</t>
  </si>
  <si>
    <t>可供出售金融资产</t>
  </si>
  <si>
    <t>持有至到期投资</t>
  </si>
  <si>
    <t>长期应收款</t>
  </si>
  <si>
    <t>长期股权投资</t>
  </si>
  <si>
    <t>投资性房地产</t>
  </si>
  <si>
    <t>固定资产</t>
  </si>
  <si>
    <t>累计折旧</t>
  </si>
  <si>
    <t>固定资产减值准备</t>
  </si>
  <si>
    <t>固定资产净额</t>
  </si>
  <si>
    <t>工程物资</t>
  </si>
  <si>
    <t>在建工程</t>
  </si>
  <si>
    <t>固定资产清理</t>
  </si>
  <si>
    <t>生产性生物资产</t>
  </si>
  <si>
    <t>油气资产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</si>
  <si>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</si>
  <si>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</si>
  <si>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</si>
  <si>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</si>
  <si>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</si>
  <si>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</si>
  <si>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非流动资产合计</t>
  </si>
  <si>
    <t>资产总计</t>
  </si>
  <si>
    <t>短期借款</t>
  </si>
  <si>
    <t>交易性金融负债</t>
  </si>
  <si>
    <t>应付票据</t>
  </si>
  <si>
    <t>应付账款</t>
  </si>
  <si>
    <t>预收账款</t>
  </si>
  <si>
    <t>应付职工薪酬</t>
  </si>
  <si>
    <t>应交税费</t>
  </si>
  <si>
    <t>应付利息</t>
  </si>
  <si>
    <t>应付股利</t>
  </si>
  <si>
    <t>其他应付款</t>
  </si>
  <si>
    <t>一年内到期的非流动负债</t>
  </si>
  <si>
    <t>其他流动负债</t>
  </si>
  <si>
    <t>流动负债合计</t>
  </si>
  <si>
    <t>长期借款</t>
  </si>
  <si>
    <t>应付债券</t>
  </si>
  <si>
    <t>长期应付款</t>
  </si>
  <si>
    <t>专项应付款</t>
  </si>
  <si>
    <t>预计负债</t>
  </si>
  <si>
    <t>递延所得税负债</t>
  </si>
  <si>
    <t>其他非流动负债</t>
  </si>
  <si>
    <t>非流动负债合计</t>
  </si>
  <si>
    <t>负债合计</t>
  </si>
  <si>
    <t>实收资本（或股本）</t>
  </si>
  <si>
    <t>资本公积</t>
  </si>
  <si>
    <t>库存股</t>
  </si>
  <si>
    <t>专项储备</t>
  </si>
  <si>
    <t>盈余公积</t>
  </si>
  <si>
    <t>未分配利润</t>
  </si>
  <si>
    <t>外币报表折算差额</t>
  </si>
  <si>
    <t>归属母公司所有者权益合计</t>
  </si>
  <si>
    <t>少数股东权益</t>
  </si>
  <si>
    <t>所有者权益合计</t>
  </si>
  <si>
    <t>本月数</t>
  </si>
  <si>
    <t>营业收入</t>
  </si>
  <si>
    <t>主营业务收入</t>
  </si>
  <si>
    <t>营业成本</t>
  </si>
  <si>
    <t>主营业务成本</t>
  </si>
  <si>
    <t>营业税金及附加</t>
  </si>
  <si>
    <t>销售费用</t>
  </si>
  <si>
    <t>管理费用</t>
  </si>
  <si>
    <t>财务费用</t>
  </si>
  <si>
    <t>投资收益</t>
  </si>
  <si>
    <t>营业利润</t>
  </si>
  <si>
    <t>利润总额</t>
  </si>
  <si>
    <t>所得税费用</t>
  </si>
  <si>
    <t>净利润</t>
  </si>
  <si>
    <t>销售商品、提供劳务收到的现金</t>
  </si>
  <si>
    <t>经营活动现金流入小计</t>
  </si>
  <si>
    <t>购买商品、接受劳务支付的现金</t>
  </si>
  <si>
    <t>经营活动现金流出小计</t>
  </si>
  <si>
    <t>经营活动产生的现金流量净额</t>
  </si>
  <si>
    <t>投资活动现金流入小计</t>
  </si>
  <si>
    <t>投资活动现金流出小计</t>
  </si>
  <si>
    <t>投资活动产生的现金流量净额</t>
  </si>
  <si>
    <t>取得借款所收到的现金</t>
  </si>
  <si>
    <t>筹资活动现金流入小计</t>
  </si>
  <si>
    <t>偿还债务所支付的现金</t>
  </si>
  <si>
    <t>分配股利、利润或偿付利息支付的现金</t>
  </si>
  <si>
    <t>支付的其他与筹资活动有关的现金</t>
  </si>
  <si>
    <t>筹资活动现金流出小计</t>
  </si>
  <si>
    <t>筹资活动产生的现金流量净额</t>
  </si>
  <si>
    <t xml:space="preserve"> </t>
  </si>
  <si>
    <t>财务分析</t>
  </si>
  <si>
    <t>　人民币：万元</t>
  </si>
  <si>
    <t>（合并）</t>
  </si>
  <si>
    <t>资产负债表</t>
  </si>
  <si>
    <t>单位：万元</t>
  </si>
  <si>
    <t>其他权益工具</t>
  </si>
  <si>
    <t>利润表</t>
  </si>
  <si>
    <t>盈利情况简要分析</t>
  </si>
  <si>
    <t>现金流量表</t>
  </si>
  <si>
    <t>现金及现金等价物净增加额</t>
  </si>
  <si>
    <t>现金流情况简要分析</t>
  </si>
  <si>
    <t>偿债能力分析</t>
  </si>
  <si>
    <t>流动比率</t>
  </si>
  <si>
    <t>速动比率</t>
  </si>
  <si>
    <t>资产负债率(%)</t>
  </si>
  <si>
    <t>调整后的资产负债率（%）</t>
  </si>
  <si>
    <t>流动负债率(%)</t>
  </si>
  <si>
    <t>经营效率分析</t>
  </si>
  <si>
    <t>存货周转率(倍)</t>
  </si>
  <si>
    <t>总资产周转率(倍)</t>
  </si>
  <si>
    <t>应收账款周转率(倍)</t>
  </si>
  <si>
    <t>主营成本比例(%)</t>
  </si>
  <si>
    <t>营业费用比例(%)</t>
  </si>
  <si>
    <t>管理费用比例(%)</t>
  </si>
  <si>
    <t>财务费用比例(%)</t>
  </si>
  <si>
    <t>盈利能力分析</t>
  </si>
  <si>
    <t>净利润率(%)</t>
  </si>
  <si>
    <t>营业毛利率(%)</t>
  </si>
  <si>
    <t>资产利润率(%)</t>
  </si>
  <si>
    <t>资产净利润率(%)</t>
  </si>
  <si>
    <t>净资产收益率(%)</t>
  </si>
  <si>
    <t>财务结构分析</t>
  </si>
  <si>
    <t>股东权益比(%)</t>
  </si>
  <si>
    <t>长期负债资产比(%)</t>
  </si>
  <si>
    <t>现金流量分析</t>
  </si>
  <si>
    <t>销售商品收到的现金与主营业务比(%)</t>
  </si>
  <si>
    <t>经营活动现金流量与总利润比例(%)</t>
  </si>
  <si>
    <t>现金净流量与总利润比(%)</t>
  </si>
  <si>
    <t>项目</t>
  </si>
  <si>
    <t>存货净额</t>
  </si>
  <si>
    <t>应收账款净额</t>
  </si>
  <si>
    <t>流动资产</t>
  </si>
  <si>
    <t>总资产</t>
  </si>
  <si>
    <t>流动负债</t>
  </si>
  <si>
    <t>长期负债</t>
  </si>
  <si>
    <t>总负债</t>
  </si>
  <si>
    <t>股东权益</t>
  </si>
  <si>
    <t>营业费用</t>
  </si>
  <si>
    <t>筹资性现金流净流量</t>
  </si>
  <si>
    <t>经营性现金流净流量</t>
  </si>
  <si>
    <t>EBITDA利息倍数</t>
  </si>
  <si>
    <t>应收帐款周转率(倍)</t>
  </si>
  <si>
    <t>经营毛利率(%)</t>
  </si>
  <si>
    <t>成长能力分析</t>
  </si>
  <si>
    <t>主营收入增长率(%)</t>
  </si>
  <si>
    <t>净利润增长率(%)</t>
  </si>
  <si>
    <t>总资产增长率(%)</t>
  </si>
  <si>
    <t>股东权益增长率(%)</t>
  </si>
  <si>
    <t>营业利润增长率(%)</t>
  </si>
  <si>
    <t>利润总额增长率(%)</t>
  </si>
  <si>
    <t>经营活动现金流量与净利润比例</t>
  </si>
  <si>
    <t>金额</t>
  </si>
  <si>
    <t>占比</t>
  </si>
  <si>
    <t>经营活动现金流量净额</t>
  </si>
  <si>
    <t>经营活动现金流入</t>
  </si>
  <si>
    <t>经营活动现金流出</t>
  </si>
  <si>
    <t>投资活动现金流量净额</t>
  </si>
  <si>
    <t>投资活动现金流入</t>
  </si>
  <si>
    <t>投资活动现金流出</t>
  </si>
  <si>
    <t>筹资活动现金流量净额</t>
  </si>
  <si>
    <t>筹资活动现金流入</t>
  </si>
  <si>
    <t>筹资活动现金流出</t>
  </si>
  <si>
    <t>销售商品收到的现金</t>
  </si>
  <si>
    <t>经营性现金净流量</t>
  </si>
  <si>
    <t>盈利现金比</t>
  </si>
  <si>
    <t>合计</t>
  </si>
  <si>
    <t>合计备注</t>
  </si>
  <si>
    <r>
      <rPr>
        <sz val="10"/>
        <rFont val="宋体"/>
        <family val="3"/>
        <charset val="134"/>
      </rPr>
      <t>应收账款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销售商品、提供劳务收到的现金</t>
    </r>
  </si>
  <si>
    <r>
      <rPr>
        <sz val="10"/>
        <rFont val="宋体"/>
        <family val="3"/>
        <charset val="134"/>
      </rPr>
      <t>应收票据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应收账款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销售商品、提供劳务收到的现金</t>
    </r>
  </si>
  <si>
    <t>科目</t>
  </si>
  <si>
    <t>净资产</t>
  </si>
  <si>
    <t>资产负债率</t>
  </si>
  <si>
    <t>筹资性现金净流量</t>
  </si>
  <si>
    <t>刚性债务总额</t>
  </si>
  <si>
    <t>按类型分</t>
  </si>
  <si>
    <t>银行借款</t>
  </si>
  <si>
    <t>非标借款</t>
  </si>
  <si>
    <r>
      <rPr>
        <b/>
        <sz val="12"/>
        <rFont val="仿宋"/>
        <family val="3"/>
        <charset val="134"/>
      </rPr>
      <t xml:space="preserve">  </t>
    </r>
    <r>
      <rPr>
        <b/>
        <sz val="12"/>
        <rFont val="仿宋"/>
        <family val="3"/>
        <charset val="134"/>
      </rPr>
      <t>其中：信托</t>
    </r>
  </si>
  <si>
    <t>-</t>
  </si>
  <si>
    <t>其中：租赁</t>
  </si>
  <si>
    <t>债券融资</t>
  </si>
  <si>
    <t>按期限分</t>
  </si>
  <si>
    <t>一年内到期</t>
  </si>
  <si>
    <t>一年以上</t>
  </si>
  <si>
    <t>租赁期内每年到期债务情况</t>
  </si>
  <si>
    <r>
      <rPr>
        <sz val="10"/>
        <rFont val="宋体"/>
        <family val="3"/>
        <charset val="134"/>
      </rPr>
      <t>刚性债务=短期借款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应付票据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一年内到期的长期借款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应付短期融资券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长期借款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应付债券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其他具期债务</t>
    </r>
  </si>
  <si>
    <t>银行借款为报表中长期借款与短期借款之和</t>
  </si>
  <si>
    <t>非标借款为长期应付款科目</t>
  </si>
  <si>
    <t>一年内到期为：一年内到期非流动负债科目</t>
  </si>
  <si>
    <t>更新报表可以制作动态报表</t>
  </si>
  <si>
    <t>2022.1.19</t>
  </si>
  <si>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、与可行格式一致</t>
    </r>
  </si>
  <si>
    <t>最新一期报表的时间</t>
  </si>
  <si>
    <t>年</t>
  </si>
  <si>
    <t>月</t>
  </si>
  <si>
    <t>日期</t>
  </si>
  <si>
    <t>/12/31</t>
  </si>
  <si>
    <t>序号</t>
  </si>
  <si>
    <t>登记日期</t>
  </si>
  <si>
    <t>登记编号</t>
  </si>
  <si>
    <t>被担保债权数额</t>
  </si>
  <si>
    <t>债务期限</t>
  </si>
  <si>
    <t>状态</t>
  </si>
  <si>
    <t>2018-07-05至2020-06-30</t>
  </si>
  <si>
    <t>有效</t>
  </si>
  <si>
    <t>2020-03-10至2022-05-31</t>
  </si>
  <si>
    <t>2018-07-05至2020-03-31</t>
  </si>
  <si>
    <t>2023.6</t>
    <phoneticPr fontId="37" type="noConversion"/>
  </si>
  <si>
    <t>2023/6/31</t>
    <phoneticPr fontId="37" type="noConversion"/>
  </si>
  <si>
    <t>应付</t>
  </si>
  <si>
    <r>
      <t xml:space="preserve">  </t>
    </r>
    <r>
      <rPr>
        <sz val="9"/>
        <color indexed="8"/>
        <rFont val="宋体"/>
        <family val="3"/>
        <charset val="134"/>
      </rPr>
      <t>短期借款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</si>
  <si>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向中央银行借款</t>
    </r>
    <r>
      <rPr>
        <sz val="9"/>
        <color indexed="8"/>
        <rFont val="Dialog.plain"/>
        <family val="1"/>
      </rPr>
      <t xml:space="preserve">* </t>
    </r>
  </si>
  <si>
    <r>
      <t xml:space="preserve">  </t>
    </r>
    <r>
      <rPr>
        <sz val="9"/>
        <color indexed="8"/>
        <rFont val="宋体"/>
        <family val="3"/>
        <charset val="134"/>
      </rPr>
      <t>拆入资金</t>
    </r>
    <r>
      <rPr>
        <sz val="9"/>
        <color indexed="8"/>
        <rFont val="Dialog.plain"/>
        <family val="1"/>
      </rPr>
      <t xml:space="preserve">* </t>
    </r>
  </si>
  <si>
    <r>
      <t xml:space="preserve">  </t>
    </r>
    <r>
      <rPr>
        <sz val="9"/>
        <color indexed="8"/>
        <rFont val="宋体"/>
        <family val="3"/>
        <charset val="134"/>
      </rPr>
      <t>交易性金融负债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</si>
  <si>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衍生金融负债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</si>
  <si>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应付票据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</si>
  <si>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应付账款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</si>
  <si>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预收款项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</si>
  <si>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合同负债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</si>
  <si>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卖出回购金融资产款</t>
    </r>
    <r>
      <rPr>
        <sz val="9"/>
        <color indexed="8"/>
        <rFont val="Dialog.plain"/>
        <family val="1"/>
      </rPr>
      <t xml:space="preserve">* </t>
    </r>
  </si>
  <si>
    <r>
      <t xml:space="preserve">  </t>
    </r>
    <r>
      <rPr>
        <sz val="9"/>
        <color indexed="8"/>
        <rFont val="宋体"/>
        <family val="3"/>
        <charset val="134"/>
      </rPr>
      <t>吸收存款及同业存放</t>
    </r>
    <r>
      <rPr>
        <sz val="9"/>
        <color indexed="8"/>
        <rFont val="Dialog.plain"/>
        <family val="1"/>
      </rPr>
      <t xml:space="preserve">* </t>
    </r>
  </si>
  <si>
    <r>
      <t xml:space="preserve">  </t>
    </r>
    <r>
      <rPr>
        <sz val="9"/>
        <color indexed="8"/>
        <rFont val="宋体"/>
        <family val="3"/>
        <charset val="134"/>
      </rPr>
      <t>代理买卖证券款</t>
    </r>
    <r>
      <rPr>
        <sz val="9"/>
        <color indexed="8"/>
        <rFont val="Dialog.plain"/>
        <family val="1"/>
      </rPr>
      <t xml:space="preserve">* </t>
    </r>
  </si>
  <si>
    <r>
      <t xml:space="preserve">  </t>
    </r>
    <r>
      <rPr>
        <sz val="9"/>
        <color indexed="8"/>
        <rFont val="宋体"/>
        <family val="3"/>
        <charset val="134"/>
      </rPr>
      <t>代理承销证券款</t>
    </r>
    <r>
      <rPr>
        <sz val="9"/>
        <color indexed="8"/>
        <rFont val="Dialog.plain"/>
        <family val="1"/>
      </rPr>
      <t xml:space="preserve">* </t>
    </r>
  </si>
  <si>
    <r>
      <t xml:space="preserve">  </t>
    </r>
    <r>
      <rPr>
        <sz val="9"/>
        <color indexed="8"/>
        <rFont val="宋体"/>
        <family val="3"/>
        <charset val="134"/>
      </rPr>
      <t>应付职工薪酬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</si>
  <si>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应交税费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</si>
  <si>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其他应付款</t>
    </r>
    <r>
      <rPr>
        <sz val="9"/>
        <color indexed="8"/>
        <rFont val="Dialog.plain"/>
        <family val="1"/>
      </rPr>
      <t xml:space="preserve"> </t>
    </r>
  </si>
  <si>
    <r>
      <t xml:space="preserve">   </t>
    </r>
    <r>
      <rPr>
        <sz val="9"/>
        <color indexed="8"/>
        <rFont val="宋体"/>
        <family val="3"/>
        <charset val="134"/>
      </rPr>
      <t>其中：应付利息</t>
    </r>
  </si>
  <si>
    <r>
      <t xml:space="preserve">         </t>
    </r>
    <r>
      <rPr>
        <sz val="9"/>
        <color indexed="8"/>
        <rFont val="宋体"/>
        <family val="3"/>
        <charset val="134"/>
      </rPr>
      <t>应付股利</t>
    </r>
  </si>
  <si>
    <r>
      <t xml:space="preserve">  </t>
    </r>
    <r>
      <rPr>
        <sz val="9"/>
        <color indexed="8"/>
        <rFont val="宋体"/>
        <family val="3"/>
        <charset val="134"/>
      </rPr>
      <t>应付手续费及佣金</t>
    </r>
    <r>
      <rPr>
        <sz val="9"/>
        <color indexed="8"/>
        <rFont val="Dialog.plain"/>
        <family val="1"/>
      </rPr>
      <t xml:space="preserve">* </t>
    </r>
  </si>
  <si>
    <r>
      <t xml:space="preserve">  </t>
    </r>
    <r>
      <rPr>
        <sz val="9"/>
        <color indexed="8"/>
        <rFont val="宋体"/>
        <family val="3"/>
        <charset val="134"/>
      </rPr>
      <t>应付分保账款</t>
    </r>
    <r>
      <rPr>
        <sz val="9"/>
        <color indexed="8"/>
        <rFont val="Dialog.plain"/>
        <family val="1"/>
      </rPr>
      <t xml:space="preserve">* </t>
    </r>
  </si>
  <si>
    <r>
      <t xml:space="preserve">  </t>
    </r>
    <r>
      <rPr>
        <sz val="9"/>
        <color indexed="8"/>
        <rFont val="宋体"/>
        <family val="3"/>
        <charset val="134"/>
      </rPr>
      <t>持有待售负债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</si>
  <si>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一年内到期的非流动负债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</si>
  <si>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其他流动负债</t>
    </r>
    <r>
      <rPr>
        <sz val="9"/>
        <color indexed="8"/>
        <rFont val="Dialog.plain"/>
        <family val="1"/>
      </rPr>
      <t xml:space="preserve"> </t>
    </r>
  </si>
  <si>
    <r>
      <t xml:space="preserve">    </t>
    </r>
    <r>
      <rPr>
        <b/>
        <sz val="9"/>
        <color indexed="8"/>
        <rFont val="宋体"/>
        <family val="3"/>
        <charset val="134"/>
      </rPr>
      <t>流动负债合计</t>
    </r>
    <r>
      <rPr>
        <b/>
        <sz val="9"/>
        <color indexed="8"/>
        <rFont val="Dialog.plain"/>
        <family val="1"/>
      </rPr>
      <t xml:space="preserve"> </t>
    </r>
  </si>
  <si>
    <t xml:space="preserve">非流动负债： </t>
  </si>
  <si>
    <r>
      <t xml:space="preserve">  </t>
    </r>
    <r>
      <rPr>
        <sz val="9"/>
        <color indexed="8"/>
        <rFont val="宋体"/>
        <family val="3"/>
        <charset val="134"/>
      </rPr>
      <t>保险合同准备金</t>
    </r>
    <r>
      <rPr>
        <sz val="9"/>
        <color indexed="8"/>
        <rFont val="Dialog.plain"/>
        <family val="1"/>
      </rPr>
      <t xml:space="preserve">* </t>
    </r>
  </si>
  <si>
    <r>
      <t xml:space="preserve">  </t>
    </r>
    <r>
      <rPr>
        <sz val="9"/>
        <color indexed="8"/>
        <rFont val="宋体"/>
        <family val="3"/>
        <charset val="134"/>
      </rPr>
      <t>长期借款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</si>
  <si>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应付债券</t>
    </r>
    <r>
      <rPr>
        <sz val="9"/>
        <color indexed="8"/>
        <rFont val="Dialog.plain"/>
        <family val="1"/>
      </rPr>
      <t xml:space="preserve"> </t>
    </r>
  </si>
  <si>
    <t xml:space="preserve">    其中：优先股 </t>
  </si>
  <si>
    <r>
      <t xml:space="preserve">    </t>
    </r>
    <r>
      <rPr>
        <sz val="9"/>
        <color indexed="8"/>
        <rFont val="宋体"/>
        <family val="3"/>
        <charset val="134"/>
      </rPr>
      <t>其中：优先股</t>
    </r>
    <r>
      <rPr>
        <sz val="9"/>
        <color indexed="8"/>
        <rFont val="Dialog.plain"/>
        <family val="1"/>
      </rPr>
      <t xml:space="preserve"> </t>
    </r>
  </si>
  <si>
    <r>
      <t xml:space="preserve">          </t>
    </r>
    <r>
      <rPr>
        <sz val="9"/>
        <color indexed="8"/>
        <rFont val="宋体"/>
        <family val="3"/>
        <charset val="134"/>
      </rPr>
      <t>永续债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</si>
  <si>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租赁负债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</si>
  <si>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专项应付款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</si>
  <si>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长期应付款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</si>
  <si>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长期应付职工薪酬</t>
    </r>
  </si>
  <si>
    <r>
      <t xml:space="preserve">  </t>
    </r>
    <r>
      <rPr>
        <sz val="9"/>
        <color indexed="8"/>
        <rFont val="宋体"/>
        <family val="3"/>
        <charset val="134"/>
      </rPr>
      <t>预计负债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</si>
  <si>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递延收益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</si>
  <si>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递延所得税负债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</si>
  <si>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其他非流动负债</t>
    </r>
    <r>
      <rPr>
        <sz val="9"/>
        <color indexed="8"/>
        <rFont val="Dialog.plain"/>
        <family val="1"/>
      </rPr>
      <t xml:space="preserve"> </t>
    </r>
  </si>
  <si>
    <t xml:space="preserve">所有者权益（或股东权益）： </t>
  </si>
  <si>
    <r>
      <t xml:space="preserve">  </t>
    </r>
    <r>
      <rPr>
        <sz val="9"/>
        <color indexed="8"/>
        <rFont val="宋体"/>
        <family val="3"/>
        <charset val="134"/>
      </rPr>
      <t>实收资本（或股本）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</si>
  <si>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其他权益工具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</si>
  <si>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资本公积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</si>
  <si>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减：库存股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</si>
  <si>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其他综合收益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</si>
  <si>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专项储备</t>
    </r>
    <r>
      <rPr>
        <sz val="9"/>
        <color indexed="8"/>
        <rFont val="Dialog.plain"/>
        <family val="1"/>
      </rPr>
      <t xml:space="preserve"> 400561</t>
    </r>
  </si>
  <si>
    <r>
      <t xml:space="preserve">  </t>
    </r>
    <r>
      <rPr>
        <sz val="9"/>
        <color indexed="8"/>
        <rFont val="宋体"/>
        <family val="3"/>
        <charset val="134"/>
      </rPr>
      <t>盈余公积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</si>
  <si>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一般风险准备</t>
    </r>
    <r>
      <rPr>
        <sz val="9"/>
        <color indexed="8"/>
        <rFont val="Dialog.plain"/>
        <family val="1"/>
      </rPr>
      <t xml:space="preserve">* </t>
    </r>
  </si>
  <si>
    <r>
      <t xml:space="preserve">  </t>
    </r>
    <r>
      <rPr>
        <sz val="9"/>
        <color indexed="8"/>
        <rFont val="宋体"/>
        <family val="3"/>
        <charset val="134"/>
      </rPr>
      <t>未分配利润</t>
    </r>
    <r>
      <rPr>
        <sz val="9"/>
        <color indexed="8"/>
        <rFont val="Dialog.plain"/>
        <family val="1"/>
      </rPr>
      <t xml:space="preserve"> </t>
    </r>
  </si>
  <si>
    <t>归属于母公司所有者权益（或股东权益）合计</t>
  </si>
  <si>
    <r>
      <t xml:space="preserve">  </t>
    </r>
    <r>
      <rPr>
        <sz val="9"/>
        <color indexed="8"/>
        <rFont val="宋体"/>
        <family val="3"/>
        <charset val="134"/>
      </rPr>
      <t>少数股东权益</t>
    </r>
    <r>
      <rPr>
        <sz val="9"/>
        <color indexed="8"/>
        <rFont val="Dialog.plain"/>
        <family val="1"/>
      </rPr>
      <t xml:space="preserve"> </t>
    </r>
  </si>
  <si>
    <t xml:space="preserve">一、营业总收入 </t>
  </si>
  <si>
    <r>
      <t xml:space="preserve">  </t>
    </r>
    <r>
      <rPr>
        <sz val="9"/>
        <color indexed="8"/>
        <rFont val="宋体"/>
        <family val="3"/>
        <charset val="134"/>
      </rPr>
      <t>其中：营业收入</t>
    </r>
    <r>
      <rPr>
        <sz val="9"/>
        <color indexed="8"/>
        <rFont val="Dialog.plain"/>
        <family val="1"/>
      </rPr>
      <t xml:space="preserve"> </t>
    </r>
  </si>
  <si>
    <r>
      <t xml:space="preserve">     </t>
    </r>
    <r>
      <rPr>
        <sz val="9"/>
        <color indexed="8"/>
        <rFont val="宋体"/>
        <family val="3"/>
        <charset val="134"/>
      </rPr>
      <t>利息收入</t>
    </r>
    <r>
      <rPr>
        <sz val="9"/>
        <color indexed="8"/>
        <rFont val="Dialog.plain"/>
        <family val="1"/>
      </rPr>
      <t xml:space="preserve">* </t>
    </r>
  </si>
  <si>
    <r>
      <t xml:space="preserve">        </t>
    </r>
    <r>
      <rPr>
        <sz val="9"/>
        <color indexed="8"/>
        <rFont val="宋体"/>
        <family val="3"/>
        <charset val="134"/>
      </rPr>
      <t>已赚保费</t>
    </r>
    <r>
      <rPr>
        <sz val="9"/>
        <color indexed="8"/>
        <rFont val="Dialog.plain"/>
        <family val="1"/>
      </rPr>
      <t xml:space="preserve">* </t>
    </r>
  </si>
  <si>
    <r>
      <t xml:space="preserve">        </t>
    </r>
    <r>
      <rPr>
        <sz val="9"/>
        <color indexed="8"/>
        <rFont val="宋体"/>
        <family val="3"/>
        <charset val="134"/>
      </rPr>
      <t>手续费及佣金收入</t>
    </r>
    <r>
      <rPr>
        <sz val="9"/>
        <color indexed="8"/>
        <rFont val="Dialog.plain"/>
        <family val="1"/>
      </rPr>
      <t xml:space="preserve">* </t>
    </r>
  </si>
  <si>
    <r>
      <t xml:space="preserve">        </t>
    </r>
    <r>
      <rPr>
        <sz val="9"/>
        <color indexed="8"/>
        <rFont val="宋体"/>
        <family val="3"/>
        <charset val="134"/>
      </rPr>
      <t>其他业务收入</t>
    </r>
    <r>
      <rPr>
        <sz val="9"/>
        <color indexed="8"/>
        <rFont val="Dialog.plain"/>
        <family val="1"/>
      </rPr>
      <t xml:space="preserve">* </t>
    </r>
  </si>
  <si>
    <r>
      <t>二、营业总成本</t>
    </r>
    <r>
      <rPr>
        <sz val="9"/>
        <color indexed="8"/>
        <rFont val="Dialog.plain"/>
        <family val="1"/>
      </rPr>
      <t xml:space="preserve"> </t>
    </r>
  </si>
  <si>
    <r>
      <t>其中：营业成本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</si>
  <si>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其中：主营业务成本</t>
    </r>
    <r>
      <rPr>
        <sz val="9"/>
        <color indexed="8"/>
        <rFont val="Dialog.plain"/>
        <family val="1"/>
      </rPr>
      <t xml:space="preserve"> </t>
    </r>
  </si>
  <si>
    <r>
      <t xml:space="preserve">        </t>
    </r>
    <r>
      <rPr>
        <sz val="9"/>
        <color indexed="8"/>
        <rFont val="宋体"/>
        <family val="3"/>
        <charset val="134"/>
      </rPr>
      <t>其他业务成本</t>
    </r>
    <r>
      <rPr>
        <sz val="9"/>
        <color indexed="8"/>
        <rFont val="Dialog.plain"/>
        <family val="1"/>
      </rPr>
      <t xml:space="preserve"> </t>
    </r>
  </si>
  <si>
    <r>
      <t xml:space="preserve">        </t>
    </r>
    <r>
      <rPr>
        <sz val="9"/>
        <color indexed="8"/>
        <rFont val="宋体"/>
        <family val="3"/>
        <charset val="134"/>
      </rPr>
      <t>利息支出</t>
    </r>
    <r>
      <rPr>
        <sz val="9"/>
        <color indexed="8"/>
        <rFont val="Dialog.plain"/>
        <family val="1"/>
      </rPr>
      <t xml:space="preserve">* </t>
    </r>
  </si>
  <si>
    <r>
      <t xml:space="preserve">        </t>
    </r>
    <r>
      <rPr>
        <sz val="9"/>
        <color indexed="8"/>
        <rFont val="宋体"/>
        <family val="3"/>
        <charset val="134"/>
      </rPr>
      <t>手续费及佣金支出</t>
    </r>
    <r>
      <rPr>
        <sz val="9"/>
        <color indexed="8"/>
        <rFont val="Dialog.plain"/>
        <family val="1"/>
      </rPr>
      <t xml:space="preserve">* </t>
    </r>
  </si>
  <si>
    <r>
      <t xml:space="preserve">        </t>
    </r>
    <r>
      <rPr>
        <sz val="9"/>
        <color indexed="8"/>
        <rFont val="宋体"/>
        <family val="3"/>
        <charset val="134"/>
      </rPr>
      <t>退保金</t>
    </r>
    <r>
      <rPr>
        <sz val="9"/>
        <color indexed="8"/>
        <rFont val="Dialog.plain"/>
        <family val="1"/>
      </rPr>
      <t xml:space="preserve">* </t>
    </r>
  </si>
  <si>
    <r>
      <t xml:space="preserve">        </t>
    </r>
    <r>
      <rPr>
        <sz val="9"/>
        <color indexed="8"/>
        <rFont val="宋体"/>
        <family val="3"/>
        <charset val="134"/>
      </rPr>
      <t>赔付支出净额</t>
    </r>
    <r>
      <rPr>
        <sz val="9"/>
        <color indexed="8"/>
        <rFont val="Dialog.plain"/>
        <family val="1"/>
      </rPr>
      <t xml:space="preserve">* </t>
    </r>
  </si>
  <si>
    <r>
      <t xml:space="preserve">        </t>
    </r>
    <r>
      <rPr>
        <sz val="9"/>
        <color indexed="8"/>
        <rFont val="宋体"/>
        <family val="3"/>
        <charset val="134"/>
      </rPr>
      <t>提取保险责任准备金净额</t>
    </r>
    <r>
      <rPr>
        <sz val="9"/>
        <color indexed="8"/>
        <rFont val="Dialog.plain"/>
        <family val="1"/>
      </rPr>
      <t xml:space="preserve">* </t>
    </r>
  </si>
  <si>
    <r>
      <t xml:space="preserve">        </t>
    </r>
    <r>
      <rPr>
        <sz val="9"/>
        <color indexed="8"/>
        <rFont val="宋体"/>
        <family val="3"/>
        <charset val="134"/>
      </rPr>
      <t>保单红利支出</t>
    </r>
    <r>
      <rPr>
        <sz val="9"/>
        <color indexed="8"/>
        <rFont val="Dialog.plain"/>
        <family val="1"/>
      </rPr>
      <t xml:space="preserve">* </t>
    </r>
  </si>
  <si>
    <r>
      <t xml:space="preserve">        </t>
    </r>
    <r>
      <rPr>
        <sz val="9"/>
        <color indexed="8"/>
        <rFont val="宋体"/>
        <family val="3"/>
        <charset val="134"/>
      </rPr>
      <t>分保费用</t>
    </r>
    <r>
      <rPr>
        <sz val="9"/>
        <color indexed="8"/>
        <rFont val="Dialog.plain"/>
        <family val="1"/>
      </rPr>
      <t xml:space="preserve">* </t>
    </r>
  </si>
  <si>
    <r>
      <t xml:space="preserve">        </t>
    </r>
    <r>
      <rPr>
        <sz val="9"/>
        <color indexed="8"/>
        <rFont val="宋体"/>
        <family val="3"/>
        <charset val="134"/>
      </rPr>
      <t>税金及附加</t>
    </r>
    <r>
      <rPr>
        <sz val="9"/>
        <color indexed="8"/>
        <rFont val="Dialog.plain"/>
        <family val="1"/>
      </rPr>
      <t xml:space="preserve"> </t>
    </r>
  </si>
  <si>
    <r>
      <t xml:space="preserve">        </t>
    </r>
    <r>
      <rPr>
        <sz val="9"/>
        <color indexed="8"/>
        <rFont val="宋体"/>
        <family val="3"/>
        <charset val="134"/>
      </rPr>
      <t>销售费用</t>
    </r>
    <r>
      <rPr>
        <sz val="9"/>
        <color indexed="8"/>
        <rFont val="Dialog.plain"/>
        <family val="1"/>
      </rPr>
      <t xml:space="preserve"> </t>
    </r>
  </si>
  <si>
    <r>
      <t xml:space="preserve">        </t>
    </r>
    <r>
      <rPr>
        <sz val="9"/>
        <color indexed="8"/>
        <rFont val="宋体"/>
        <family val="3"/>
        <charset val="134"/>
      </rPr>
      <t>管理费用</t>
    </r>
    <r>
      <rPr>
        <sz val="9"/>
        <color indexed="8"/>
        <rFont val="Dialog.plain"/>
        <family val="1"/>
      </rPr>
      <t xml:space="preserve"> </t>
    </r>
  </si>
  <si>
    <r>
      <t xml:space="preserve">        </t>
    </r>
    <r>
      <rPr>
        <sz val="9"/>
        <color indexed="8"/>
        <rFont val="宋体"/>
        <family val="3"/>
        <charset val="134"/>
      </rPr>
      <t>研发费用</t>
    </r>
    <r>
      <rPr>
        <sz val="9"/>
        <color indexed="8"/>
        <rFont val="Dialog.plain"/>
        <family val="1"/>
      </rPr>
      <t xml:space="preserve"> </t>
    </r>
  </si>
  <si>
    <r>
      <t xml:space="preserve">        </t>
    </r>
    <r>
      <rPr>
        <sz val="9"/>
        <color indexed="8"/>
        <rFont val="宋体"/>
        <family val="3"/>
        <charset val="134"/>
      </rPr>
      <t>财务费用</t>
    </r>
    <r>
      <rPr>
        <sz val="9"/>
        <color indexed="8"/>
        <rFont val="Dialog.plain"/>
        <family val="1"/>
      </rPr>
      <t xml:space="preserve"> </t>
    </r>
  </si>
  <si>
    <r>
      <t xml:space="preserve">      </t>
    </r>
    <r>
      <rPr>
        <sz val="9"/>
        <color indexed="8"/>
        <rFont val="宋体"/>
        <family val="3"/>
        <charset val="134"/>
      </rPr>
      <t>其中：利息费用</t>
    </r>
    <r>
      <rPr>
        <sz val="9"/>
        <color indexed="8"/>
        <rFont val="Dialog.plain"/>
        <family val="1"/>
      </rPr>
      <t xml:space="preserve"> </t>
    </r>
  </si>
  <si>
    <r>
      <t xml:space="preserve">        </t>
    </r>
    <r>
      <rPr>
        <sz val="9"/>
        <color indexed="8"/>
        <rFont val="宋体"/>
        <family val="3"/>
        <charset val="134"/>
      </rPr>
      <t>利息收入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</si>
  <si>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加：其他收益</t>
    </r>
    <r>
      <rPr>
        <sz val="9"/>
        <color indexed="8"/>
        <rFont val="Dialog.plain"/>
        <family val="1"/>
      </rPr>
      <t xml:space="preserve"> </t>
    </r>
  </si>
  <si>
    <r>
      <t xml:space="preserve">      </t>
    </r>
    <r>
      <rPr>
        <sz val="9"/>
        <color indexed="8"/>
        <rFont val="宋体"/>
        <family val="3"/>
        <charset val="134"/>
      </rPr>
      <t>投资收益（损失以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</si>
  <si>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t>其中：对联营企业和合营企业投资收益</t>
    </r>
    <r>
      <rPr>
        <sz val="9"/>
        <color indexed="8"/>
        <rFont val="Dialog.plain"/>
        <family val="1"/>
      </rPr>
      <t xml:space="preserve"> </t>
    </r>
  </si>
  <si>
    <r>
      <t xml:space="preserve">      </t>
    </r>
    <r>
      <rPr>
        <sz val="9"/>
        <color indexed="8"/>
        <rFont val="宋体"/>
        <family val="3"/>
        <charset val="134"/>
      </rPr>
      <t>以摊余成本计量的金融资产终止确认收益</t>
    </r>
    <r>
      <rPr>
        <sz val="9"/>
        <color indexed="8"/>
        <rFont val="Dialog.plain"/>
        <family val="1"/>
      </rPr>
      <t xml:space="preserve"> </t>
    </r>
  </si>
  <si>
    <r>
      <t xml:space="preserve">      </t>
    </r>
    <r>
      <rPr>
        <sz val="9"/>
        <color indexed="8"/>
        <rFont val="宋体"/>
        <family val="3"/>
        <charset val="134"/>
      </rPr>
      <t>汇兑收益（损失以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* </t>
    </r>
  </si>
  <si>
    <r>
      <t xml:space="preserve">      </t>
    </r>
    <r>
      <rPr>
        <sz val="9"/>
        <color indexed="8"/>
        <rFont val="宋体"/>
        <family val="3"/>
        <charset val="134"/>
      </rPr>
      <t>净敞口套期收益（损失以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</si>
  <si>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t xml:space="preserve">      </t>
    </r>
    <r>
      <rPr>
        <sz val="9"/>
        <color indexed="8"/>
        <rFont val="宋体"/>
        <family val="3"/>
        <charset val="134"/>
      </rPr>
      <t>公允价值变动收益（损失以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</si>
  <si>
    <r>
      <t xml:space="preserve">      </t>
    </r>
    <r>
      <rPr>
        <sz val="9"/>
        <color indexed="8"/>
        <rFont val="宋体"/>
        <family val="3"/>
        <charset val="134"/>
      </rPr>
      <t>信用减值损失（损失以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</si>
  <si>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t xml:space="preserve">      </t>
    </r>
    <r>
      <rPr>
        <sz val="9"/>
        <color indexed="8"/>
        <rFont val="宋体"/>
        <family val="3"/>
        <charset val="134"/>
      </rPr>
      <t>资产减值损失（损失以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</si>
  <si>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t xml:space="preserve">      </t>
    </r>
    <r>
      <rPr>
        <sz val="9"/>
        <color indexed="8"/>
        <rFont val="宋体"/>
        <family val="3"/>
        <charset val="134"/>
      </rPr>
      <t>资产处置收益（损失以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</si>
  <si>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t>三、营业利润（亏损以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</si>
  <si>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加：营业外收入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</si>
  <si>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减：营业外支出</t>
    </r>
    <r>
      <rPr>
        <sz val="9"/>
        <color indexed="8"/>
        <rFont val="Dialog.plain"/>
        <family val="1"/>
      </rPr>
      <t xml:space="preserve"> </t>
    </r>
  </si>
  <si>
    <r>
      <t>四、利润总额（亏损总额以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</si>
  <si>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减：所得税费用</t>
    </r>
    <r>
      <rPr>
        <sz val="9"/>
        <color indexed="8"/>
        <rFont val="Dialog.plain"/>
        <family val="1"/>
      </rPr>
      <t xml:space="preserve"> </t>
    </r>
  </si>
  <si>
    <r>
      <t>五、净利润（净亏损以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</si>
  <si>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（一）按经营持续性分类</t>
    </r>
    <r>
      <rPr>
        <sz val="9"/>
        <color indexed="8"/>
        <rFont val="Dialog.plain"/>
        <family val="1"/>
      </rPr>
      <t xml:space="preserve"> </t>
    </r>
  </si>
  <si>
    <r>
      <t xml:space="preserve">    1. </t>
    </r>
    <r>
      <rPr>
        <sz val="9"/>
        <color indexed="8"/>
        <rFont val="宋体"/>
        <family val="3"/>
        <charset val="134"/>
      </rPr>
      <t>持续经营净利润（净亏损以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</si>
  <si>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t xml:space="preserve">    2. </t>
    </r>
    <r>
      <rPr>
        <sz val="9"/>
        <color indexed="8"/>
        <rFont val="宋体"/>
        <family val="3"/>
        <charset val="134"/>
      </rPr>
      <t>终止经营净利润（净亏损以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</si>
  <si>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t xml:space="preserve">  </t>
    </r>
    <r>
      <rPr>
        <sz val="9"/>
        <color indexed="8"/>
        <rFont val="宋体"/>
        <family val="3"/>
        <charset val="134"/>
      </rPr>
      <t>（二）按所有权归属分类</t>
    </r>
    <r>
      <rPr>
        <sz val="9"/>
        <color indexed="8"/>
        <rFont val="Dialog.plain"/>
        <family val="1"/>
      </rPr>
      <t xml:space="preserve"> </t>
    </r>
  </si>
  <si>
    <r>
      <t xml:space="preserve">    1. </t>
    </r>
    <r>
      <rPr>
        <sz val="9"/>
        <color indexed="8"/>
        <rFont val="宋体"/>
        <family val="3"/>
        <charset val="134"/>
      </rPr>
      <t>归属于母公司股东的净利润（净亏损以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</si>
  <si>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t xml:space="preserve">    2. </t>
    </r>
    <r>
      <rPr>
        <sz val="10"/>
        <rFont val="宋体"/>
        <family val="3"/>
        <charset val="134"/>
      </rPr>
      <t>少数股东损益（净亏损以</t>
    </r>
    <r>
      <rPr>
        <sz val="10"/>
        <rFont val="Arial"/>
        <family val="2"/>
      </rPr>
      <t>“-”</t>
    </r>
    <r>
      <rPr>
        <sz val="10"/>
        <rFont val="宋体"/>
        <family val="3"/>
        <charset val="134"/>
      </rPr>
      <t>号填列）</t>
    </r>
  </si>
  <si>
    <r>
      <t>六、其他综合收益的税后净额</t>
    </r>
    <r>
      <rPr>
        <sz val="10"/>
        <rFont val="Arial"/>
        <family val="2"/>
      </rPr>
      <t xml:space="preserve"> </t>
    </r>
  </si>
  <si>
    <r>
      <t xml:space="preserve">  </t>
    </r>
    <r>
      <rPr>
        <sz val="10"/>
        <rFont val="宋体"/>
        <family val="3"/>
        <charset val="134"/>
      </rPr>
      <t>（一）归属于母公司所有者的其他综合收益的税后净额</t>
    </r>
    <r>
      <rPr>
        <sz val="10"/>
        <rFont val="Arial"/>
        <family val="2"/>
      </rPr>
      <t xml:space="preserve"> </t>
    </r>
  </si>
  <si>
    <r>
      <t xml:space="preserve">    1</t>
    </r>
    <r>
      <rPr>
        <sz val="10"/>
        <rFont val="宋体"/>
        <family val="3"/>
        <charset val="134"/>
      </rPr>
      <t>．不能重分类进损益的其他综合收益</t>
    </r>
    <r>
      <rPr>
        <sz val="10"/>
        <rFont val="Arial"/>
        <family val="2"/>
      </rPr>
      <t xml:space="preserve"> </t>
    </r>
  </si>
  <si>
    <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）重新计量设定受益计划变动额</t>
    </r>
    <r>
      <rPr>
        <sz val="10"/>
        <rFont val="Arial"/>
        <family val="2"/>
      </rPr>
      <t xml:space="preserve"> </t>
    </r>
  </si>
  <si>
    <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）权益法下不能转损益的其他综合收益</t>
    </r>
  </si>
  <si>
    <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）其他权益工具投资公允价值变动</t>
    </r>
    <r>
      <rPr>
        <sz val="10"/>
        <rFont val="Arial"/>
        <family val="2"/>
      </rPr>
      <t xml:space="preserve"> </t>
    </r>
  </si>
  <si>
    <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>）企业自身信用风险公允价值变动</t>
    </r>
    <r>
      <rPr>
        <sz val="10"/>
        <rFont val="Arial"/>
        <family val="2"/>
      </rPr>
      <t xml:space="preserve"> </t>
    </r>
  </si>
  <si>
    <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）其他</t>
    </r>
    <r>
      <rPr>
        <sz val="10"/>
        <rFont val="Arial"/>
        <family val="2"/>
      </rPr>
      <t xml:space="preserve"> </t>
    </r>
  </si>
  <si>
    <r>
      <t xml:space="preserve">    2</t>
    </r>
    <r>
      <rPr>
        <sz val="10"/>
        <rFont val="宋体"/>
        <family val="3"/>
        <charset val="134"/>
      </rPr>
      <t>．将重分类进损益的其他综合收益</t>
    </r>
    <r>
      <rPr>
        <sz val="10"/>
        <rFont val="Arial"/>
        <family val="2"/>
      </rPr>
      <t xml:space="preserve"> </t>
    </r>
  </si>
  <si>
    <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）权益法下可转损益的其他综合收益</t>
    </r>
    <r>
      <rPr>
        <sz val="10"/>
        <rFont val="Arial"/>
        <family val="2"/>
      </rPr>
      <t xml:space="preserve"> </t>
    </r>
  </si>
  <si>
    <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）其他债权投资公允价值变动</t>
    </r>
    <r>
      <rPr>
        <sz val="10"/>
        <rFont val="Arial"/>
        <family val="2"/>
      </rPr>
      <t xml:space="preserve"> </t>
    </r>
  </si>
  <si>
    <r>
      <t>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）金融资产重分类计入其他综合收益的金额</t>
    </r>
    <r>
      <rPr>
        <sz val="10"/>
        <rFont val="Arial"/>
        <family val="2"/>
      </rPr>
      <t xml:space="preserve"> </t>
    </r>
  </si>
  <si>
    <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>）其他债权投资信用减值准备</t>
    </r>
    <r>
      <rPr>
        <sz val="10"/>
        <rFont val="Arial"/>
        <family val="2"/>
      </rPr>
      <t xml:space="preserve"> </t>
    </r>
  </si>
  <si>
    <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）现金流量套期储备</t>
    </r>
    <r>
      <rPr>
        <sz val="10"/>
        <rFont val="Arial"/>
        <family val="2"/>
      </rPr>
      <t xml:space="preserve"> </t>
    </r>
  </si>
  <si>
    <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6</t>
    </r>
    <r>
      <rPr>
        <sz val="10"/>
        <rFont val="宋体"/>
        <family val="3"/>
        <charset val="134"/>
      </rPr>
      <t>）外币财务报表折算差额</t>
    </r>
    <r>
      <rPr>
        <sz val="10"/>
        <rFont val="Arial"/>
        <family val="2"/>
      </rPr>
      <t xml:space="preserve"> </t>
    </r>
  </si>
  <si>
    <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7</t>
    </r>
    <r>
      <rPr>
        <sz val="10"/>
        <rFont val="宋体"/>
        <family val="3"/>
        <charset val="134"/>
      </rPr>
      <t>）其他</t>
    </r>
  </si>
  <si>
    <r>
      <t xml:space="preserve">  </t>
    </r>
    <r>
      <rPr>
        <sz val="10"/>
        <rFont val="宋体"/>
        <family val="3"/>
        <charset val="134"/>
      </rPr>
      <t>（二）归属于少数股东的其他综合收益的税后净额</t>
    </r>
    <r>
      <rPr>
        <sz val="10"/>
        <rFont val="Arial"/>
        <family val="2"/>
      </rPr>
      <t xml:space="preserve"> </t>
    </r>
  </si>
  <si>
    <r>
      <t>七、综合收益总额</t>
    </r>
    <r>
      <rPr>
        <sz val="10"/>
        <rFont val="Arial"/>
        <family val="2"/>
      </rPr>
      <t xml:space="preserve"> </t>
    </r>
  </si>
  <si>
    <r>
      <t xml:space="preserve">  </t>
    </r>
    <r>
      <rPr>
        <sz val="10"/>
        <rFont val="宋体"/>
        <family val="3"/>
        <charset val="134"/>
      </rPr>
      <t>（一）归属于母公司所有者的综合收益总额</t>
    </r>
  </si>
  <si>
    <r>
      <t xml:space="preserve">  </t>
    </r>
    <r>
      <rPr>
        <sz val="10"/>
        <rFont val="宋体"/>
        <family val="3"/>
        <charset val="134"/>
      </rPr>
      <t>（二）归属于少数股东的综合收益总额</t>
    </r>
    <r>
      <rPr>
        <sz val="10"/>
        <rFont val="Arial"/>
        <family val="2"/>
      </rPr>
      <t xml:space="preserve"> </t>
    </r>
  </si>
  <si>
    <r>
      <t>八、每股收益</t>
    </r>
    <r>
      <rPr>
        <sz val="10"/>
        <rFont val="Arial"/>
        <family val="2"/>
      </rPr>
      <t xml:space="preserve"> </t>
    </r>
  </si>
  <si>
    <r>
      <t xml:space="preserve">  </t>
    </r>
    <r>
      <rPr>
        <sz val="10"/>
        <rFont val="宋体"/>
        <family val="3"/>
        <charset val="134"/>
      </rPr>
      <t>（一）基本每股收益</t>
    </r>
    <r>
      <rPr>
        <sz val="10"/>
        <rFont val="Arial"/>
        <family val="2"/>
      </rPr>
      <t xml:space="preserve"> </t>
    </r>
  </si>
  <si>
    <r>
      <t xml:space="preserve">  </t>
    </r>
    <r>
      <rPr>
        <sz val="10"/>
        <rFont val="宋体"/>
        <family val="3"/>
        <charset val="134"/>
      </rPr>
      <t>（二）稀释每股收益</t>
    </r>
    <r>
      <rPr>
        <sz val="10"/>
        <rFont val="Arial"/>
        <family val="2"/>
      </rPr>
      <t xml:space="preserve"> </t>
    </r>
  </si>
  <si>
    <r>
      <t>一、经营活动产生的现金流量</t>
    </r>
    <r>
      <rPr>
        <sz val="9"/>
        <color indexed="8"/>
        <rFont val="Dialog.plain"/>
        <family val="1"/>
      </rPr>
      <t xml:space="preserve"> </t>
    </r>
  </si>
  <si>
    <r>
      <t>销售商品、提供劳务收到的现金</t>
    </r>
    <r>
      <rPr>
        <sz val="9"/>
        <color indexed="8"/>
        <rFont val="Dialog.plain"/>
        <family val="1"/>
      </rPr>
      <t xml:space="preserve"> </t>
    </r>
  </si>
  <si>
    <r>
      <t>客户存款和同业存放款项净增加额</t>
    </r>
    <r>
      <rPr>
        <sz val="9"/>
        <color indexed="8"/>
        <rFont val="Dialog.plain"/>
        <family val="1"/>
      </rPr>
      <t xml:space="preserve">* </t>
    </r>
  </si>
  <si>
    <r>
      <t>向中央银行借款净增加额</t>
    </r>
    <r>
      <rPr>
        <sz val="9"/>
        <color indexed="8"/>
        <rFont val="Dialog.plain"/>
        <family val="1"/>
      </rPr>
      <t xml:space="preserve">* </t>
    </r>
  </si>
  <si>
    <r>
      <t>向其他金融机构拆入资金净增加额</t>
    </r>
    <r>
      <rPr>
        <sz val="9"/>
        <color indexed="8"/>
        <rFont val="Dialog.plain"/>
        <family val="1"/>
      </rPr>
      <t xml:space="preserve">* </t>
    </r>
  </si>
  <si>
    <r>
      <t>收到原保险合同保费取得的现金</t>
    </r>
    <r>
      <rPr>
        <sz val="9"/>
        <color indexed="8"/>
        <rFont val="Dialog.plain"/>
        <family val="1"/>
      </rPr>
      <t xml:space="preserve">* </t>
    </r>
  </si>
  <si>
    <r>
      <t>收到再保业务现金净额</t>
    </r>
    <r>
      <rPr>
        <sz val="9"/>
        <color indexed="8"/>
        <rFont val="Dialog.plain"/>
        <family val="1"/>
      </rPr>
      <t xml:space="preserve">* </t>
    </r>
  </si>
  <si>
    <r>
      <t>保户储金及投资款净增加额</t>
    </r>
    <r>
      <rPr>
        <sz val="9"/>
        <color indexed="8"/>
        <rFont val="Dialog.plain"/>
        <family val="1"/>
      </rPr>
      <t xml:space="preserve">* </t>
    </r>
  </si>
  <si>
    <r>
      <t>收取利息、手续费及佣金的现金</t>
    </r>
    <r>
      <rPr>
        <sz val="9"/>
        <color indexed="8"/>
        <rFont val="Dialog.plain"/>
        <family val="1"/>
      </rPr>
      <t xml:space="preserve">* </t>
    </r>
  </si>
  <si>
    <r>
      <t>拆入资金净增加额</t>
    </r>
    <r>
      <rPr>
        <sz val="9"/>
        <color indexed="8"/>
        <rFont val="Dialog.plain"/>
        <family val="1"/>
      </rPr>
      <t xml:space="preserve">* </t>
    </r>
  </si>
  <si>
    <r>
      <t>回购业务资金净增加额</t>
    </r>
    <r>
      <rPr>
        <sz val="9"/>
        <color indexed="8"/>
        <rFont val="Dialog.plain"/>
        <family val="1"/>
      </rPr>
      <t xml:space="preserve">* </t>
    </r>
  </si>
  <si>
    <r>
      <t>代理买卖证券收到的现金净额</t>
    </r>
    <r>
      <rPr>
        <sz val="9"/>
        <color indexed="8"/>
        <rFont val="Dialog.plain"/>
        <family val="1"/>
      </rPr>
      <t xml:space="preserve">* </t>
    </r>
  </si>
  <si>
    <r>
      <t>收到的税费返还</t>
    </r>
    <r>
      <rPr>
        <sz val="9"/>
        <color indexed="8"/>
        <rFont val="Dialog.plain"/>
        <family val="1"/>
      </rPr>
      <t xml:space="preserve"> </t>
    </r>
  </si>
  <si>
    <r>
      <t>收到其他与经营活动有关的现金</t>
    </r>
    <r>
      <rPr>
        <sz val="9"/>
        <color indexed="8"/>
        <rFont val="Dialog.plain"/>
        <family val="1"/>
      </rPr>
      <t xml:space="preserve"> </t>
    </r>
  </si>
  <si>
    <r>
      <t>经营活动现金流入小计</t>
    </r>
    <r>
      <rPr>
        <sz val="9"/>
        <color indexed="8"/>
        <rFont val="Dialog.plain"/>
        <family val="1"/>
      </rPr>
      <t xml:space="preserve"> </t>
    </r>
  </si>
  <si>
    <r>
      <t xml:space="preserve">    </t>
    </r>
    <r>
      <rPr>
        <sz val="9"/>
        <color indexed="8"/>
        <rFont val="宋体"/>
        <family val="3"/>
        <charset val="134"/>
      </rPr>
      <t>购买商品、接受劳务支付的现金</t>
    </r>
    <r>
      <rPr>
        <sz val="9"/>
        <color indexed="8"/>
        <rFont val="Dialog.plain"/>
        <family val="1"/>
      </rPr>
      <t xml:space="preserve"> </t>
    </r>
  </si>
  <si>
    <r>
      <t>客户贷款及垫款净增加额</t>
    </r>
    <r>
      <rPr>
        <sz val="9"/>
        <color indexed="8"/>
        <rFont val="Dialog.plain"/>
        <family val="1"/>
      </rPr>
      <t xml:space="preserve">* </t>
    </r>
  </si>
  <si>
    <r>
      <t>存放中央银行和同业款项净增加额</t>
    </r>
    <r>
      <rPr>
        <sz val="9"/>
        <color indexed="8"/>
        <rFont val="Dialog.plain"/>
        <family val="1"/>
      </rPr>
      <t xml:space="preserve">* </t>
    </r>
  </si>
  <si>
    <r>
      <t>支付原保险合同赔付款项的现金</t>
    </r>
    <r>
      <rPr>
        <sz val="9"/>
        <color indexed="8"/>
        <rFont val="Dialog.plain"/>
        <family val="1"/>
      </rPr>
      <t xml:space="preserve">* </t>
    </r>
  </si>
  <si>
    <r>
      <t>拆出资金净增加额</t>
    </r>
    <r>
      <rPr>
        <sz val="9"/>
        <color indexed="8"/>
        <rFont val="Dialog.plain"/>
        <family val="1"/>
      </rPr>
      <t xml:space="preserve">* </t>
    </r>
  </si>
  <si>
    <r>
      <t>支付利息、手续费及佣金的现金</t>
    </r>
    <r>
      <rPr>
        <sz val="9"/>
        <color indexed="8"/>
        <rFont val="Dialog.plain"/>
        <family val="1"/>
      </rPr>
      <t xml:space="preserve">* </t>
    </r>
  </si>
  <si>
    <r>
      <t>支付保单红利的现金</t>
    </r>
    <r>
      <rPr>
        <sz val="9"/>
        <color indexed="8"/>
        <rFont val="Dialog.plain"/>
        <family val="1"/>
      </rPr>
      <t xml:space="preserve">* </t>
    </r>
  </si>
  <si>
    <r>
      <t>支付给职工及为职工支付的现金</t>
    </r>
    <r>
      <rPr>
        <sz val="9"/>
        <color indexed="8"/>
        <rFont val="Dialog.plain"/>
        <family val="1"/>
      </rPr>
      <t xml:space="preserve"> </t>
    </r>
  </si>
  <si>
    <r>
      <t>支付的各项税费</t>
    </r>
    <r>
      <rPr>
        <sz val="9"/>
        <color indexed="8"/>
        <rFont val="Dialog.plain"/>
        <family val="1"/>
      </rPr>
      <t xml:space="preserve"> </t>
    </r>
  </si>
  <si>
    <r>
      <t>支付其他与经营活动有关的现金</t>
    </r>
    <r>
      <rPr>
        <sz val="9"/>
        <color indexed="8"/>
        <rFont val="Dialog.plain"/>
        <family val="1"/>
      </rPr>
      <t xml:space="preserve"> </t>
    </r>
  </si>
  <si>
    <r>
      <t>经营活动现金流出小计</t>
    </r>
    <r>
      <rPr>
        <sz val="9"/>
        <color indexed="8"/>
        <rFont val="Dialog.plain"/>
        <family val="1"/>
      </rPr>
      <t xml:space="preserve"> </t>
    </r>
  </si>
  <si>
    <r>
      <t>二、投资活动产生的现金流量</t>
    </r>
    <r>
      <rPr>
        <sz val="9"/>
        <color indexed="8"/>
        <rFont val="Dialog.plain"/>
        <family val="1"/>
      </rPr>
      <t xml:space="preserve"> </t>
    </r>
  </si>
  <si>
    <r>
      <t>收回投资收到的现金</t>
    </r>
    <r>
      <rPr>
        <sz val="9"/>
        <color indexed="8"/>
        <rFont val="Dialog.plain"/>
        <family val="1"/>
      </rPr>
      <t xml:space="preserve"> </t>
    </r>
  </si>
  <si>
    <r>
      <t>取得投资收益收到的现金</t>
    </r>
    <r>
      <rPr>
        <sz val="9"/>
        <color indexed="8"/>
        <rFont val="Dialog.plain"/>
        <family val="1"/>
      </rPr>
      <t xml:space="preserve"> </t>
    </r>
  </si>
  <si>
    <r>
      <t>处置固定资产、无形资产和其他长期资产收回的现金净额</t>
    </r>
    <r>
      <rPr>
        <sz val="9"/>
        <color indexed="8"/>
        <rFont val="Dialog.plain"/>
        <family val="1"/>
      </rPr>
      <t xml:space="preserve"> </t>
    </r>
  </si>
  <si>
    <r>
      <t>处置子公司及其他营业单位收到的现金净额</t>
    </r>
    <r>
      <rPr>
        <sz val="9"/>
        <color indexed="8"/>
        <rFont val="Dialog.plain"/>
        <family val="1"/>
      </rPr>
      <t xml:space="preserve"> </t>
    </r>
  </si>
  <si>
    <r>
      <t>收到其他与投资活动有关的现金</t>
    </r>
    <r>
      <rPr>
        <sz val="9"/>
        <color indexed="8"/>
        <rFont val="Dialog.plain"/>
        <family val="1"/>
      </rPr>
      <t xml:space="preserve"> </t>
    </r>
  </si>
  <si>
    <r>
      <t>投资活动现金流入小计</t>
    </r>
    <r>
      <rPr>
        <sz val="9"/>
        <color indexed="8"/>
        <rFont val="Dialog.plain"/>
        <family val="1"/>
      </rPr>
      <t xml:space="preserve"> </t>
    </r>
  </si>
  <si>
    <r>
      <t xml:space="preserve">    </t>
    </r>
    <r>
      <rPr>
        <sz val="9"/>
        <color indexed="8"/>
        <rFont val="宋体"/>
        <family val="3"/>
        <charset val="134"/>
      </rPr>
      <t>购建固定资产、无形资产和其他长期资产支付的现金</t>
    </r>
    <r>
      <rPr>
        <sz val="9"/>
        <color indexed="8"/>
        <rFont val="Dialog.plain"/>
        <family val="1"/>
      </rPr>
      <t xml:space="preserve"> </t>
    </r>
  </si>
  <si>
    <r>
      <t>投资支付的现金</t>
    </r>
    <r>
      <rPr>
        <sz val="9"/>
        <color indexed="8"/>
        <rFont val="Dialog.plain"/>
        <family val="1"/>
      </rPr>
      <t xml:space="preserve"> </t>
    </r>
  </si>
  <si>
    <r>
      <t>质押贷款净增加额</t>
    </r>
    <r>
      <rPr>
        <sz val="9"/>
        <color indexed="8"/>
        <rFont val="Dialog.plain"/>
        <family val="1"/>
      </rPr>
      <t xml:space="preserve">* </t>
    </r>
  </si>
  <si>
    <r>
      <t>取得子公司及其他营业单位支付的现金净额</t>
    </r>
    <r>
      <rPr>
        <sz val="9"/>
        <color indexed="8"/>
        <rFont val="Dialog.plain"/>
        <family val="1"/>
      </rPr>
      <t xml:space="preserve"> </t>
    </r>
  </si>
  <si>
    <r>
      <t>支付其他与投资活动有关的现金</t>
    </r>
    <r>
      <rPr>
        <sz val="10"/>
        <rFont val="Arial"/>
        <family val="2"/>
      </rPr>
      <t xml:space="preserve"> </t>
    </r>
  </si>
  <si>
    <r>
      <t>投资活动现金流出小计</t>
    </r>
    <r>
      <rPr>
        <sz val="10"/>
        <rFont val="Arial"/>
        <family val="2"/>
      </rPr>
      <t xml:space="preserve"> </t>
    </r>
  </si>
  <si>
    <r>
      <t>三、筹资活动产生的现金流量</t>
    </r>
    <r>
      <rPr>
        <sz val="10"/>
        <rFont val="Arial"/>
        <family val="2"/>
      </rPr>
      <t xml:space="preserve"> </t>
    </r>
  </si>
  <si>
    <r>
      <t>吸收投资收到的现金</t>
    </r>
    <r>
      <rPr>
        <sz val="10"/>
        <rFont val="Arial"/>
        <family val="2"/>
      </rPr>
      <t xml:space="preserve"> </t>
    </r>
  </si>
  <si>
    <r>
      <t>取得借款收到的现金</t>
    </r>
    <r>
      <rPr>
        <sz val="10"/>
        <rFont val="Arial"/>
        <family val="2"/>
      </rPr>
      <t xml:space="preserve"> </t>
    </r>
  </si>
  <si>
    <t>发行债券收到的现金</t>
  </si>
  <si>
    <r>
      <t>收到其他与筹资活动有关的现金</t>
    </r>
    <r>
      <rPr>
        <sz val="10"/>
        <rFont val="Arial"/>
        <family val="2"/>
      </rPr>
      <t xml:space="preserve"> </t>
    </r>
  </si>
  <si>
    <r>
      <t>筹资活动现金流入小计</t>
    </r>
    <r>
      <rPr>
        <sz val="10"/>
        <rFont val="Arial"/>
        <family val="2"/>
      </rPr>
      <t xml:space="preserve"> </t>
    </r>
  </si>
  <si>
    <r>
      <t>偿还债务支付的现金</t>
    </r>
    <r>
      <rPr>
        <sz val="10"/>
        <rFont val="Arial"/>
        <family val="2"/>
      </rPr>
      <t xml:space="preserve"> </t>
    </r>
  </si>
  <si>
    <r>
      <t>支付其他与筹资活动有关的现金</t>
    </r>
    <r>
      <rPr>
        <sz val="10"/>
        <rFont val="Arial"/>
        <family val="2"/>
      </rPr>
      <t xml:space="preserve"> </t>
    </r>
  </si>
  <si>
    <r>
      <t>筹资活动现金流出小计</t>
    </r>
    <r>
      <rPr>
        <sz val="10"/>
        <rFont val="Arial"/>
        <family val="2"/>
      </rPr>
      <t xml:space="preserve"> </t>
    </r>
  </si>
  <si>
    <r>
      <t>筹资活动产生的现金流量净额</t>
    </r>
    <r>
      <rPr>
        <sz val="10"/>
        <rFont val="Arial"/>
        <family val="2"/>
      </rPr>
      <t xml:space="preserve"> </t>
    </r>
  </si>
  <si>
    <r>
      <t>四、汇率变动对现金及现金等价物的影响</t>
    </r>
    <r>
      <rPr>
        <sz val="10"/>
        <rFont val="Arial"/>
        <family val="2"/>
      </rPr>
      <t xml:space="preserve"> </t>
    </r>
  </si>
  <si>
    <r>
      <t>五、现金及现金等价物净增加额</t>
    </r>
    <r>
      <rPr>
        <sz val="10"/>
        <rFont val="Arial"/>
        <family val="2"/>
      </rPr>
      <t xml:space="preserve"> </t>
    </r>
  </si>
  <si>
    <r>
      <t>加：期初现金及现金等价物余额</t>
    </r>
    <r>
      <rPr>
        <sz val="10"/>
        <rFont val="Arial"/>
        <family val="2"/>
      </rPr>
      <t xml:space="preserve"> </t>
    </r>
  </si>
  <si>
    <r>
      <t>六、期末现金及现金等价物余额</t>
    </r>
    <r>
      <rPr>
        <sz val="10"/>
        <rFont val="Arial"/>
        <family val="2"/>
      </rPr>
      <t xml:space="preserve"> </t>
    </r>
  </si>
  <si>
    <r>
      <t>流动资产：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</si>
  <si>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货币资金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</si>
  <si>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结算备付金</t>
    </r>
    <r>
      <rPr>
        <sz val="9"/>
        <color rgb="FF000000"/>
        <rFont val="Dialog.plain"/>
      </rPr>
      <t xml:space="preserve">* </t>
    </r>
  </si>
  <si>
    <r>
      <t xml:space="preserve">  </t>
    </r>
    <r>
      <rPr>
        <sz val="9"/>
        <color rgb="FF000000"/>
        <rFont val="宋体"/>
        <family val="3"/>
        <charset val="134"/>
      </rPr>
      <t>拆出资金</t>
    </r>
    <r>
      <rPr>
        <sz val="9"/>
        <color rgb="FF000000"/>
        <rFont val="Dialog.plain"/>
      </rPr>
      <t xml:space="preserve">* </t>
    </r>
  </si>
  <si>
    <r>
      <t xml:space="preserve">  </t>
    </r>
    <r>
      <rPr>
        <sz val="9"/>
        <color rgb="FF000000"/>
        <rFont val="宋体"/>
        <family val="3"/>
        <charset val="134"/>
      </rPr>
      <t>交易性金融资产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</si>
  <si>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衍生金融资产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</si>
  <si>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应收票据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</si>
  <si>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应收账款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</si>
  <si>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应收款项融资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</si>
  <si>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预付款项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</si>
  <si>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应收保费</t>
    </r>
    <r>
      <rPr>
        <sz val="9"/>
        <color rgb="FF000000"/>
        <rFont val="Dialog.plain"/>
      </rPr>
      <t xml:space="preserve">* </t>
    </r>
  </si>
  <si>
    <r>
      <t xml:space="preserve">  </t>
    </r>
    <r>
      <rPr>
        <sz val="9"/>
        <color rgb="FF000000"/>
        <rFont val="宋体"/>
        <family val="3"/>
        <charset val="134"/>
      </rPr>
      <t>应收分保账款</t>
    </r>
    <r>
      <rPr>
        <sz val="9"/>
        <color rgb="FF000000"/>
        <rFont val="Dialog.plain"/>
      </rPr>
      <t xml:space="preserve">* </t>
    </r>
  </si>
  <si>
    <r>
      <t xml:space="preserve">  </t>
    </r>
    <r>
      <rPr>
        <sz val="9"/>
        <color rgb="FF000000"/>
        <rFont val="宋体"/>
        <family val="3"/>
        <charset val="134"/>
      </rPr>
      <t>应收分保合同准备金</t>
    </r>
    <r>
      <rPr>
        <sz val="9"/>
        <color rgb="FF000000"/>
        <rFont val="Dialog.plain"/>
      </rPr>
      <t xml:space="preserve">* </t>
    </r>
  </si>
  <si>
    <r>
      <t xml:space="preserve">  </t>
    </r>
    <r>
      <rPr>
        <sz val="9"/>
        <color rgb="FF000000"/>
        <rFont val="宋体"/>
        <family val="3"/>
        <charset val="134"/>
      </rPr>
      <t>其他应收款</t>
    </r>
    <r>
      <rPr>
        <sz val="9"/>
        <color rgb="FF000000"/>
        <rFont val="Dialog.plain"/>
      </rPr>
      <t xml:space="preserve"> </t>
    </r>
  </si>
  <si>
    <r>
      <t xml:space="preserve">    </t>
    </r>
    <r>
      <rPr>
        <sz val="9"/>
        <color rgb="FF000000"/>
        <rFont val="宋体"/>
        <family val="3"/>
        <charset val="134"/>
      </rPr>
      <t>其中：应收利息</t>
    </r>
  </si>
  <si>
    <r>
      <t xml:space="preserve">          </t>
    </r>
    <r>
      <rPr>
        <sz val="9"/>
        <color rgb="FF000000"/>
        <rFont val="宋体"/>
        <family val="3"/>
        <charset val="134"/>
      </rPr>
      <t>应收股利</t>
    </r>
  </si>
  <si>
    <r>
      <t xml:space="preserve">  </t>
    </r>
    <r>
      <rPr>
        <sz val="9"/>
        <color rgb="FF000000"/>
        <rFont val="宋体"/>
        <family val="3"/>
        <charset val="134"/>
      </rPr>
      <t>买入返售金融资产</t>
    </r>
    <r>
      <rPr>
        <sz val="9"/>
        <color rgb="FF000000"/>
        <rFont val="Dialog.plain"/>
      </rPr>
      <t xml:space="preserve">* </t>
    </r>
  </si>
  <si>
    <r>
      <t xml:space="preserve">  </t>
    </r>
    <r>
      <rPr>
        <sz val="9"/>
        <color rgb="FF000000"/>
        <rFont val="宋体"/>
        <family val="3"/>
        <charset val="134"/>
      </rPr>
      <t>存货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</si>
  <si>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合同资产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</si>
  <si>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持有待售资产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</si>
  <si>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一年内到期的非流动资产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</si>
  <si>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其他流动资产</t>
    </r>
    <r>
      <rPr>
        <sz val="9"/>
        <color rgb="FF000000"/>
        <rFont val="Dialog.plain"/>
      </rPr>
      <t xml:space="preserve"> </t>
    </r>
  </si>
  <si>
    <r>
      <t xml:space="preserve">    </t>
    </r>
    <r>
      <rPr>
        <b/>
        <sz val="9"/>
        <color indexed="8"/>
        <rFont val="宋体"/>
        <family val="3"/>
        <charset val="134"/>
      </rPr>
      <t>流动资产合计</t>
    </r>
    <r>
      <rPr>
        <b/>
        <sz val="9"/>
        <color indexed="8"/>
        <rFont val="Dialog.plain"/>
        <family val="1"/>
      </rPr>
      <t xml:space="preserve"> </t>
    </r>
  </si>
  <si>
    <r>
      <t>非流动资产：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</si>
  <si>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发放贷款和垫款</t>
    </r>
    <r>
      <rPr>
        <sz val="9"/>
        <color rgb="FF000000"/>
        <rFont val="Dialog.plain"/>
      </rPr>
      <t xml:space="preserve">* </t>
    </r>
  </si>
  <si>
    <r>
      <t xml:space="preserve">  </t>
    </r>
    <r>
      <rPr>
        <sz val="9"/>
        <color rgb="FF000000"/>
        <rFont val="宋体"/>
        <family val="3"/>
        <charset val="134"/>
      </rPr>
      <t>债权投资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</si>
  <si>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其他债权投资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</si>
  <si>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长期应收款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</si>
  <si>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长期股权投资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</si>
  <si>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可供出售金融资产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</si>
  <si>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持有至到期投资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</si>
  <si>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其他权益工具投资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</si>
  <si>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其他非流动金融资产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</si>
  <si>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投资性房地产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</si>
  <si>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固定资产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</si>
  <si>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累计折旧</t>
    </r>
  </si>
  <si>
    <r>
      <t xml:space="preserve">  </t>
    </r>
    <r>
      <rPr>
        <sz val="9"/>
        <color rgb="FF000000"/>
        <rFont val="宋体"/>
        <family val="3"/>
        <charset val="134"/>
      </rPr>
      <t>固定资产减值准备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</si>
  <si>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固定资产净额</t>
    </r>
  </si>
  <si>
    <r>
      <t xml:space="preserve">  </t>
    </r>
    <r>
      <rPr>
        <sz val="9"/>
        <color rgb="FF000000"/>
        <rFont val="宋体"/>
        <family val="3"/>
        <charset val="134"/>
      </rPr>
      <t>固定资产清理</t>
    </r>
  </si>
  <si>
    <r>
      <t xml:space="preserve">  </t>
    </r>
    <r>
      <rPr>
        <sz val="9"/>
        <color rgb="FF000000"/>
        <rFont val="宋体"/>
        <family val="3"/>
        <charset val="134"/>
      </rPr>
      <t>工程物资</t>
    </r>
  </si>
  <si>
    <r>
      <t xml:space="preserve">  </t>
    </r>
    <r>
      <rPr>
        <sz val="9"/>
        <color rgb="FF000000"/>
        <rFont val="宋体"/>
        <family val="3"/>
        <charset val="134"/>
      </rPr>
      <t>在建工程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</si>
  <si>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生产性生物资产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</si>
  <si>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油气资产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</si>
  <si>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使用权资产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</si>
  <si>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无形资产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</si>
  <si>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开发支出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</si>
  <si>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商誉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</si>
  <si>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长期待摊费用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</si>
  <si>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递延所得税资产</t>
    </r>
    <r>
      <rPr>
        <sz val="9"/>
        <color rgb="FF000000"/>
        <rFont val="Dialog.plain"/>
      </rPr>
      <t xml:space="preserve"> </t>
    </r>
  </si>
  <si>
    <r>
      <t xml:space="preserve">  </t>
    </r>
    <r>
      <rPr>
        <sz val="9"/>
        <color rgb="FF000000"/>
        <rFont val="宋体"/>
        <family val="3"/>
        <charset val="134"/>
      </rPr>
      <t>其他非流动资产</t>
    </r>
    <r>
      <rPr>
        <sz val="9"/>
        <color rgb="FF000000"/>
        <rFont val="Dialog.plain"/>
      </rPr>
      <t xml:space="preserve"> </t>
    </r>
  </si>
  <si>
    <r>
      <t>非流动资产合计</t>
    </r>
    <r>
      <rPr>
        <b/>
        <sz val="9"/>
        <color indexed="8"/>
        <rFont val="Dialog.plain"/>
        <family val="1"/>
      </rPr>
      <t xml:space="preserve"> </t>
    </r>
  </si>
  <si>
    <r>
      <t xml:space="preserve">      </t>
    </r>
    <r>
      <rPr>
        <b/>
        <sz val="9"/>
        <color indexed="8"/>
        <rFont val="宋体"/>
        <family val="3"/>
        <charset val="134"/>
      </rPr>
      <t>资产总计</t>
    </r>
    <r>
      <rPr>
        <b/>
        <sz val="9"/>
        <color indexed="8"/>
        <rFont val="Dialog.plain"/>
        <family val="1"/>
      </rPr>
      <t xml:space="preserve"> </t>
    </r>
  </si>
  <si>
    <r>
      <t xml:space="preserve">    </t>
    </r>
    <r>
      <rPr>
        <b/>
        <sz val="9"/>
        <color indexed="8"/>
        <rFont val="宋体"/>
        <family val="3"/>
        <charset val="134"/>
      </rPr>
      <t>非流动负债合计</t>
    </r>
    <r>
      <rPr>
        <b/>
        <sz val="9"/>
        <color indexed="8"/>
        <rFont val="Dialog.plain"/>
        <family val="1"/>
      </rPr>
      <t xml:space="preserve"> </t>
    </r>
  </si>
  <si>
    <r>
      <t xml:space="preserve">      </t>
    </r>
    <r>
      <rPr>
        <b/>
        <sz val="9"/>
        <color indexed="8"/>
        <rFont val="宋体"/>
        <family val="3"/>
        <charset val="134"/>
      </rPr>
      <t>负债合计</t>
    </r>
    <r>
      <rPr>
        <b/>
        <sz val="9"/>
        <color indexed="8"/>
        <rFont val="Dialog.plain"/>
        <family val="1"/>
      </rPr>
      <t xml:space="preserve"> </t>
    </r>
  </si>
  <si>
    <r>
      <t xml:space="preserve">  </t>
    </r>
    <r>
      <rPr>
        <b/>
        <sz val="9"/>
        <color indexed="8"/>
        <rFont val="宋体"/>
        <family val="3"/>
        <charset val="134"/>
      </rPr>
      <t>所有者权益（或股东权益）合计</t>
    </r>
    <r>
      <rPr>
        <b/>
        <sz val="9"/>
        <color indexed="8"/>
        <rFont val="Dialog.plain"/>
        <family val="1"/>
      </rPr>
      <t xml:space="preserve"> </t>
    </r>
  </si>
  <si>
    <r>
      <t xml:space="preserve"> </t>
    </r>
    <r>
      <rPr>
        <b/>
        <sz val="9"/>
        <color indexed="8"/>
        <rFont val="宋体"/>
        <family val="3"/>
        <charset val="134"/>
      </rPr>
      <t>负债和所有者权益（或股东权益）总计</t>
    </r>
    <r>
      <rPr>
        <b/>
        <sz val="9"/>
        <color indexed="8"/>
        <rFont val="Dialog.plain"/>
        <family val="1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</si>
</sst>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_);[Red]\(0\)"/>
    <numFmt numFmtId="177" formatCode="0.00_ "/>
    <numFmt numFmtId="178" formatCode="_(* #,##0.00_);_(* \(#,##0.00\);_(* &quot;-&quot;??_);_(@_)"/>
    <numFmt numFmtId="179" formatCode="#,##0.00_);[Red]\(#,##0.00\)"/>
    <numFmt numFmtId="180" formatCode="#,##0.00_ "/>
    <numFmt numFmtId="181" formatCode="yyyy&quot;年&quot;mm&quot;月&quot;;@"/>
    <numFmt numFmtId="182" formatCode="yyyy&quot;年&quot;;@"/>
    <numFmt numFmtId="183" formatCode="0&quot;.&quot;00,,&quot;亿&quot;"/>
    <numFmt numFmtId="184" formatCode="yyyy/m/d;@"/>
    <numFmt numFmtId="185" formatCode="yyyy&quot;年&quot;m&quot;月&quot;;@"/>
    <numFmt numFmtId="186" formatCode="#,##0_ "/>
  </numFmts>
  <fonts count="41">
    <font>
      <sz val="10"/>
      <name val="Arial"/>
      <charset val="134"/>
    </font>
    <font>
      <b/>
      <sz val="10.5"/>
      <color rgb="FFFFFFFF"/>
      <name val="微软雅黑"/>
      <family val="2"/>
      <charset val="134"/>
    </font>
    <font>
      <sz val="10.5"/>
      <name val="微软雅黑"/>
      <family val="2"/>
      <charset val="134"/>
    </font>
    <font>
      <sz val="10"/>
      <name val="宋体"/>
      <family val="3"/>
      <charset val="134"/>
    </font>
    <font>
      <sz val="10"/>
      <name val="微软雅黑"/>
      <family val="2"/>
      <charset val="134"/>
    </font>
    <font>
      <b/>
      <sz val="12"/>
      <name val="仿宋"/>
      <family val="3"/>
      <charset val="134"/>
    </font>
    <font>
      <sz val="12"/>
      <name val="仿宋"/>
      <family val="3"/>
      <charset val="134"/>
    </font>
    <font>
      <b/>
      <sz val="12"/>
      <name val="仿宋_GB2312"/>
      <family val="3"/>
      <charset val="134"/>
    </font>
    <font>
      <b/>
      <sz val="12"/>
      <name val="Times New Roman"/>
      <family val="1"/>
    </font>
    <font>
      <sz val="12"/>
      <name val="仿宋_GB2312"/>
      <family val="3"/>
      <charset val="134"/>
    </font>
    <font>
      <sz val="12"/>
      <color rgb="FF000000"/>
      <name val="Times New Roman"/>
      <family val="1"/>
    </font>
    <font>
      <sz val="12"/>
      <name val="Times New Roman"/>
      <family val="1"/>
    </font>
    <font>
      <b/>
      <sz val="11"/>
      <color theme="1"/>
      <name val="仿宋_GB2312"/>
      <family val="3"/>
      <charset val="134"/>
    </font>
    <font>
      <sz val="11"/>
      <color theme="1"/>
      <name val="仿宋_GB2312"/>
      <family val="3"/>
      <charset val="134"/>
    </font>
    <font>
      <sz val="11"/>
      <color theme="1"/>
      <name val="Times New Roman"/>
      <family val="1"/>
    </font>
    <font>
      <sz val="9"/>
      <color indexed="8"/>
      <name val="Dialog.plain"/>
      <family val="1"/>
    </font>
    <font>
      <b/>
      <sz val="11"/>
      <color theme="1"/>
      <name val="宋体"/>
      <family val="3"/>
      <charset val="134"/>
      <scheme val="minor"/>
    </font>
    <font>
      <b/>
      <sz val="12"/>
      <color theme="1"/>
      <name val="仿宋_GB2312"/>
      <family val="3"/>
      <charset val="134"/>
    </font>
    <font>
      <sz val="10"/>
      <name val="仿宋_GB2312"/>
      <family val="3"/>
      <charset val="134"/>
    </font>
    <font>
      <sz val="10"/>
      <color rgb="FFFF0000"/>
      <name val="宋体"/>
      <family val="3"/>
      <charset val="134"/>
    </font>
    <font>
      <b/>
      <sz val="9"/>
      <name val="仿宋"/>
      <family val="3"/>
      <charset val="134"/>
    </font>
    <font>
      <sz val="9"/>
      <name val="仿宋"/>
      <family val="3"/>
      <charset val="134"/>
    </font>
    <font>
      <sz val="9"/>
      <color indexed="8"/>
      <name val="仿宋"/>
      <family val="3"/>
      <charset val="134"/>
    </font>
    <font>
      <b/>
      <sz val="9"/>
      <color indexed="8"/>
      <name val="仿宋"/>
      <family val="3"/>
      <charset val="134"/>
    </font>
    <font>
      <sz val="12"/>
      <name val="宋体"/>
      <family val="3"/>
      <charset val="134"/>
    </font>
    <font>
      <b/>
      <sz val="10.5"/>
      <name val="仿宋_GB2312"/>
      <family val="3"/>
      <charset val="134"/>
    </font>
    <font>
      <b/>
      <sz val="10"/>
      <name val="仿宋"/>
      <family val="3"/>
      <charset val="134"/>
    </font>
    <font>
      <sz val="10"/>
      <color indexed="8"/>
      <name val="仿宋"/>
      <family val="3"/>
      <charset val="134"/>
    </font>
    <font>
      <sz val="12"/>
      <color rgb="FFFF0000"/>
      <name val="宋体"/>
      <family val="3"/>
      <charset val="134"/>
    </font>
    <font>
      <sz val="10.5"/>
      <color indexed="8"/>
      <name val="仿宋_GB2312"/>
      <family val="3"/>
      <charset val="134"/>
    </font>
    <font>
      <sz val="10.5"/>
      <name val="仿宋_GB2312"/>
      <family val="3"/>
      <charset val="134"/>
    </font>
    <font>
      <b/>
      <sz val="12"/>
      <color rgb="FF000000"/>
      <name val="仿宋"/>
      <family val="3"/>
      <charset val="134"/>
    </font>
    <font>
      <b/>
      <sz val="10"/>
      <name val="Arial"/>
      <family val="2"/>
    </font>
    <font>
      <b/>
      <sz val="9"/>
      <color indexed="8"/>
      <name val="Dialog.plain"/>
      <family val="1"/>
    </font>
    <font>
      <sz val="9"/>
      <color rgb="FF000000"/>
      <name val="宋体"/>
      <family val="3"/>
      <charset val="134"/>
    </font>
    <font>
      <sz val="9"/>
      <color indexed="8"/>
      <name val="宋体"/>
      <family val="3"/>
      <charset val="134"/>
    </font>
    <font>
      <sz val="10"/>
      <name val="Arial"/>
      <family val="2"/>
    </font>
    <font>
      <sz val="9"/>
      <name val="Arial"/>
      <family val="2"/>
    </font>
    <font>
      <sz val="10"/>
      <name val="微软雅黑"/>
      <family val="2"/>
      <charset val="134"/>
    </font>
    <font>
      <sz val="9"/>
      <color rgb="FF000000"/>
      <name val="Dialog.plain"/>
    </font>
    <font>
      <b/>
      <sz val="9"/>
      <color indexed="8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indexed="31"/>
        <bgColor indexed="8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89013336588644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indexed="26"/>
        <bgColor indexed="8"/>
      </patternFill>
    </fill>
    <fill>
      <patternFill patternType="solid">
        <fgColor rgb="FFFFFF00"/>
        <bgColor indexed="8"/>
      </patternFill>
    </fill>
    <fill>
      <patternFill patternType="solid">
        <fgColor rgb="FFFCFBDF"/>
        <bgColor rgb="FFFCFBDF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auto="1"/>
      </bottom>
      <diagonal/>
    </border>
    <border>
      <left/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000000"/>
      </left>
      <right/>
      <top style="medium">
        <color auto="1"/>
      </top>
      <bottom style="medium">
        <color rgb="FF00000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rgb="FF000000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medium">
        <color auto="1"/>
      </right>
      <top/>
      <bottom/>
      <diagonal/>
    </border>
  </borders>
  <cellStyleXfs count="4">
    <xf numFmtId="0" fontId="0" fillId="0" borderId="0"/>
    <xf numFmtId="178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0" fontId="24" fillId="0" borderId="0">
      <alignment vertical="center"/>
    </xf>
  </cellStyleXfs>
  <cellXfs count="161">
    <xf numFmtId="0" fontId="0" fillId="0" borderId="0" xfId="0"/>
    <xf numFmtId="0" fontId="1" fillId="2" borderId="1" xfId="0" applyFont="1" applyFill="1" applyBorder="1" applyAlignment="1">
      <alignment horizontal="justify" wrapText="1"/>
    </xf>
    <xf numFmtId="0" fontId="1" fillId="2" borderId="1" xfId="0" applyFont="1" applyFill="1" applyBorder="1" applyAlignment="1">
      <alignment horizontal="right" wrapText="1"/>
    </xf>
    <xf numFmtId="0" fontId="2" fillId="0" borderId="1" xfId="0" applyFont="1" applyBorder="1" applyAlignment="1">
      <alignment horizontal="justify" wrapText="1"/>
    </xf>
    <xf numFmtId="14" fontId="2" fillId="0" borderId="1" xfId="0" applyNumberFormat="1" applyFont="1" applyBorder="1" applyAlignment="1">
      <alignment horizontal="justify" wrapText="1"/>
    </xf>
    <xf numFmtId="176" fontId="2" fillId="0" borderId="1" xfId="0" applyNumberFormat="1" applyFont="1" applyBorder="1" applyAlignment="1">
      <alignment horizontal="center" vertical="center"/>
    </xf>
    <xf numFmtId="180" fontId="2" fillId="0" borderId="1" xfId="0" applyNumberFormat="1" applyFont="1" applyBorder="1" applyAlignment="1">
      <alignment horizontal="right" wrapText="1"/>
    </xf>
    <xf numFmtId="176" fontId="2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/>
    <xf numFmtId="0" fontId="0" fillId="0" borderId="1" xfId="0" applyBorder="1"/>
    <xf numFmtId="180" fontId="0" fillId="0" borderId="1" xfId="0" applyNumberFormat="1" applyBorder="1"/>
    <xf numFmtId="0" fontId="4" fillId="3" borderId="0" xfId="0" applyFont="1" applyFill="1"/>
    <xf numFmtId="0" fontId="0" fillId="3" borderId="0" xfId="0" applyFill="1"/>
    <xf numFmtId="14" fontId="0" fillId="3" borderId="0" xfId="0" applyNumberFormat="1" applyFill="1"/>
    <xf numFmtId="14" fontId="0" fillId="0" borderId="0" xfId="0" applyNumberFormat="1"/>
    <xf numFmtId="0" fontId="3" fillId="0" borderId="0" xfId="0" applyFont="1"/>
    <xf numFmtId="0" fontId="0" fillId="0" borderId="2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181" fontId="5" fillId="0" borderId="4" xfId="0" applyNumberFormat="1" applyFont="1" applyBorder="1" applyAlignment="1">
      <alignment horizontal="center" vertical="center" wrapText="1"/>
    </xf>
    <xf numFmtId="182" fontId="5" fillId="0" borderId="4" xfId="0" applyNumberFormat="1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183" fontId="6" fillId="0" borderId="7" xfId="0" applyNumberFormat="1" applyFont="1" applyBorder="1" applyAlignment="1">
      <alignment horizontal="center" vertical="center" wrapText="1"/>
    </xf>
    <xf numFmtId="183" fontId="6" fillId="0" borderId="8" xfId="0" applyNumberFormat="1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183" fontId="6" fillId="0" borderId="10" xfId="0" applyNumberFormat="1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14" fontId="8" fillId="0" borderId="6" xfId="0" applyNumberFormat="1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3" fontId="10" fillId="0" borderId="13" xfId="0" applyNumberFormat="1" applyFont="1" applyBorder="1" applyAlignment="1">
      <alignment horizontal="center" vertical="center" wrapText="1"/>
    </xf>
    <xf numFmtId="10" fontId="11" fillId="0" borderId="13" xfId="0" applyNumberFormat="1" applyFont="1" applyBorder="1" applyAlignment="1">
      <alignment horizontal="center" vertical="center" wrapText="1"/>
    </xf>
    <xf numFmtId="57" fontId="0" fillId="0" borderId="0" xfId="0" applyNumberFormat="1" applyAlignment="1">
      <alignment horizontal="center"/>
    </xf>
    <xf numFmtId="57" fontId="0" fillId="4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57" fontId="12" fillId="5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12" fillId="5" borderId="1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178" fontId="0" fillId="0" borderId="0" xfId="1" applyFont="1" applyAlignment="1">
      <alignment horizontal="center"/>
    </xf>
    <xf numFmtId="0" fontId="13" fillId="0" borderId="1" xfId="0" applyFont="1" applyBorder="1" applyAlignment="1">
      <alignment horizontal="center" wrapText="1"/>
    </xf>
    <xf numFmtId="180" fontId="14" fillId="0" borderId="1" xfId="1" applyNumberFormat="1" applyFont="1" applyBorder="1" applyAlignment="1">
      <alignment horizontal="right"/>
    </xf>
    <xf numFmtId="178" fontId="0" fillId="0" borderId="0" xfId="1" applyFont="1" applyAlignment="1">
      <alignment horizontal="center" vertical="center"/>
    </xf>
    <xf numFmtId="14" fontId="15" fillId="6" borderId="1" xfId="0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4" fontId="15" fillId="0" borderId="1" xfId="0" applyNumberFormat="1" applyFont="1" applyBorder="1" applyAlignment="1" applyProtection="1">
      <alignment horizontal="center" vertical="center"/>
      <protection locked="0"/>
    </xf>
    <xf numFmtId="18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80" fontId="15" fillId="0" borderId="1" xfId="0" applyNumberFormat="1" applyFont="1" applyBorder="1" applyAlignment="1">
      <alignment horizontal="left" vertical="center"/>
    </xf>
    <xf numFmtId="180" fontId="15" fillId="0" borderId="1" xfId="0" applyNumberFormat="1" applyFont="1" applyBorder="1" applyAlignment="1" applyProtection="1">
      <alignment horizontal="center" vertical="center"/>
      <protection locked="0"/>
    </xf>
    <xf numFmtId="180" fontId="15" fillId="0" borderId="1" xfId="0" applyNumberFormat="1" applyFont="1" applyBorder="1" applyAlignment="1" applyProtection="1">
      <alignment horizontal="right" vertical="center"/>
      <protection locked="0"/>
    </xf>
    <xf numFmtId="184" fontId="15" fillId="6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/>
    </xf>
    <xf numFmtId="57" fontId="0" fillId="0" borderId="1" xfId="0" applyNumberFormat="1" applyBorder="1"/>
    <xf numFmtId="185" fontId="0" fillId="0" borderId="1" xfId="0" applyNumberFormat="1" applyBorder="1"/>
    <xf numFmtId="0" fontId="17" fillId="7" borderId="1" xfId="0" applyFont="1" applyFill="1" applyBorder="1" applyAlignment="1">
      <alignment horizontal="center" vertical="center"/>
    </xf>
    <xf numFmtId="57" fontId="9" fillId="7" borderId="1" xfId="0" applyNumberFormat="1" applyFont="1" applyFill="1" applyBorder="1" applyAlignment="1">
      <alignment horizontal="center" vertical="center"/>
    </xf>
    <xf numFmtId="178" fontId="0" fillId="8" borderId="1" xfId="1" applyFont="1" applyFill="1" applyBorder="1" applyAlignment="1"/>
    <xf numFmtId="0" fontId="17" fillId="0" borderId="1" xfId="0" applyFont="1" applyBorder="1" applyAlignment="1">
      <alignment horizontal="center" vertical="center"/>
    </xf>
    <xf numFmtId="186" fontId="8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78" fontId="0" fillId="0" borderId="1" xfId="1" applyFont="1" applyBorder="1" applyAlignment="1"/>
    <xf numFmtId="0" fontId="9" fillId="0" borderId="1" xfId="0" applyFont="1" applyBorder="1" applyAlignment="1">
      <alignment horizontal="center" vertical="center"/>
    </xf>
    <xf numFmtId="186" fontId="11" fillId="0" borderId="1" xfId="1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185" fontId="9" fillId="7" borderId="1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3" fontId="21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186" fontId="21" fillId="0" borderId="1" xfId="0" applyNumberFormat="1" applyFont="1" applyBorder="1" applyAlignment="1">
      <alignment horizontal="center" vertical="center"/>
    </xf>
    <xf numFmtId="10" fontId="21" fillId="0" borderId="1" xfId="2" applyNumberFormat="1" applyFont="1" applyBorder="1" applyAlignment="1">
      <alignment horizontal="center" vertical="center"/>
    </xf>
    <xf numFmtId="186" fontId="21" fillId="0" borderId="1" xfId="1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186" fontId="20" fillId="0" borderId="1" xfId="0" applyNumberFormat="1" applyFont="1" applyBorder="1" applyAlignment="1">
      <alignment horizontal="center" vertical="center"/>
    </xf>
    <xf numFmtId="10" fontId="20" fillId="0" borderId="1" xfId="2" applyNumberFormat="1" applyFont="1" applyBorder="1" applyAlignment="1">
      <alignment horizontal="center" vertical="center"/>
    </xf>
    <xf numFmtId="186" fontId="20" fillId="0" borderId="1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3" fontId="21" fillId="0" borderId="0" xfId="0" applyNumberFormat="1" applyFont="1" applyAlignment="1">
      <alignment horizontal="center" vertical="center"/>
    </xf>
    <xf numFmtId="10" fontId="21" fillId="0" borderId="0" xfId="2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80" fontId="21" fillId="0" borderId="1" xfId="1" applyNumberFormat="1" applyFont="1" applyBorder="1" applyAlignment="1">
      <alignment horizontal="center" vertical="center"/>
    </xf>
    <xf numFmtId="0" fontId="24" fillId="0" borderId="0" xfId="3">
      <alignment vertical="center"/>
    </xf>
    <xf numFmtId="0" fontId="24" fillId="0" borderId="0" xfId="3" applyAlignment="1">
      <alignment horizontal="center" vertical="center"/>
    </xf>
    <xf numFmtId="0" fontId="25" fillId="7" borderId="1" xfId="3" applyFont="1" applyFill="1" applyBorder="1" applyAlignment="1">
      <alignment horizontal="center" wrapText="1"/>
    </xf>
    <xf numFmtId="14" fontId="26" fillId="9" borderId="1" xfId="3" applyNumberFormat="1" applyFont="1" applyFill="1" applyBorder="1" applyAlignment="1">
      <alignment horizontal="center" wrapText="1"/>
    </xf>
    <xf numFmtId="14" fontId="26" fillId="9" borderId="1" xfId="3" applyNumberFormat="1" applyFont="1" applyFill="1" applyBorder="1" applyAlignment="1">
      <alignment horizontal="center"/>
    </xf>
    <xf numFmtId="0" fontId="25" fillId="0" borderId="1" xfId="3" applyFont="1" applyBorder="1" applyAlignment="1">
      <alignment horizontal="center" wrapText="1"/>
    </xf>
    <xf numFmtId="3" fontId="27" fillId="0" borderId="1" xfId="3" applyNumberFormat="1" applyFont="1" applyBorder="1" applyAlignment="1">
      <alignment horizontal="center" wrapText="1"/>
    </xf>
    <xf numFmtId="0" fontId="28" fillId="10" borderId="0" xfId="3" applyFont="1" applyFill="1">
      <alignment vertical="center"/>
    </xf>
    <xf numFmtId="0" fontId="29" fillId="0" borderId="0" xfId="3" applyFont="1" applyAlignment="1">
      <alignment horizontal="center" wrapText="1"/>
    </xf>
    <xf numFmtId="177" fontId="30" fillId="0" borderId="1" xfId="3" applyNumberFormat="1" applyFont="1" applyBorder="1" applyAlignment="1">
      <alignment horizontal="center" wrapText="1"/>
    </xf>
    <xf numFmtId="10" fontId="30" fillId="0" borderId="1" xfId="2" applyNumberFormat="1" applyFont="1" applyBorder="1" applyAlignment="1">
      <alignment horizontal="center" wrapText="1"/>
    </xf>
    <xf numFmtId="10" fontId="30" fillId="0" borderId="1" xfId="2" applyNumberFormat="1" applyFont="1" applyFill="1" applyBorder="1" applyAlignment="1">
      <alignment horizontal="center" wrapText="1"/>
    </xf>
    <xf numFmtId="10" fontId="30" fillId="0" borderId="1" xfId="3" applyNumberFormat="1" applyFont="1" applyBorder="1" applyAlignment="1">
      <alignment horizontal="center" wrapText="1"/>
    </xf>
    <xf numFmtId="0" fontId="25" fillId="7" borderId="19" xfId="3" applyFont="1" applyFill="1" applyBorder="1" applyAlignment="1">
      <alignment horizontal="center" wrapText="1"/>
    </xf>
    <xf numFmtId="14" fontId="26" fillId="9" borderId="19" xfId="3" applyNumberFormat="1" applyFont="1" applyFill="1" applyBorder="1" applyAlignment="1">
      <alignment horizontal="center" wrapText="1"/>
    </xf>
    <xf numFmtId="184" fontId="31" fillId="0" borderId="22" xfId="0" applyNumberFormat="1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6" fillId="0" borderId="12" xfId="0" applyFont="1" applyBorder="1" applyAlignment="1">
      <alignment horizontal="left" vertical="center" wrapText="1"/>
    </xf>
    <xf numFmtId="180" fontId="6" fillId="0" borderId="13" xfId="0" applyNumberFormat="1" applyFont="1" applyBorder="1" applyAlignment="1">
      <alignment horizontal="right" vertical="center"/>
    </xf>
    <xf numFmtId="0" fontId="5" fillId="0" borderId="12" xfId="0" applyFont="1" applyBorder="1" applyAlignment="1">
      <alignment horizontal="left" vertical="center" wrapText="1"/>
    </xf>
    <xf numFmtId="0" fontId="31" fillId="0" borderId="12" xfId="0" applyFont="1" applyBorder="1" applyAlignment="1">
      <alignment horizontal="left" vertical="center"/>
    </xf>
    <xf numFmtId="180" fontId="6" fillId="0" borderId="13" xfId="2" applyNumberFormat="1" applyFont="1" applyBorder="1" applyAlignment="1">
      <alignment horizontal="right" vertical="center"/>
    </xf>
    <xf numFmtId="10" fontId="6" fillId="0" borderId="13" xfId="2" applyNumberFormat="1" applyFont="1" applyBorder="1" applyAlignment="1">
      <alignment horizontal="right" vertical="center"/>
    </xf>
    <xf numFmtId="0" fontId="6" fillId="0" borderId="13" xfId="0" applyFont="1" applyBorder="1" applyAlignment="1">
      <alignment horizontal="right" vertical="center"/>
    </xf>
    <xf numFmtId="180" fontId="6" fillId="0" borderId="6" xfId="0" applyNumberFormat="1" applyFont="1" applyBorder="1" applyAlignment="1">
      <alignment horizontal="right" vertical="center"/>
    </xf>
    <xf numFmtId="0" fontId="31" fillId="0" borderId="12" xfId="0" applyFont="1" applyBorder="1" applyAlignment="1">
      <alignment horizontal="left" vertical="center" wrapText="1"/>
    </xf>
    <xf numFmtId="0" fontId="15" fillId="6" borderId="0" xfId="0" applyFont="1" applyFill="1" applyAlignment="1">
      <alignment horizontal="center" vertical="center"/>
    </xf>
    <xf numFmtId="14" fontId="15" fillId="6" borderId="0" xfId="0" applyNumberFormat="1" applyFont="1" applyFill="1" applyAlignment="1">
      <alignment horizontal="center" vertical="center"/>
    </xf>
    <xf numFmtId="184" fontId="15" fillId="6" borderId="0" xfId="0" applyNumberFormat="1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  <xf numFmtId="4" fontId="15" fillId="0" borderId="0" xfId="0" applyNumberFormat="1" applyFont="1" applyAlignment="1">
      <alignment horizontal="right" vertical="center"/>
    </xf>
    <xf numFmtId="0" fontId="15" fillId="0" borderId="0" xfId="0" applyFont="1" applyAlignment="1">
      <alignment horizontal="right" vertical="center"/>
    </xf>
    <xf numFmtId="4" fontId="15" fillId="0" borderId="0" xfId="0" applyNumberFormat="1" applyFont="1" applyAlignment="1" applyProtection="1">
      <alignment horizontal="right" vertical="center"/>
      <protection locked="0"/>
    </xf>
    <xf numFmtId="4" fontId="15" fillId="8" borderId="0" xfId="0" applyNumberFormat="1" applyFont="1" applyFill="1" applyAlignment="1" applyProtection="1">
      <alignment horizontal="right" vertical="center"/>
      <protection locked="0"/>
    </xf>
    <xf numFmtId="179" fontId="0" fillId="0" borderId="0" xfId="0" applyNumberFormat="1"/>
    <xf numFmtId="179" fontId="15" fillId="8" borderId="0" xfId="0" applyNumberFormat="1" applyFont="1" applyFill="1" applyAlignment="1" applyProtection="1">
      <alignment horizontal="right" vertical="center"/>
      <protection locked="0"/>
    </xf>
    <xf numFmtId="179" fontId="15" fillId="0" borderId="0" xfId="0" applyNumberFormat="1" applyFont="1" applyAlignment="1" applyProtection="1">
      <alignment horizontal="right" vertical="center"/>
      <protection locked="0"/>
    </xf>
    <xf numFmtId="0" fontId="32" fillId="0" borderId="0" xfId="0" applyFont="1"/>
    <xf numFmtId="4" fontId="15" fillId="12" borderId="0" xfId="0" applyNumberFormat="1" applyFont="1" applyFill="1" applyAlignment="1" applyProtection="1">
      <alignment horizontal="right" vertical="center"/>
      <protection locked="0"/>
    </xf>
    <xf numFmtId="0" fontId="33" fillId="0" borderId="0" xfId="0" applyFont="1" applyAlignment="1">
      <alignment horizontal="left" vertical="center"/>
    </xf>
    <xf numFmtId="4" fontId="33" fillId="13" borderId="0" xfId="0" applyNumberFormat="1" applyFont="1" applyFill="1" applyAlignment="1" applyProtection="1">
      <alignment horizontal="right" vertical="center"/>
      <protection locked="0"/>
    </xf>
    <xf numFmtId="0" fontId="34" fillId="0" borderId="0" xfId="0" applyFont="1" applyAlignment="1">
      <alignment horizontal="left" vertical="center"/>
    </xf>
    <xf numFmtId="0" fontId="15" fillId="12" borderId="0" xfId="0" applyFont="1" applyFill="1" applyAlignment="1" applyProtection="1">
      <alignment horizontal="right" vertical="center"/>
      <protection locked="0"/>
    </xf>
    <xf numFmtId="0" fontId="35" fillId="0" borderId="0" xfId="0" applyFont="1" applyAlignment="1">
      <alignment horizontal="left" vertical="center"/>
    </xf>
    <xf numFmtId="180" fontId="0" fillId="0" borderId="0" xfId="0" applyNumberFormat="1"/>
    <xf numFmtId="49" fontId="38" fillId="0" borderId="0" xfId="0" applyNumberFormat="1" applyFont="1"/>
    <xf numFmtId="0" fontId="39" fillId="0" borderId="0" xfId="0" applyFont="1" applyAlignment="1">
      <alignment horizontal="left" vertical="center"/>
    </xf>
    <xf numFmtId="4" fontId="39" fillId="14" borderId="0" xfId="0" applyNumberFormat="1" applyFont="1" applyFill="1" applyAlignment="1" applyProtection="1">
      <alignment horizontal="right" vertical="center"/>
      <protection locked="0"/>
    </xf>
    <xf numFmtId="0" fontId="0" fillId="0" borderId="0" xfId="0" applyAlignment="1">
      <alignment vertical="center"/>
    </xf>
    <xf numFmtId="0" fontId="40" fillId="0" borderId="0" xfId="0" applyFont="1" applyAlignment="1">
      <alignment horizontal="left" vertical="center"/>
    </xf>
    <xf numFmtId="0" fontId="15" fillId="6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31" fillId="11" borderId="12" xfId="0" applyFont="1" applyFill="1" applyBorder="1" applyAlignment="1">
      <alignment horizontal="center" vertical="center"/>
    </xf>
    <xf numFmtId="0" fontId="31" fillId="0" borderId="21" xfId="0" applyFont="1" applyBorder="1" applyAlignment="1">
      <alignment horizontal="center" vertical="center"/>
    </xf>
    <xf numFmtId="0" fontId="31" fillId="11" borderId="20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left" vertical="center"/>
    </xf>
    <xf numFmtId="0" fontId="31" fillId="11" borderId="8" xfId="0" applyFont="1" applyFill="1" applyBorder="1" applyAlignment="1">
      <alignment horizontal="center" vertical="center"/>
    </xf>
    <xf numFmtId="0" fontId="31" fillId="0" borderId="20" xfId="0" applyFont="1" applyBorder="1" applyAlignment="1">
      <alignment horizontal="right" vertical="center"/>
    </xf>
    <xf numFmtId="0" fontId="6" fillId="0" borderId="13" xfId="0" applyFont="1" applyBorder="1" applyAlignment="1">
      <alignment horizontal="justify" vertical="center"/>
    </xf>
    <xf numFmtId="0" fontId="25" fillId="0" borderId="14" xfId="3" applyFont="1" applyBorder="1" applyAlignment="1">
      <alignment horizontal="center" wrapText="1"/>
    </xf>
    <xf numFmtId="0" fontId="25" fillId="0" borderId="18" xfId="3" applyFont="1" applyBorder="1" applyAlignment="1">
      <alignment horizontal="center" wrapText="1"/>
    </xf>
    <xf numFmtId="0" fontId="25" fillId="0" borderId="17" xfId="3" applyFont="1" applyBorder="1" applyAlignment="1">
      <alignment horizontal="center" wrapText="1"/>
    </xf>
    <xf numFmtId="0" fontId="25" fillId="0" borderId="16" xfId="3" applyFont="1" applyBorder="1" applyAlignment="1">
      <alignment horizontal="center"/>
    </xf>
    <xf numFmtId="0" fontId="25" fillId="0" borderId="17" xfId="3" applyFont="1" applyBorder="1" applyAlignment="1">
      <alignment horizontal="center"/>
    </xf>
    <xf numFmtId="0" fontId="23" fillId="0" borderId="1" xfId="0" applyFont="1" applyBorder="1" applyAlignment="1">
      <alignment horizontal="center" vertical="center" wrapText="1"/>
    </xf>
    <xf numFmtId="14" fontId="21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19" fillId="0" borderId="0" xfId="0" applyFont="1" applyAlignment="1">
      <alignment horizontal="right" vertical="center"/>
    </xf>
    <xf numFmtId="14" fontId="21" fillId="0" borderId="14" xfId="0" applyNumberFormat="1" applyFont="1" applyBorder="1" applyAlignment="1">
      <alignment horizontal="center" vertical="center"/>
    </xf>
    <xf numFmtId="14" fontId="21" fillId="0" borderId="15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2" fillId="5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  <xf numFmtId="0" fontId="0" fillId="15" borderId="0" xfId="0" applyFill="1"/>
    <xf numFmtId="179" fontId="0" fillId="15" borderId="0" xfId="0" applyNumberFormat="1" applyFill="1"/>
  </cellXfs>
  <cellStyles count="4">
    <cellStyle name="百分比" xfId="2" builtinId="5"/>
    <cellStyle name="常规" xfId="0" builtinId="0"/>
    <cellStyle name="常规_可行报告财务计算表-yingkougang" xfId="3" xr:uid="{00000000-0005-0000-0000-000031000000}"/>
    <cellStyle name="千位分隔" xfId="1" builtinId="3"/>
  </cellStyles>
  <dxfs count="0"/>
  <tableStyles count="0" defaultTableStyle="TableStyleMedium9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13"/>
  </sheetPr>
  <dimension ref="A1:M111"/>
  <sheetViews>
    <sheetView tabSelected="1" zoomScale="115" zoomScaleNormal="115" workbookViewId="0">
      <pane ySplit="1" topLeftCell="A45" activePane="bottomLeft" state="frozen"/>
      <selection pane="bottomLeft" activeCell="B36" sqref="B36"/>
    </sheetView>
  </sheetViews>
  <sheetFormatPr defaultColWidth="9" defaultRowHeight="12.75"/>
  <cols>
    <col min="1" max="1" width="8.5703125" style="135" customWidth="1"/>
    <col min="2" max="2" width="42.42578125" bestFit="1" customWidth="1"/>
    <col min="3" max="3" width="11.42578125" bestFit="1" customWidth="1"/>
    <col min="4" max="5" width="15.140625" bestFit="1" customWidth="1"/>
    <col min="6" max="6" width="20.28515625" customWidth="1"/>
    <col min="7" max="8" width="15.140625" bestFit="1" customWidth="1"/>
    <col min="9" max="10" width="19.28515625" customWidth="1"/>
    <col min="11" max="11" width="64" customWidth="1"/>
    <col min="12" max="12" width="15.42578125"/>
  </cols>
  <sheetData>
    <row r="1" spans="1:13" ht="22.15" customHeight="1">
      <c r="A1" s="134" t="s">
        <v>0</v>
      </c>
      <c r="B1" s="110" t="s">
        <v>1</v>
      </c>
      <c r="C1" s="110" t="s">
        <v>2</v>
      </c>
      <c r="D1" s="111">
        <v>43100</v>
      </c>
      <c r="E1" s="111">
        <v>43465</v>
      </c>
      <c r="F1" s="111">
        <v>44196</v>
      </c>
      <c r="G1" s="111">
        <v>44561</v>
      </c>
      <c r="H1" s="112">
        <v>44530</v>
      </c>
      <c r="I1" s="112">
        <v>44926</v>
      </c>
      <c r="J1" s="111">
        <v>44957</v>
      </c>
    </row>
    <row r="2" spans="1:13" ht="14.1" customHeight="1">
      <c r="A2" s="130">
        <v>1000</v>
      </c>
      <c r="B2" s="125" t="s">
        <v>392</v>
      </c>
      <c r="C2" s="122"/>
      <c r="D2" s="122"/>
      <c r="E2" s="122"/>
      <c r="F2" s="122"/>
      <c r="G2" s="122"/>
      <c r="H2" s="122"/>
      <c r="I2" s="122"/>
      <c r="J2" s="122"/>
      <c r="L2" t="str">
        <f>B2</f>
        <v xml:space="preserve">流动资产： </v>
      </c>
      <c r="M2" s="113" t="str">
        <f>CONCATENATE("近三年及一期，拟承租人",B2,"分别为",ROUND(F2/100000000,2),"亿元、",ROUND(G2/100000000,2),"亿元、",ROUND(I2/100000000,2),"亿元及",ROUND(J2/100000000,2),"亿元。")</f>
        <v>近三年及一期，拟承租人流动资产： 分别为0亿元、0亿元、0亿元及0亿元。</v>
      </c>
    </row>
    <row r="3" spans="1:13" ht="14.1" customHeight="1">
      <c r="A3" s="130">
        <v>1001</v>
      </c>
      <c r="B3" s="130" t="s">
        <v>393</v>
      </c>
      <c r="C3" s="122"/>
      <c r="D3" s="122"/>
      <c r="E3" s="122"/>
      <c r="F3" s="122"/>
      <c r="G3" s="122"/>
      <c r="H3" s="122"/>
      <c r="I3" s="122"/>
      <c r="J3" s="122"/>
      <c r="L3" t="str">
        <f t="shared" ref="L3:L24" si="0">B3</f>
        <v xml:space="preserve">  货币资金 </v>
      </c>
      <c r="M3" s="113" t="str">
        <f t="shared" ref="M3:M24" si="1">CONCATENATE("近三年及一期，拟承租人",B3,"分别为",ROUND(F3/100000000,2),"亿元、",ROUND(G3/100000000,2),"亿元、",ROUND(I3/100000000,2),"亿元及",ROUND(J3/100000000,2),"亿元。")</f>
        <v>近三年及一期，拟承租人  货币资金 分别为0亿元、0亿元、0亿元及0亿元。</v>
      </c>
    </row>
    <row r="4" spans="1:13" ht="14.1" customHeight="1">
      <c r="A4" s="130">
        <v>1002</v>
      </c>
      <c r="B4" s="130" t="s">
        <v>394</v>
      </c>
      <c r="C4" s="122"/>
      <c r="D4" s="122"/>
      <c r="E4" s="122"/>
      <c r="F4" s="122"/>
      <c r="G4" s="122"/>
      <c r="H4" s="122"/>
      <c r="I4" s="122"/>
      <c r="J4" s="122"/>
      <c r="K4" s="128"/>
      <c r="L4" t="str">
        <f t="shared" si="0"/>
        <v xml:space="preserve">  结算备付金* </v>
      </c>
      <c r="M4" s="113" t="str">
        <f t="shared" si="1"/>
        <v>近三年及一期，拟承租人  结算备付金* 分别为0亿元、0亿元、0亿元及0亿元。</v>
      </c>
    </row>
    <row r="5" spans="1:13" ht="14.1" customHeight="1">
      <c r="A5" s="130">
        <v>1003</v>
      </c>
      <c r="B5" s="130" t="s">
        <v>395</v>
      </c>
      <c r="C5" s="122"/>
      <c r="D5" s="122"/>
      <c r="E5" s="122"/>
      <c r="F5" s="122"/>
      <c r="G5" s="122"/>
      <c r="H5" s="122"/>
      <c r="I5" s="122"/>
      <c r="J5" s="122"/>
      <c r="L5" t="str">
        <f t="shared" si="0"/>
        <v xml:space="preserve">  拆出资金* </v>
      </c>
      <c r="M5" s="113" t="str">
        <f t="shared" si="1"/>
        <v>近三年及一期，拟承租人  拆出资金* 分别为0亿元、0亿元、0亿元及0亿元。</v>
      </c>
    </row>
    <row r="6" spans="1:13" ht="14.1" customHeight="1">
      <c r="A6" s="130">
        <v>1004</v>
      </c>
      <c r="B6" s="130" t="s">
        <v>396</v>
      </c>
      <c r="C6" s="122"/>
      <c r="D6" s="122"/>
      <c r="E6" s="122"/>
      <c r="F6" s="122"/>
      <c r="G6" s="122"/>
      <c r="H6" s="122"/>
      <c r="I6" s="122"/>
      <c r="J6" s="122"/>
      <c r="L6" t="str">
        <f t="shared" si="0"/>
        <v xml:space="preserve">  交易性金融资产 </v>
      </c>
      <c r="M6" s="113" t="str">
        <f t="shared" si="1"/>
        <v>近三年及一期，拟承租人  交易性金融资产 分别为0亿元、0亿元、0亿元及0亿元。</v>
      </c>
    </row>
    <row r="7" spans="1:13" ht="14.1" customHeight="1">
      <c r="A7" s="130">
        <v>1005</v>
      </c>
      <c r="B7" s="130" t="s">
        <v>397</v>
      </c>
      <c r="C7" s="122"/>
      <c r="D7" s="122"/>
      <c r="E7" s="122"/>
      <c r="F7" s="122"/>
      <c r="G7" s="122"/>
      <c r="H7" s="122"/>
      <c r="I7" s="122"/>
      <c r="J7" s="122"/>
      <c r="L7" t="str">
        <f t="shared" si="0"/>
        <v xml:space="preserve">  衍生金融资产 </v>
      </c>
      <c r="M7" s="113" t="str">
        <f t="shared" si="1"/>
        <v>近三年及一期，拟承租人  衍生金融资产 分别为0亿元、0亿元、0亿元及0亿元。</v>
      </c>
    </row>
    <row r="8" spans="1:13" ht="14.1" customHeight="1">
      <c r="A8" s="130">
        <v>1006</v>
      </c>
      <c r="B8" s="130" t="s">
        <v>398</v>
      </c>
      <c r="C8" s="122"/>
      <c r="D8" s="122"/>
      <c r="E8" s="122"/>
      <c r="F8" s="122"/>
      <c r="G8" s="122"/>
      <c r="H8" s="122"/>
      <c r="I8" s="122"/>
      <c r="J8" s="122"/>
      <c r="L8" t="str">
        <f t="shared" si="0"/>
        <v xml:space="preserve">  应收票据 </v>
      </c>
      <c r="M8" s="113" t="str">
        <f t="shared" si="1"/>
        <v>近三年及一期，拟承租人  应收票据 分别为0亿元、0亿元、0亿元及0亿元。</v>
      </c>
    </row>
    <row r="9" spans="1:13" ht="14.1" customHeight="1">
      <c r="A9" s="130">
        <v>1007</v>
      </c>
      <c r="B9" s="130" t="s">
        <v>399</v>
      </c>
      <c r="C9" s="122"/>
      <c r="D9" s="122"/>
      <c r="E9" s="122"/>
      <c r="F9" s="122"/>
      <c r="G9" s="122"/>
      <c r="H9" s="122"/>
      <c r="I9" s="122"/>
      <c r="J9" s="122"/>
      <c r="L9" t="str">
        <f t="shared" si="0"/>
        <v xml:space="preserve">  应收账款 </v>
      </c>
      <c r="M9" s="113" t="str">
        <f t="shared" si="1"/>
        <v>近三年及一期，拟承租人  应收账款 分别为0亿元、0亿元、0亿元及0亿元。</v>
      </c>
    </row>
    <row r="10" spans="1:13" ht="14.1" customHeight="1">
      <c r="A10" s="130">
        <v>1008</v>
      </c>
      <c r="B10" s="130" t="s">
        <v>400</v>
      </c>
      <c r="C10" s="122"/>
      <c r="D10" s="122"/>
      <c r="E10" s="122"/>
      <c r="F10" s="122"/>
      <c r="G10" s="122"/>
      <c r="H10" s="122"/>
      <c r="I10" s="122"/>
      <c r="J10" s="122"/>
      <c r="L10" t="str">
        <f t="shared" si="0"/>
        <v xml:space="preserve">  应收款项融资 </v>
      </c>
      <c r="M10" s="113" t="str">
        <f t="shared" si="1"/>
        <v>近三年及一期，拟承租人  应收款项融资 分别为0亿元、0亿元、0亿元及0亿元。</v>
      </c>
    </row>
    <row r="11" spans="1:13" ht="14.1" customHeight="1">
      <c r="A11" s="130">
        <v>1009</v>
      </c>
      <c r="B11" s="130" t="s">
        <v>401</v>
      </c>
      <c r="C11" s="122"/>
      <c r="D11" s="122"/>
      <c r="E11" s="122"/>
      <c r="F11" s="122"/>
      <c r="G11" s="122"/>
      <c r="H11" s="122"/>
      <c r="I11" s="122"/>
      <c r="J11" s="122"/>
      <c r="L11" t="str">
        <f t="shared" si="0"/>
        <v xml:space="preserve">  预付款项 </v>
      </c>
      <c r="M11" s="113" t="str">
        <f t="shared" si="1"/>
        <v>近三年及一期，拟承租人  预付款项 分别为0亿元、0亿元、0亿元及0亿元。</v>
      </c>
    </row>
    <row r="12" spans="1:13" ht="14.1" customHeight="1">
      <c r="A12" s="130">
        <v>1010</v>
      </c>
      <c r="B12" s="130" t="s">
        <v>402</v>
      </c>
      <c r="C12" s="122"/>
      <c r="D12" s="122"/>
      <c r="E12" s="122"/>
      <c r="F12" s="122"/>
      <c r="G12" s="122"/>
      <c r="H12" s="122"/>
      <c r="I12" s="122"/>
      <c r="J12" s="122"/>
      <c r="L12" t="str">
        <f t="shared" si="0"/>
        <v xml:space="preserve">  应收保费* </v>
      </c>
      <c r="M12" s="113" t="str">
        <f t="shared" si="1"/>
        <v>近三年及一期，拟承租人  应收保费* 分别为0亿元、0亿元、0亿元及0亿元。</v>
      </c>
    </row>
    <row r="13" spans="1:13" ht="14.1" customHeight="1">
      <c r="A13" s="130">
        <v>1011</v>
      </c>
      <c r="B13" s="130" t="s">
        <v>403</v>
      </c>
      <c r="C13" s="122"/>
      <c r="D13" s="122"/>
      <c r="E13" s="122"/>
      <c r="F13" s="122"/>
      <c r="G13" s="122"/>
      <c r="H13" s="122"/>
      <c r="I13" s="122"/>
      <c r="J13" s="122"/>
      <c r="L13" t="str">
        <f t="shared" si="0"/>
        <v xml:space="preserve">  应收分保账款* </v>
      </c>
      <c r="M13" s="113" t="str">
        <f t="shared" si="1"/>
        <v>近三年及一期，拟承租人  应收分保账款* 分别为0亿元、0亿元、0亿元及0亿元。</v>
      </c>
    </row>
    <row r="14" spans="1:13" ht="14.1" customHeight="1">
      <c r="A14" s="130">
        <v>1012</v>
      </c>
      <c r="B14" s="130" t="s">
        <v>404</v>
      </c>
      <c r="C14" s="122"/>
      <c r="D14" s="122"/>
      <c r="E14" s="122"/>
      <c r="F14" s="122"/>
      <c r="G14" s="122"/>
      <c r="H14" s="122"/>
      <c r="I14" s="122"/>
      <c r="J14" s="122"/>
      <c r="L14" t="str">
        <f t="shared" si="0"/>
        <v xml:space="preserve">  应收分保合同准备金* </v>
      </c>
      <c r="M14" s="113" t="str">
        <f t="shared" si="1"/>
        <v>近三年及一期，拟承租人  应收分保合同准备金* 分别为0亿元、0亿元、0亿元及0亿元。</v>
      </c>
    </row>
    <row r="15" spans="1:13" ht="14.1" customHeight="1">
      <c r="A15" s="130">
        <v>1013</v>
      </c>
      <c r="B15" s="130" t="s">
        <v>405</v>
      </c>
      <c r="C15" s="122"/>
      <c r="D15" s="122"/>
      <c r="E15" s="122"/>
      <c r="F15" s="122"/>
      <c r="G15" s="122"/>
      <c r="H15" s="122"/>
      <c r="I15" s="122"/>
      <c r="J15" s="122"/>
      <c r="L15" t="str">
        <f t="shared" si="0"/>
        <v xml:space="preserve">  其他应收款 </v>
      </c>
      <c r="M15" s="113" t="str">
        <f t="shared" si="1"/>
        <v>近三年及一期，拟承租人  其他应收款 分别为0亿元、0亿元、0亿元及0亿元。</v>
      </c>
    </row>
    <row r="16" spans="1:13" ht="14.1" customHeight="1">
      <c r="A16" s="130">
        <v>101301</v>
      </c>
      <c r="B16" s="130" t="s">
        <v>406</v>
      </c>
      <c r="C16" s="122"/>
      <c r="D16" s="122"/>
      <c r="E16" s="122"/>
      <c r="F16" s="122"/>
      <c r="G16" s="122"/>
      <c r="H16" s="122"/>
      <c r="I16" s="122"/>
      <c r="J16" s="122"/>
      <c r="L16" t="str">
        <f t="shared" si="0"/>
        <v xml:space="preserve">    其中：应收利息</v>
      </c>
      <c r="M16" s="113" t="str">
        <f t="shared" si="1"/>
        <v>近三年及一期，拟承租人    其中：应收利息分别为0亿元、0亿元、0亿元及0亿元。</v>
      </c>
    </row>
    <row r="17" spans="1:13" ht="14.1" customHeight="1">
      <c r="A17" s="130">
        <v>101302</v>
      </c>
      <c r="B17" s="130" t="s">
        <v>407</v>
      </c>
      <c r="C17" s="122"/>
      <c r="D17" s="122"/>
      <c r="E17" s="122"/>
      <c r="F17" s="122"/>
      <c r="G17" s="122"/>
      <c r="H17" s="122"/>
      <c r="I17" s="122"/>
      <c r="J17" s="122"/>
      <c r="L17" t="str">
        <f t="shared" si="0"/>
        <v xml:space="preserve">          应收股利</v>
      </c>
      <c r="M17" s="113" t="str">
        <f t="shared" si="1"/>
        <v>近三年及一期，拟承租人          应收股利分别为0亿元、0亿元、0亿元及0亿元。</v>
      </c>
    </row>
    <row r="18" spans="1:13" ht="14.1" customHeight="1">
      <c r="A18" s="130">
        <v>1014</v>
      </c>
      <c r="B18" s="130" t="s">
        <v>408</v>
      </c>
      <c r="C18" s="122"/>
      <c r="D18" s="122"/>
      <c r="E18" s="122"/>
      <c r="F18" s="122"/>
      <c r="G18" s="122"/>
      <c r="H18" s="122"/>
      <c r="I18" s="122"/>
      <c r="J18" s="122"/>
      <c r="L18" t="str">
        <f t="shared" si="0"/>
        <v xml:space="preserve">  买入返售金融资产* </v>
      </c>
      <c r="M18" s="113" t="str">
        <f t="shared" si="1"/>
        <v>近三年及一期，拟承租人  买入返售金融资产* 分别为0亿元、0亿元、0亿元及0亿元。</v>
      </c>
    </row>
    <row r="19" spans="1:13" ht="14.1" customHeight="1">
      <c r="A19" s="130">
        <v>1015</v>
      </c>
      <c r="B19" s="130" t="s">
        <v>409</v>
      </c>
      <c r="C19" s="122"/>
      <c r="D19" s="122"/>
      <c r="E19" s="122"/>
      <c r="F19" s="122"/>
      <c r="G19" s="122"/>
      <c r="H19" s="122"/>
      <c r="I19" s="122"/>
      <c r="J19" s="122"/>
      <c r="L19" t="str">
        <f t="shared" si="0"/>
        <v xml:space="preserve">  存货 </v>
      </c>
      <c r="M19" s="113" t="str">
        <f t="shared" si="1"/>
        <v>近三年及一期，拟承租人  存货 分别为0亿元、0亿元、0亿元及0亿元。</v>
      </c>
    </row>
    <row r="20" spans="1:13" ht="14.1" customHeight="1">
      <c r="A20" s="130">
        <v>1016</v>
      </c>
      <c r="B20" s="130" t="s">
        <v>410</v>
      </c>
      <c r="C20" s="122"/>
      <c r="D20" s="122"/>
      <c r="E20" s="122"/>
      <c r="F20" s="122"/>
      <c r="G20" s="122"/>
      <c r="H20" s="122"/>
      <c r="I20" s="122"/>
      <c r="J20" s="122"/>
      <c r="L20" t="str">
        <f t="shared" si="0"/>
        <v xml:space="preserve">  合同资产 </v>
      </c>
      <c r="M20" s="113" t="str">
        <f t="shared" si="1"/>
        <v>近三年及一期，拟承租人  合同资产 分别为0亿元、0亿元、0亿元及0亿元。</v>
      </c>
    </row>
    <row r="21" spans="1:13" ht="14.1" customHeight="1">
      <c r="A21" s="130">
        <v>1017</v>
      </c>
      <c r="B21" s="130" t="s">
        <v>411</v>
      </c>
      <c r="C21" s="122"/>
      <c r="D21" s="122"/>
      <c r="E21" s="122"/>
      <c r="F21" s="122"/>
      <c r="G21" s="122"/>
      <c r="H21" s="122"/>
      <c r="I21" s="122"/>
      <c r="J21" s="122"/>
      <c r="L21" t="str">
        <f t="shared" si="0"/>
        <v xml:space="preserve">  持有待售资产 </v>
      </c>
      <c r="M21" s="113" t="str">
        <f t="shared" si="1"/>
        <v>近三年及一期，拟承租人  持有待售资产 分别为0亿元、0亿元、0亿元及0亿元。</v>
      </c>
    </row>
    <row r="22" spans="1:13" ht="14.1" customHeight="1">
      <c r="A22" s="130">
        <v>1018</v>
      </c>
      <c r="B22" s="130" t="s">
        <v>412</v>
      </c>
      <c r="C22" s="122"/>
      <c r="D22" s="122"/>
      <c r="E22" s="122"/>
      <c r="F22" s="122"/>
      <c r="G22" s="122"/>
      <c r="H22" s="122"/>
      <c r="I22" s="122"/>
      <c r="J22" s="122"/>
      <c r="L22" t="str">
        <f t="shared" si="0"/>
        <v xml:space="preserve">  一年内到期的非流动资产 </v>
      </c>
      <c r="M22" s="113" t="str">
        <f t="shared" si="1"/>
        <v>近三年及一期，拟承租人  一年内到期的非流动资产 分别为0亿元、0亿元、0亿元及0亿元。</v>
      </c>
    </row>
    <row r="23" spans="1:13" ht="14.1" customHeight="1">
      <c r="A23" s="130">
        <v>1019</v>
      </c>
      <c r="B23" s="130" t="s">
        <v>413</v>
      </c>
      <c r="C23" s="122"/>
      <c r="D23" s="122"/>
      <c r="E23" s="122"/>
      <c r="F23" s="122"/>
      <c r="G23" s="122"/>
      <c r="H23" s="122"/>
      <c r="I23" s="122"/>
      <c r="J23" s="122"/>
      <c r="L23" t="str">
        <f t="shared" si="0"/>
        <v xml:space="preserve">  其他流动资产 </v>
      </c>
      <c r="M23" s="113" t="str">
        <f t="shared" si="1"/>
        <v>近三年及一期，拟承租人  其他流动资产 分别为0亿元、0亿元、0亿元及0亿元。</v>
      </c>
    </row>
    <row r="24" spans="1:13" s="121" customFormat="1" ht="14.1" customHeight="1">
      <c r="A24" s="123">
        <v>1099</v>
      </c>
      <c r="B24" s="123" t="s">
        <v>414</v>
      </c>
      <c r="C24" s="124">
        <f>C3+C4+C5+C6+C7+C8+C9+C10+C11+C12+C13+C14+C15+C18+C19+C20+C21+C22+C23</f>
        <v>0</v>
      </c>
      <c r="D24" s="124">
        <f>D3+D4+D5+D6+D7+D8+D9+D10+D11+D12+D13+D14+D15+D18+D19+D20+D21+D22+D23</f>
        <v>0</v>
      </c>
      <c r="E24" s="124">
        <f t="shared" ref="E24:J24" si="2">E3+E4+E5+E6+E7+E8+E9+E10+E11+E12+E13+E14+E15+E18+E19+E20+E21+E22+E23</f>
        <v>0</v>
      </c>
      <c r="F24" s="124">
        <f t="shared" si="2"/>
        <v>0</v>
      </c>
      <c r="G24" s="124">
        <f t="shared" si="2"/>
        <v>0</v>
      </c>
      <c r="H24" s="124">
        <f t="shared" si="2"/>
        <v>0</v>
      </c>
      <c r="I24" s="124">
        <f t="shared" si="2"/>
        <v>0</v>
      </c>
      <c r="J24" s="124">
        <f t="shared" si="2"/>
        <v>0</v>
      </c>
      <c r="L24" t="str">
        <f t="shared" si="0"/>
        <v xml:space="preserve">    流动资产合计 </v>
      </c>
      <c r="M24" s="113" t="str">
        <f t="shared" si="1"/>
        <v>近三年及一期，拟承租人    流动资产合计 分别为0亿元、0亿元、0亿元及0亿元。</v>
      </c>
    </row>
    <row r="25" spans="1:13" s="132" customFormat="1" ht="15" customHeight="1">
      <c r="A25" s="130">
        <v>1100</v>
      </c>
      <c r="B25" s="125" t="s">
        <v>415</v>
      </c>
      <c r="C25" s="131"/>
      <c r="D25" s="131"/>
      <c r="E25" s="131"/>
      <c r="F25" s="122"/>
      <c r="G25" s="122"/>
      <c r="H25" s="122"/>
      <c r="I25" s="122"/>
      <c r="J25" s="122"/>
    </row>
    <row r="26" spans="1:13" s="132" customFormat="1" ht="15" customHeight="1">
      <c r="A26" s="130">
        <v>1101</v>
      </c>
      <c r="B26" s="130" t="s">
        <v>416</v>
      </c>
      <c r="C26" s="131"/>
      <c r="D26" s="131"/>
      <c r="E26" s="131"/>
      <c r="F26" s="122"/>
      <c r="G26" s="122"/>
      <c r="H26" s="122"/>
      <c r="I26" s="122"/>
      <c r="J26" s="122"/>
    </row>
    <row r="27" spans="1:13" s="132" customFormat="1" ht="15" customHeight="1">
      <c r="A27" s="130">
        <v>1102</v>
      </c>
      <c r="B27" s="130" t="s">
        <v>417</v>
      </c>
      <c r="C27" s="131"/>
      <c r="D27" s="131"/>
      <c r="E27" s="131"/>
      <c r="F27" s="122"/>
      <c r="G27" s="122"/>
      <c r="H27" s="122"/>
      <c r="I27" s="122"/>
      <c r="J27" s="122"/>
    </row>
    <row r="28" spans="1:13" s="132" customFormat="1" ht="15" customHeight="1">
      <c r="A28" s="130">
        <v>1103</v>
      </c>
      <c r="B28" s="130" t="s">
        <v>418</v>
      </c>
      <c r="C28" s="131"/>
      <c r="D28" s="131"/>
      <c r="E28" s="131"/>
      <c r="F28" s="122"/>
      <c r="G28" s="122"/>
      <c r="H28" s="122"/>
      <c r="I28" s="122"/>
      <c r="J28" s="122"/>
    </row>
    <row r="29" spans="1:13" s="132" customFormat="1" ht="15" customHeight="1">
      <c r="A29" s="130">
        <v>1104</v>
      </c>
      <c r="B29" s="130" t="s">
        <v>419</v>
      </c>
      <c r="C29" s="131"/>
      <c r="D29" s="131"/>
      <c r="E29" s="131"/>
      <c r="F29" s="122"/>
      <c r="G29" s="122"/>
      <c r="H29" s="122"/>
      <c r="I29" s="122"/>
      <c r="J29" s="122"/>
    </row>
    <row r="30" spans="1:13" s="132" customFormat="1" ht="15" customHeight="1">
      <c r="A30" s="130">
        <v>1105</v>
      </c>
      <c r="B30" s="130" t="s">
        <v>420</v>
      </c>
      <c r="C30" s="131"/>
      <c r="D30" s="131"/>
      <c r="E30" s="131"/>
      <c r="F30" s="122"/>
      <c r="G30" s="122"/>
      <c r="H30" s="122"/>
      <c r="I30" s="122"/>
      <c r="J30" s="122"/>
    </row>
    <row r="31" spans="1:13" s="132" customFormat="1" ht="15" customHeight="1">
      <c r="A31" s="130">
        <v>1106</v>
      </c>
      <c r="B31" s="130" t="s">
        <v>421</v>
      </c>
      <c r="C31" s="131"/>
      <c r="D31" s="131"/>
      <c r="E31" s="131"/>
      <c r="F31" s="122"/>
      <c r="G31" s="122"/>
      <c r="H31" s="122"/>
      <c r="I31" s="122"/>
      <c r="J31" s="122"/>
    </row>
    <row r="32" spans="1:13" s="132" customFormat="1" ht="15" customHeight="1">
      <c r="A32" s="130">
        <v>1107</v>
      </c>
      <c r="B32" s="130" t="s">
        <v>422</v>
      </c>
      <c r="C32" s="131"/>
      <c r="D32" s="131"/>
      <c r="E32" s="131"/>
      <c r="F32" s="122"/>
      <c r="G32" s="122"/>
      <c r="H32" s="122"/>
      <c r="I32" s="122"/>
      <c r="J32" s="122"/>
    </row>
    <row r="33" spans="1:10" s="132" customFormat="1" ht="15" customHeight="1">
      <c r="A33" s="130">
        <v>1108</v>
      </c>
      <c r="B33" s="130" t="s">
        <v>423</v>
      </c>
      <c r="C33" s="131"/>
      <c r="D33" s="131"/>
      <c r="E33" s="131"/>
      <c r="F33" s="122"/>
      <c r="G33" s="122"/>
      <c r="H33" s="122"/>
      <c r="I33" s="122"/>
      <c r="J33" s="122"/>
    </row>
    <row r="34" spans="1:10" s="132" customFormat="1" ht="15" customHeight="1">
      <c r="A34" s="130">
        <v>1109</v>
      </c>
      <c r="B34" s="130" t="s">
        <v>424</v>
      </c>
      <c r="C34" s="131"/>
      <c r="D34" s="131"/>
      <c r="E34" s="131"/>
      <c r="F34" s="122"/>
      <c r="G34" s="122"/>
      <c r="H34" s="122"/>
      <c r="I34" s="122"/>
      <c r="J34" s="122"/>
    </row>
    <row r="35" spans="1:10" s="132" customFormat="1" ht="15" customHeight="1">
      <c r="A35" s="130">
        <v>1110</v>
      </c>
      <c r="B35" s="130" t="s">
        <v>425</v>
      </c>
      <c r="C35" s="131"/>
      <c r="D35" s="131"/>
      <c r="E35" s="131"/>
      <c r="F35" s="122"/>
      <c r="G35" s="122"/>
      <c r="H35" s="122"/>
      <c r="I35" s="122"/>
      <c r="J35" s="122"/>
    </row>
    <row r="36" spans="1:10" s="132" customFormat="1" ht="15" customHeight="1">
      <c r="A36" s="130">
        <v>1111</v>
      </c>
      <c r="B36" s="130" t="s">
        <v>426</v>
      </c>
      <c r="C36" s="131"/>
      <c r="D36" s="131"/>
      <c r="E36" s="131"/>
      <c r="F36" s="122"/>
      <c r="G36" s="122"/>
      <c r="H36" s="122"/>
      <c r="I36" s="122"/>
      <c r="J36" s="122"/>
    </row>
    <row r="37" spans="1:10" s="132" customFormat="1" ht="15" customHeight="1">
      <c r="A37" s="130">
        <v>1112</v>
      </c>
      <c r="B37" s="130" t="s">
        <v>427</v>
      </c>
      <c r="C37" s="131"/>
      <c r="D37" s="131"/>
      <c r="E37" s="131"/>
      <c r="F37" s="122"/>
      <c r="G37" s="122"/>
      <c r="H37" s="122"/>
      <c r="I37" s="122"/>
      <c r="J37" s="122"/>
    </row>
    <row r="38" spans="1:10" s="132" customFormat="1" ht="15" customHeight="1">
      <c r="A38" s="130">
        <v>1113</v>
      </c>
      <c r="B38" s="130" t="s">
        <v>428</v>
      </c>
      <c r="C38" s="131"/>
      <c r="D38" s="131"/>
      <c r="E38" s="131"/>
      <c r="F38" s="122"/>
      <c r="G38" s="122"/>
      <c r="H38" s="122"/>
      <c r="I38" s="122"/>
      <c r="J38" s="122"/>
    </row>
    <row r="39" spans="1:10" s="132" customFormat="1" ht="15" customHeight="1">
      <c r="A39" s="130">
        <v>1114</v>
      </c>
      <c r="B39" s="130" t="s">
        <v>429</v>
      </c>
      <c r="C39" s="131"/>
      <c r="D39" s="131"/>
      <c r="E39" s="131"/>
      <c r="F39" s="122"/>
      <c r="G39" s="122"/>
      <c r="H39" s="122"/>
      <c r="I39" s="122"/>
      <c r="J39" s="122"/>
    </row>
    <row r="40" spans="1:10" s="132" customFormat="1" ht="15" customHeight="1">
      <c r="A40" s="130">
        <v>1115</v>
      </c>
      <c r="B40" s="130" t="s">
        <v>430</v>
      </c>
      <c r="C40" s="131"/>
      <c r="D40" s="131"/>
      <c r="E40" s="131"/>
      <c r="F40" s="122"/>
      <c r="G40" s="122"/>
      <c r="H40" s="122"/>
      <c r="I40" s="122"/>
      <c r="J40" s="122"/>
    </row>
    <row r="41" spans="1:10" s="132" customFormat="1" ht="15" customHeight="1">
      <c r="A41" s="130">
        <v>1116</v>
      </c>
      <c r="B41" s="130" t="s">
        <v>431</v>
      </c>
      <c r="C41" s="131"/>
      <c r="D41" s="131"/>
      <c r="E41" s="131"/>
      <c r="F41" s="122"/>
      <c r="G41" s="122"/>
      <c r="H41" s="122"/>
      <c r="I41" s="122"/>
      <c r="J41" s="122"/>
    </row>
    <row r="42" spans="1:10" s="132" customFormat="1" ht="15" customHeight="1">
      <c r="A42" s="130">
        <v>1117</v>
      </c>
      <c r="B42" s="130" t="s">
        <v>432</v>
      </c>
      <c r="C42" s="131"/>
      <c r="D42" s="131"/>
      <c r="E42" s="131"/>
      <c r="F42" s="122"/>
      <c r="G42" s="122"/>
      <c r="H42" s="122"/>
      <c r="I42" s="122"/>
      <c r="J42" s="122"/>
    </row>
    <row r="43" spans="1:10" s="132" customFormat="1" ht="15" customHeight="1">
      <c r="A43" s="130">
        <v>1118</v>
      </c>
      <c r="B43" s="130" t="s">
        <v>433</v>
      </c>
      <c r="C43" s="131"/>
      <c r="D43" s="131"/>
      <c r="E43" s="131"/>
      <c r="F43" s="122"/>
      <c r="G43" s="122"/>
      <c r="H43" s="122"/>
      <c r="I43" s="122"/>
      <c r="J43" s="122"/>
    </row>
    <row r="44" spans="1:10" s="132" customFormat="1" ht="15" customHeight="1">
      <c r="A44" s="130">
        <v>1119</v>
      </c>
      <c r="B44" s="130" t="s">
        <v>434</v>
      </c>
      <c r="C44" s="131"/>
      <c r="D44" s="131"/>
      <c r="E44" s="131"/>
      <c r="F44" s="122"/>
      <c r="G44" s="122"/>
      <c r="H44" s="122"/>
      <c r="I44" s="122"/>
      <c r="J44" s="122"/>
    </row>
    <row r="45" spans="1:10" s="132" customFormat="1" ht="15" customHeight="1">
      <c r="A45" s="130">
        <v>1120</v>
      </c>
      <c r="B45" s="130" t="s">
        <v>435</v>
      </c>
      <c r="C45" s="131"/>
      <c r="D45" s="131"/>
      <c r="E45" s="131"/>
      <c r="F45" s="122"/>
      <c r="G45" s="122"/>
      <c r="H45" s="122"/>
      <c r="I45" s="122"/>
      <c r="J45" s="122"/>
    </row>
    <row r="46" spans="1:10" s="132" customFormat="1" ht="15" customHeight="1">
      <c r="A46" s="130">
        <v>1121</v>
      </c>
      <c r="B46" s="130" t="s">
        <v>436</v>
      </c>
      <c r="C46" s="131"/>
      <c r="D46" s="131"/>
      <c r="E46" s="131"/>
      <c r="F46" s="122"/>
      <c r="G46" s="122"/>
      <c r="H46" s="122"/>
      <c r="I46" s="122"/>
      <c r="J46" s="122"/>
    </row>
    <row r="47" spans="1:10" s="132" customFormat="1" ht="15" customHeight="1">
      <c r="A47" s="130">
        <v>1122</v>
      </c>
      <c r="B47" s="130" t="s">
        <v>437</v>
      </c>
      <c r="C47" s="131"/>
      <c r="D47" s="131"/>
      <c r="E47" s="131"/>
      <c r="F47" s="122"/>
      <c r="G47" s="122"/>
      <c r="H47" s="122"/>
      <c r="I47" s="122"/>
      <c r="J47" s="122"/>
    </row>
    <row r="48" spans="1:10" s="132" customFormat="1" ht="15" customHeight="1">
      <c r="A48" s="130">
        <v>1123</v>
      </c>
      <c r="B48" s="130" t="s">
        <v>438</v>
      </c>
      <c r="C48" s="131"/>
      <c r="D48" s="131"/>
      <c r="E48" s="131"/>
      <c r="F48" s="122"/>
      <c r="G48" s="122"/>
      <c r="H48" s="122"/>
      <c r="I48" s="122"/>
      <c r="J48" s="122"/>
    </row>
    <row r="49" spans="1:13" s="132" customFormat="1" ht="15" customHeight="1">
      <c r="A49" s="130">
        <v>1124</v>
      </c>
      <c r="B49" s="130" t="s">
        <v>439</v>
      </c>
      <c r="C49" s="131"/>
      <c r="D49" s="131"/>
      <c r="E49" s="131"/>
      <c r="F49" s="122"/>
      <c r="G49" s="122"/>
      <c r="H49" s="122"/>
      <c r="I49" s="122"/>
      <c r="J49" s="122"/>
    </row>
    <row r="50" spans="1:13" s="132" customFormat="1" ht="15" customHeight="1">
      <c r="A50" s="130">
        <v>1125</v>
      </c>
      <c r="B50" s="130" t="s">
        <v>440</v>
      </c>
      <c r="C50" s="131"/>
      <c r="D50" s="131"/>
      <c r="E50" s="131"/>
      <c r="F50" s="122"/>
      <c r="G50" s="122"/>
      <c r="H50" s="122"/>
      <c r="I50" s="122"/>
      <c r="J50" s="122"/>
    </row>
    <row r="51" spans="1:13" s="132" customFormat="1" ht="15" customHeight="1">
      <c r="A51" s="130">
        <v>1126</v>
      </c>
      <c r="B51" s="130" t="s">
        <v>441</v>
      </c>
      <c r="C51" s="131"/>
      <c r="D51" s="131"/>
      <c r="E51" s="131"/>
      <c r="F51" s="122"/>
      <c r="G51" s="122"/>
      <c r="H51" s="122"/>
      <c r="I51" s="122"/>
      <c r="J51" s="122"/>
    </row>
    <row r="52" spans="1:13" s="121" customFormat="1" ht="14.1" customHeight="1">
      <c r="A52" s="123">
        <v>1199</v>
      </c>
      <c r="B52" s="133" t="s">
        <v>442</v>
      </c>
      <c r="C52" s="124">
        <f>C26+C27+C28+C29+C30+C31+C32+C32+C33+C34+C35+C39+C40+C41+C42+C43+C44+C45+C46+C47+C48+C49+C50+C51</f>
        <v>0</v>
      </c>
      <c r="D52" s="124">
        <f>D26+D27+D28+D29+D30+D31+D32+D32+D33+D34+D35+D39+D40+D41+D42+D43+D44+D45+D46+D47+D48+D49+D50+D51</f>
        <v>0</v>
      </c>
      <c r="E52" s="124">
        <f t="shared" ref="E52:J52" si="3">E26+E27+E28+E29+E30+E31+E32+E32+E33+E34+E35+E39+E40+E41+E42+E43+E44+E45+E46+E47+E48+E49+E50+E51</f>
        <v>0</v>
      </c>
      <c r="F52" s="124">
        <f t="shared" si="3"/>
        <v>0</v>
      </c>
      <c r="G52" s="124">
        <f t="shared" si="3"/>
        <v>0</v>
      </c>
      <c r="H52" s="124">
        <f t="shared" si="3"/>
        <v>0</v>
      </c>
      <c r="I52" s="124">
        <f t="shared" si="3"/>
        <v>0</v>
      </c>
      <c r="J52" s="124">
        <f t="shared" si="3"/>
        <v>0</v>
      </c>
      <c r="L52" t="str">
        <f t="shared" ref="L52:L65" si="4">B52</f>
        <v xml:space="preserve">非流动资产合计 </v>
      </c>
      <c r="M52" s="113" t="str">
        <f t="shared" ref="M52:M65" si="5">CONCATENATE("近三年及一期，拟承租人",B52,"分别为",ROUND(F52/100000000,2),"亿元、",ROUND(G52/100000000,2),"亿元、",ROUND(I52/100000000,2),"亿元及",ROUND(J52/100000000,2),"亿元。")</f>
        <v>近三年及一期，拟承租人非流动资产合计 分别为0亿元、0亿元、0亿元及0亿元。</v>
      </c>
    </row>
    <row r="53" spans="1:13" s="121" customFormat="1" ht="14.1" customHeight="1">
      <c r="A53" s="123">
        <v>1999</v>
      </c>
      <c r="B53" s="123" t="s">
        <v>443</v>
      </c>
      <c r="C53" s="124">
        <f>C94+C109</f>
        <v>0</v>
      </c>
      <c r="D53" s="124">
        <f>D94+D109</f>
        <v>0</v>
      </c>
      <c r="E53" s="124">
        <f t="shared" ref="E53:J53" si="6">E94+E109</f>
        <v>0</v>
      </c>
      <c r="F53" s="124">
        <f t="shared" si="6"/>
        <v>0</v>
      </c>
      <c r="G53" s="124">
        <f t="shared" si="6"/>
        <v>0</v>
      </c>
      <c r="H53" s="124">
        <f t="shared" si="6"/>
        <v>0</v>
      </c>
      <c r="I53" s="124">
        <f t="shared" si="6"/>
        <v>0</v>
      </c>
      <c r="J53" s="124">
        <f t="shared" si="6"/>
        <v>0</v>
      </c>
      <c r="L53" t="str">
        <f t="shared" si="4"/>
        <v xml:space="preserve">      资产总计 </v>
      </c>
      <c r="M53" s="113" t="str">
        <f t="shared" si="5"/>
        <v>近三年及一期，拟承租人      资产总计 分别为0亿元、0亿元、0亿元及0亿元。</v>
      </c>
    </row>
    <row r="54" spans="1:13" ht="14.1" customHeight="1">
      <c r="A54" s="113">
        <v>2000</v>
      </c>
      <c r="B54" s="127" t="s">
        <v>218</v>
      </c>
      <c r="C54" s="122"/>
      <c r="D54" s="122"/>
      <c r="E54" s="122"/>
      <c r="F54" s="122"/>
      <c r="G54" s="122"/>
      <c r="H54" s="122"/>
      <c r="I54" s="122"/>
      <c r="J54" s="122"/>
      <c r="K54" t="str">
        <f>刚性负债情况!A11</f>
        <v>刚性债务=短期借款+应付票据+一年内到期的长期借款+应付短期融资券+长期借款+应付债券+其他具期债务</v>
      </c>
      <c r="L54" t="str">
        <f t="shared" si="4"/>
        <v>应付</v>
      </c>
      <c r="M54" s="113" t="str">
        <f t="shared" si="5"/>
        <v>近三年及一期，拟承租人应付分别为0亿元、0亿元、0亿元及0亿元。</v>
      </c>
    </row>
    <row r="55" spans="1:13" ht="14.1" customHeight="1">
      <c r="A55" s="113">
        <v>2001</v>
      </c>
      <c r="B55" s="113" t="s">
        <v>219</v>
      </c>
      <c r="C55" s="122"/>
      <c r="D55" s="122"/>
      <c r="E55" s="122"/>
      <c r="F55" s="122"/>
      <c r="G55" s="122"/>
      <c r="H55" s="122"/>
      <c r="I55" s="122"/>
      <c r="J55" s="122"/>
      <c r="L55" t="str">
        <f t="shared" si="4"/>
        <v xml:space="preserve">  短期借款 </v>
      </c>
      <c r="M55" s="113" t="str">
        <f t="shared" si="5"/>
        <v>近三年及一期，拟承租人  短期借款 分别为0亿元、0亿元、0亿元及0亿元。</v>
      </c>
    </row>
    <row r="56" spans="1:13" ht="14.1" customHeight="1">
      <c r="A56" s="113">
        <v>2002</v>
      </c>
      <c r="B56" s="113" t="s">
        <v>220</v>
      </c>
      <c r="C56" s="122"/>
      <c r="D56" s="122"/>
      <c r="E56" s="122"/>
      <c r="F56" s="122"/>
      <c r="G56" s="122"/>
      <c r="H56" s="122"/>
      <c r="I56" s="122"/>
      <c r="J56" s="122"/>
      <c r="L56" t="str">
        <f t="shared" si="4"/>
        <v xml:space="preserve">  向中央银行借款* </v>
      </c>
      <c r="M56" s="113" t="str">
        <f t="shared" si="5"/>
        <v>近三年及一期，拟承租人  向中央银行借款* 分别为0亿元、0亿元、0亿元及0亿元。</v>
      </c>
    </row>
    <row r="57" spans="1:13" ht="14.1" customHeight="1">
      <c r="A57" s="113">
        <v>2003</v>
      </c>
      <c r="B57" s="113" t="s">
        <v>221</v>
      </c>
      <c r="C57" s="122"/>
      <c r="D57" s="122"/>
      <c r="E57" s="122"/>
      <c r="F57" s="122"/>
      <c r="G57" s="122"/>
      <c r="H57" s="122"/>
      <c r="I57" s="122"/>
      <c r="J57" s="122"/>
      <c r="L57" t="str">
        <f t="shared" si="4"/>
        <v xml:space="preserve">  拆入资金* </v>
      </c>
      <c r="M57" s="113" t="str">
        <f t="shared" si="5"/>
        <v>近三年及一期，拟承租人  拆入资金* 分别为0亿元、0亿元、0亿元及0亿元。</v>
      </c>
    </row>
    <row r="58" spans="1:13" ht="14.1" customHeight="1">
      <c r="A58" s="113">
        <v>2004</v>
      </c>
      <c r="B58" s="113" t="s">
        <v>222</v>
      </c>
      <c r="C58" s="122"/>
      <c r="D58" s="122"/>
      <c r="E58" s="122"/>
      <c r="F58" s="122"/>
      <c r="G58" s="122"/>
      <c r="H58" s="122"/>
      <c r="I58" s="122"/>
      <c r="J58" s="122"/>
      <c r="L58" t="str">
        <f t="shared" si="4"/>
        <v xml:space="preserve">  交易性金融负债 </v>
      </c>
      <c r="M58" s="113" t="str">
        <f t="shared" si="5"/>
        <v>近三年及一期，拟承租人  交易性金融负债 分别为0亿元、0亿元、0亿元及0亿元。</v>
      </c>
    </row>
    <row r="59" spans="1:13" ht="14.1" customHeight="1">
      <c r="A59" s="113">
        <v>2005</v>
      </c>
      <c r="B59" s="113" t="s">
        <v>223</v>
      </c>
      <c r="C59" s="122"/>
      <c r="D59" s="122"/>
      <c r="E59" s="122"/>
      <c r="F59" s="122"/>
      <c r="G59" s="122"/>
      <c r="H59" s="122"/>
      <c r="I59" s="122"/>
      <c r="J59" s="122"/>
      <c r="L59" t="str">
        <f t="shared" si="4"/>
        <v xml:space="preserve">  衍生金融负债 </v>
      </c>
      <c r="M59" s="113" t="str">
        <f t="shared" si="5"/>
        <v>近三年及一期，拟承租人  衍生金融负债 分别为0亿元、0亿元、0亿元及0亿元。</v>
      </c>
    </row>
    <row r="60" spans="1:13" ht="14.1" customHeight="1">
      <c r="A60" s="113">
        <v>2006</v>
      </c>
      <c r="B60" s="113" t="s">
        <v>224</v>
      </c>
      <c r="C60" s="122"/>
      <c r="D60" s="122"/>
      <c r="E60" s="122"/>
      <c r="F60" s="122"/>
      <c r="G60" s="122"/>
      <c r="H60" s="122"/>
      <c r="I60" s="122"/>
      <c r="J60" s="122"/>
      <c r="L60" t="str">
        <f t="shared" si="4"/>
        <v xml:space="preserve">  应付票据 </v>
      </c>
      <c r="M60" s="113" t="str">
        <f t="shared" si="5"/>
        <v>近三年及一期，拟承租人  应付票据 分别为0亿元、0亿元、0亿元及0亿元。</v>
      </c>
    </row>
    <row r="61" spans="1:13" ht="14.1" customHeight="1">
      <c r="A61" s="113">
        <v>2007</v>
      </c>
      <c r="B61" s="113" t="s">
        <v>225</v>
      </c>
      <c r="C61" s="122"/>
      <c r="D61" s="122"/>
      <c r="E61" s="122"/>
      <c r="F61" s="122"/>
      <c r="G61" s="122"/>
      <c r="H61" s="122"/>
      <c r="I61" s="122"/>
      <c r="J61" s="122"/>
      <c r="L61" t="str">
        <f t="shared" si="4"/>
        <v xml:space="preserve">  应付账款 </v>
      </c>
      <c r="M61" s="113" t="str">
        <f t="shared" si="5"/>
        <v>近三年及一期，拟承租人  应付账款 分别为0亿元、0亿元、0亿元及0亿元。</v>
      </c>
    </row>
    <row r="62" spans="1:13" ht="14.1" customHeight="1">
      <c r="A62" s="113">
        <v>2008</v>
      </c>
      <c r="B62" s="113" t="s">
        <v>226</v>
      </c>
      <c r="C62" s="122"/>
      <c r="D62" s="122"/>
      <c r="E62" s="122"/>
      <c r="F62" s="122"/>
      <c r="G62" s="122"/>
      <c r="H62" s="122"/>
      <c r="I62" s="122"/>
      <c r="J62" s="122"/>
      <c r="L62" t="str">
        <f t="shared" si="4"/>
        <v xml:space="preserve">  预收款项 </v>
      </c>
      <c r="M62" s="113" t="str">
        <f t="shared" si="5"/>
        <v>近三年及一期，拟承租人  预收款项 分别为0亿元、0亿元、0亿元及0亿元。</v>
      </c>
    </row>
    <row r="63" spans="1:13" ht="14.1" customHeight="1">
      <c r="A63" s="113">
        <v>2009</v>
      </c>
      <c r="B63" s="113" t="s">
        <v>227</v>
      </c>
      <c r="C63" s="122"/>
      <c r="D63" s="122"/>
      <c r="E63" s="122"/>
      <c r="F63" s="122"/>
      <c r="G63" s="122"/>
      <c r="H63" s="122"/>
      <c r="I63" s="122"/>
      <c r="J63" s="122"/>
      <c r="L63" t="str">
        <f t="shared" si="4"/>
        <v xml:space="preserve">  合同负债 </v>
      </c>
      <c r="M63" s="113" t="str">
        <f t="shared" si="5"/>
        <v>近三年及一期，拟承租人  合同负债 分别为0亿元、0亿元、0亿元及0亿元。</v>
      </c>
    </row>
    <row r="64" spans="1:13" ht="14.1" customHeight="1">
      <c r="A64" s="113">
        <v>2010</v>
      </c>
      <c r="B64" s="113" t="s">
        <v>228</v>
      </c>
      <c r="C64" s="122"/>
      <c r="D64" s="122"/>
      <c r="E64" s="122"/>
      <c r="F64" s="122"/>
      <c r="G64" s="122"/>
      <c r="H64" s="122"/>
      <c r="I64" s="122"/>
      <c r="J64" s="122"/>
      <c r="L64" t="str">
        <f t="shared" si="4"/>
        <v xml:space="preserve">  卖出回购金融资产款* </v>
      </c>
      <c r="M64" s="113" t="str">
        <f t="shared" si="5"/>
        <v>近三年及一期，拟承租人  卖出回购金融资产款* 分别为0亿元、0亿元、0亿元及0亿元。</v>
      </c>
    </row>
    <row r="65" spans="1:13" ht="14.1" customHeight="1">
      <c r="A65" s="113">
        <v>2011</v>
      </c>
      <c r="B65" s="113" t="s">
        <v>229</v>
      </c>
      <c r="C65" s="122"/>
      <c r="D65" s="122"/>
      <c r="E65" s="122"/>
      <c r="F65" s="122"/>
      <c r="G65" s="122"/>
      <c r="H65" s="122"/>
      <c r="I65" s="122"/>
      <c r="J65" s="122"/>
      <c r="L65" t="str">
        <f t="shared" si="4"/>
        <v xml:space="preserve">  吸收存款及同业存放* </v>
      </c>
      <c r="M65" s="113" t="str">
        <f t="shared" si="5"/>
        <v>近三年及一期，拟承租人  吸收存款及同业存放* 分别为0亿元、0亿元、0亿元及0亿元。</v>
      </c>
    </row>
    <row r="66" spans="1:13" ht="14.1" customHeight="1">
      <c r="A66" s="113">
        <v>2012</v>
      </c>
      <c r="B66" s="113" t="s">
        <v>230</v>
      </c>
      <c r="C66" s="122"/>
      <c r="D66" s="122"/>
      <c r="E66" s="122"/>
      <c r="F66" s="122"/>
      <c r="G66" s="122"/>
      <c r="H66" s="122"/>
      <c r="I66" s="122"/>
      <c r="J66" s="122"/>
      <c r="M66" s="113"/>
    </row>
    <row r="67" spans="1:13" ht="14.1" customHeight="1">
      <c r="A67" s="113">
        <v>2013</v>
      </c>
      <c r="B67" s="113" t="s">
        <v>231</v>
      </c>
      <c r="C67" s="122"/>
      <c r="D67" s="122"/>
      <c r="E67" s="122"/>
      <c r="F67" s="122"/>
      <c r="G67" s="122"/>
      <c r="H67" s="122"/>
      <c r="I67" s="122"/>
      <c r="J67" s="122"/>
      <c r="M67" s="113"/>
    </row>
    <row r="68" spans="1:13" ht="14.1" customHeight="1">
      <c r="A68" s="113">
        <v>2014</v>
      </c>
      <c r="B68" s="113" t="s">
        <v>232</v>
      </c>
      <c r="C68" s="122"/>
      <c r="D68" s="122"/>
      <c r="E68" s="122"/>
      <c r="F68" s="122"/>
      <c r="G68" s="122"/>
      <c r="H68" s="122"/>
      <c r="I68" s="122"/>
      <c r="J68" s="122"/>
      <c r="M68" s="113"/>
    </row>
    <row r="69" spans="1:13" ht="14.1" customHeight="1">
      <c r="A69" s="113">
        <v>2015</v>
      </c>
      <c r="B69" s="113" t="s">
        <v>233</v>
      </c>
      <c r="C69" s="122"/>
      <c r="D69" s="122"/>
      <c r="E69" s="122"/>
      <c r="F69" s="122"/>
      <c r="G69" s="122"/>
      <c r="H69" s="122"/>
      <c r="I69" s="122"/>
      <c r="J69" s="122"/>
      <c r="M69" s="113"/>
    </row>
    <row r="70" spans="1:13" ht="14.1" customHeight="1">
      <c r="A70" s="113">
        <v>2016</v>
      </c>
      <c r="B70" s="113" t="s">
        <v>234</v>
      </c>
      <c r="C70" s="122"/>
      <c r="D70" s="122"/>
      <c r="E70" s="122"/>
      <c r="F70" s="122"/>
      <c r="G70" s="122"/>
      <c r="H70" s="122"/>
      <c r="I70" s="122"/>
      <c r="J70" s="122"/>
      <c r="M70" s="113"/>
    </row>
    <row r="71" spans="1:13" ht="14.1" customHeight="1">
      <c r="A71" s="113">
        <v>2017</v>
      </c>
      <c r="B71" s="113" t="s">
        <v>235</v>
      </c>
      <c r="C71" s="122"/>
      <c r="D71" s="122"/>
      <c r="E71" s="122"/>
      <c r="F71" s="122"/>
      <c r="G71" s="122"/>
      <c r="H71" s="122"/>
      <c r="I71" s="122"/>
      <c r="J71" s="122"/>
      <c r="M71" s="113"/>
    </row>
    <row r="72" spans="1:13" ht="14.1" customHeight="1">
      <c r="A72" s="113">
        <v>201701</v>
      </c>
      <c r="B72" s="113" t="s">
        <v>236</v>
      </c>
      <c r="C72" s="122"/>
      <c r="D72" s="122"/>
      <c r="E72" s="122"/>
      <c r="F72" s="122"/>
      <c r="G72" s="122"/>
      <c r="H72" s="122"/>
      <c r="I72" s="122"/>
      <c r="J72" s="122"/>
      <c r="M72" s="113"/>
    </row>
    <row r="73" spans="1:13" ht="14.1" customHeight="1">
      <c r="A73" s="113">
        <v>2018</v>
      </c>
      <c r="B73" s="113" t="s">
        <v>237</v>
      </c>
      <c r="C73" s="122"/>
      <c r="D73" s="122"/>
      <c r="E73" s="122"/>
      <c r="F73" s="122"/>
      <c r="G73" s="122"/>
      <c r="H73" s="122"/>
      <c r="I73" s="122"/>
      <c r="J73" s="122"/>
      <c r="M73" s="113"/>
    </row>
    <row r="74" spans="1:13" ht="14.1" customHeight="1">
      <c r="A74" s="113">
        <v>2019</v>
      </c>
      <c r="B74" s="113" t="s">
        <v>238</v>
      </c>
      <c r="C74" s="122"/>
      <c r="D74" s="122"/>
      <c r="E74" s="122"/>
      <c r="F74" s="122"/>
      <c r="G74" s="122"/>
      <c r="H74" s="122"/>
      <c r="I74" s="122"/>
      <c r="J74" s="122"/>
      <c r="M74" s="113"/>
    </row>
    <row r="75" spans="1:13" ht="14.1" customHeight="1">
      <c r="A75" s="113">
        <v>2020</v>
      </c>
      <c r="B75" s="113" t="s">
        <v>239</v>
      </c>
      <c r="C75" s="122"/>
      <c r="D75" s="122"/>
      <c r="E75" s="122"/>
      <c r="F75" s="122"/>
      <c r="G75" s="122"/>
      <c r="H75" s="122"/>
      <c r="I75" s="122"/>
      <c r="J75" s="122"/>
      <c r="M75" s="113"/>
    </row>
    <row r="76" spans="1:13" ht="14.1" customHeight="1">
      <c r="A76" s="113">
        <v>2021</v>
      </c>
      <c r="B76" s="113" t="s">
        <v>240</v>
      </c>
      <c r="C76" s="122"/>
      <c r="D76" s="122"/>
      <c r="E76" s="122"/>
      <c r="F76" s="122"/>
      <c r="G76" s="122"/>
      <c r="H76" s="122"/>
      <c r="I76" s="122"/>
      <c r="J76" s="122"/>
      <c r="M76" s="113"/>
    </row>
    <row r="77" spans="1:13" ht="14.1" customHeight="1">
      <c r="A77" s="113">
        <v>2022</v>
      </c>
      <c r="B77" s="113" t="s">
        <v>241</v>
      </c>
      <c r="C77" s="122"/>
      <c r="D77" s="122"/>
      <c r="E77" s="122"/>
      <c r="F77" s="122"/>
      <c r="G77" s="122"/>
      <c r="H77" s="122"/>
      <c r="I77" s="122"/>
      <c r="J77" s="122"/>
      <c r="M77" s="113"/>
    </row>
    <row r="78" spans="1:13" s="121" customFormat="1" ht="14.1" customHeight="1">
      <c r="A78" s="123">
        <v>2099</v>
      </c>
      <c r="B78" s="123" t="s">
        <v>242</v>
      </c>
      <c r="C78" s="124">
        <f>C55+C56+C57+C58+C59+C60+C61+C62+C63+C64+C65+C66+C67+C68+C69+C70+C73+C74+C75+C76+C77</f>
        <v>0</v>
      </c>
      <c r="D78" s="124">
        <f>D55+D56+D57+D58+D59+D60+D61+D62+D63+D64+D65+D66+D67+D68+D69+D70+D73+D74+D75+D76+D77</f>
        <v>0</v>
      </c>
      <c r="E78" s="124">
        <f t="shared" ref="E78:J78" si="7">E55+E56+E57+E58+E59+E60+E61+E62+E63+E64+E65+E66+E67+E68+E69+E70+E73+E74+E75+E76+E77</f>
        <v>0</v>
      </c>
      <c r="F78" s="124">
        <f t="shared" si="7"/>
        <v>0</v>
      </c>
      <c r="G78" s="124">
        <f t="shared" si="7"/>
        <v>0</v>
      </c>
      <c r="H78" s="124">
        <f t="shared" si="7"/>
        <v>0</v>
      </c>
      <c r="I78" s="124">
        <f t="shared" si="7"/>
        <v>0</v>
      </c>
      <c r="J78" s="124">
        <f t="shared" si="7"/>
        <v>0</v>
      </c>
      <c r="L78" t="str">
        <f t="shared" ref="L78:L85" si="8">B78</f>
        <v xml:space="preserve">    流动负债合计 </v>
      </c>
      <c r="M78" s="113" t="str">
        <f t="shared" ref="M78:M85" si="9">CONCATENATE("近三年及一期，拟承租人",B78,"分别为",ROUND(F78/100000000,2),"亿元、",ROUND(G78/100000000,2),"亿元、",ROUND(I78/100000000,2),"亿元及",ROUND(J78/100000000,2),"亿元。")</f>
        <v>近三年及一期，拟承租人    流动负债合计 分别为0亿元、0亿元、0亿元及0亿元。</v>
      </c>
    </row>
    <row r="79" spans="1:13" ht="14.1" customHeight="1">
      <c r="A79" s="113">
        <v>2100</v>
      </c>
      <c r="B79" s="127" t="s">
        <v>243</v>
      </c>
      <c r="C79" s="122"/>
      <c r="D79" s="122"/>
      <c r="E79" s="122"/>
      <c r="F79" s="122"/>
      <c r="G79" s="122"/>
      <c r="H79" s="122"/>
      <c r="I79" s="122"/>
      <c r="J79" s="122"/>
      <c r="L79" t="str">
        <f t="shared" si="8"/>
        <v xml:space="preserve">非流动负债： </v>
      </c>
      <c r="M79" s="113" t="str">
        <f t="shared" si="9"/>
        <v>近三年及一期，拟承租人非流动负债： 分别为0亿元、0亿元、0亿元及0亿元。</v>
      </c>
    </row>
    <row r="80" spans="1:13" ht="14.1" customHeight="1">
      <c r="A80" s="113">
        <v>2101</v>
      </c>
      <c r="B80" s="113" t="s">
        <v>244</v>
      </c>
      <c r="C80" s="122"/>
      <c r="D80" s="122"/>
      <c r="E80" s="122"/>
      <c r="F80" s="122"/>
      <c r="G80" s="122"/>
      <c r="H80" s="122"/>
      <c r="I80" s="122"/>
      <c r="J80" s="122"/>
      <c r="L80" t="str">
        <f t="shared" si="8"/>
        <v xml:space="preserve">  保险合同准备金* </v>
      </c>
      <c r="M80" s="113" t="str">
        <f t="shared" si="9"/>
        <v>近三年及一期，拟承租人  保险合同准备金* 分别为0亿元、0亿元、0亿元及0亿元。</v>
      </c>
    </row>
    <row r="81" spans="1:13" ht="14.1" customHeight="1">
      <c r="A81" s="113">
        <v>2102</v>
      </c>
      <c r="B81" s="113" t="s">
        <v>245</v>
      </c>
      <c r="C81" s="122"/>
      <c r="D81" s="122"/>
      <c r="E81" s="122"/>
      <c r="F81" s="122"/>
      <c r="G81" s="122"/>
      <c r="H81" s="122"/>
      <c r="I81" s="122"/>
      <c r="J81" s="122"/>
      <c r="L81" t="str">
        <f t="shared" si="8"/>
        <v xml:space="preserve">  长期借款 </v>
      </c>
      <c r="M81" s="113" t="str">
        <f t="shared" si="9"/>
        <v>近三年及一期，拟承租人  长期借款 分别为0亿元、0亿元、0亿元及0亿元。</v>
      </c>
    </row>
    <row r="82" spans="1:13" ht="14.1" customHeight="1">
      <c r="A82" s="113">
        <v>2103</v>
      </c>
      <c r="B82" s="113" t="s">
        <v>246</v>
      </c>
      <c r="C82" s="122"/>
      <c r="D82" s="122"/>
      <c r="E82" s="122"/>
      <c r="F82" s="122"/>
      <c r="G82" s="122"/>
      <c r="H82" s="122"/>
      <c r="I82" s="122"/>
      <c r="J82" s="122"/>
      <c r="L82" t="str">
        <f t="shared" si="8"/>
        <v xml:space="preserve">  应付债券 </v>
      </c>
      <c r="M82" s="113" t="str">
        <f t="shared" si="9"/>
        <v>近三年及一期，拟承租人  应付债券 分别为0亿元、0亿元、0亿元及0亿元。</v>
      </c>
    </row>
    <row r="83" spans="1:13" ht="14.1" customHeight="1">
      <c r="A83" s="113">
        <v>210301</v>
      </c>
      <c r="B83" s="113" t="s">
        <v>248</v>
      </c>
      <c r="C83" s="122"/>
      <c r="D83" s="122"/>
      <c r="E83" s="122"/>
      <c r="F83" s="122"/>
      <c r="G83" s="122"/>
      <c r="H83" s="122"/>
      <c r="I83" s="122"/>
      <c r="J83" s="122"/>
      <c r="L83" t="str">
        <f t="shared" si="8"/>
        <v xml:space="preserve">    其中：优先股 </v>
      </c>
      <c r="M83" s="113" t="str">
        <f t="shared" si="9"/>
        <v>近三年及一期，拟承租人    其中：优先股 分别为0亿元、0亿元、0亿元及0亿元。</v>
      </c>
    </row>
    <row r="84" spans="1:13" ht="14.1" customHeight="1">
      <c r="A84" s="113">
        <v>210302</v>
      </c>
      <c r="B84" s="113" t="s">
        <v>249</v>
      </c>
      <c r="C84" s="122"/>
      <c r="D84" s="122"/>
      <c r="E84" s="122"/>
      <c r="F84" s="122"/>
      <c r="G84" s="122"/>
      <c r="H84" s="122"/>
      <c r="I84" s="122"/>
      <c r="J84" s="122"/>
      <c r="L84" t="str">
        <f t="shared" si="8"/>
        <v xml:space="preserve">          永续债 </v>
      </c>
      <c r="M84" s="113" t="str">
        <f t="shared" si="9"/>
        <v>近三年及一期，拟承租人          永续债 分别为0亿元、0亿元、0亿元及0亿元。</v>
      </c>
    </row>
    <row r="85" spans="1:13" ht="14.1" customHeight="1">
      <c r="A85" s="113">
        <v>2104</v>
      </c>
      <c r="B85" s="113" t="s">
        <v>250</v>
      </c>
      <c r="C85" s="122"/>
      <c r="D85" s="122"/>
      <c r="E85" s="122"/>
      <c r="F85" s="122"/>
      <c r="G85" s="122"/>
      <c r="H85" s="122"/>
      <c r="I85" s="122"/>
      <c r="J85" s="122"/>
      <c r="L85" t="str">
        <f t="shared" si="8"/>
        <v xml:space="preserve">  租赁负债 </v>
      </c>
      <c r="M85" s="113" t="str">
        <f t="shared" si="9"/>
        <v>近三年及一期，拟承租人  租赁负债 分别为0亿元、0亿元、0亿元及0亿元。</v>
      </c>
    </row>
    <row r="86" spans="1:13" ht="14.1" customHeight="1">
      <c r="A86" s="113">
        <v>2105</v>
      </c>
      <c r="B86" s="113" t="s">
        <v>251</v>
      </c>
      <c r="C86" s="122"/>
      <c r="D86" s="122"/>
      <c r="E86" s="122"/>
      <c r="F86" s="122"/>
      <c r="G86" s="122"/>
      <c r="H86" s="122"/>
      <c r="I86" s="122"/>
      <c r="J86" s="122"/>
      <c r="M86" s="113"/>
    </row>
    <row r="87" spans="1:13" ht="14.1" customHeight="1">
      <c r="A87" s="113">
        <v>2106</v>
      </c>
      <c r="B87" s="113" t="s">
        <v>252</v>
      </c>
      <c r="C87" s="122"/>
      <c r="D87" s="122"/>
      <c r="E87" s="122"/>
      <c r="F87" s="122"/>
      <c r="G87" s="122"/>
      <c r="H87" s="122"/>
      <c r="I87" s="122"/>
      <c r="J87" s="122"/>
      <c r="M87" s="113"/>
    </row>
    <row r="88" spans="1:13" ht="14.1" customHeight="1">
      <c r="A88" s="113">
        <v>2107</v>
      </c>
      <c r="B88" s="113" t="s">
        <v>253</v>
      </c>
      <c r="C88" s="122"/>
      <c r="D88" s="122"/>
      <c r="E88" s="122"/>
      <c r="F88" s="122"/>
      <c r="G88" s="122"/>
      <c r="H88" s="122"/>
      <c r="I88" s="122"/>
      <c r="J88" s="122"/>
      <c r="M88" s="113"/>
    </row>
    <row r="89" spans="1:13" ht="14.1" customHeight="1">
      <c r="A89" s="113">
        <v>2108</v>
      </c>
      <c r="B89" s="113" t="s">
        <v>254</v>
      </c>
      <c r="C89" s="122"/>
      <c r="D89" s="122"/>
      <c r="E89" s="122"/>
      <c r="F89" s="122"/>
      <c r="G89" s="122"/>
      <c r="H89" s="122"/>
      <c r="I89" s="122"/>
      <c r="J89" s="122"/>
      <c r="M89" s="113"/>
    </row>
    <row r="90" spans="1:13" ht="14.1" customHeight="1">
      <c r="A90" s="113">
        <v>2109</v>
      </c>
      <c r="B90" s="113" t="s">
        <v>255</v>
      </c>
      <c r="C90" s="122"/>
      <c r="D90" s="122"/>
      <c r="E90" s="122"/>
      <c r="F90" s="122"/>
      <c r="G90" s="122"/>
      <c r="H90" s="122"/>
      <c r="I90" s="122"/>
      <c r="J90" s="122"/>
      <c r="M90" s="113"/>
    </row>
    <row r="91" spans="1:13" ht="14.1" customHeight="1">
      <c r="A91" s="113">
        <v>2110</v>
      </c>
      <c r="B91" s="113" t="s">
        <v>256</v>
      </c>
      <c r="C91" s="122"/>
      <c r="D91" s="122"/>
      <c r="E91" s="122"/>
      <c r="F91" s="122"/>
      <c r="G91" s="122"/>
      <c r="H91" s="122"/>
      <c r="I91" s="122"/>
      <c r="J91" s="122"/>
      <c r="M91" s="113"/>
    </row>
    <row r="92" spans="1:13" ht="14.1" customHeight="1">
      <c r="A92" s="113">
        <v>2111</v>
      </c>
      <c r="B92" s="113" t="s">
        <v>257</v>
      </c>
      <c r="C92" s="122"/>
      <c r="D92" s="122"/>
      <c r="E92" s="122"/>
      <c r="F92" s="122"/>
      <c r="G92" s="122"/>
      <c r="H92" s="122"/>
      <c r="I92" s="122"/>
      <c r="J92" s="122"/>
      <c r="M92" s="113"/>
    </row>
    <row r="93" spans="1:13" s="121" customFormat="1" ht="14.1" customHeight="1">
      <c r="A93" s="123">
        <v>2199</v>
      </c>
      <c r="B93" s="123" t="s">
        <v>444</v>
      </c>
      <c r="C93" s="124">
        <f>C81+C82+C85+C86+C87+C88+C89+C90+C91+C92</f>
        <v>0</v>
      </c>
      <c r="D93" s="124">
        <f>D81+D82+D85+D86+D87+D88+D89+D90+D91+D92</f>
        <v>0</v>
      </c>
      <c r="E93" s="124">
        <f t="shared" ref="E93:J93" si="10">E81+E82+E85+E86+E87+E88+E89+E90+E91+E92</f>
        <v>0</v>
      </c>
      <c r="F93" s="124">
        <f t="shared" si="10"/>
        <v>0</v>
      </c>
      <c r="G93" s="124">
        <f t="shared" si="10"/>
        <v>0</v>
      </c>
      <c r="H93" s="124">
        <f t="shared" si="10"/>
        <v>0</v>
      </c>
      <c r="I93" s="124">
        <f t="shared" si="10"/>
        <v>0</v>
      </c>
      <c r="J93" s="124">
        <f t="shared" si="10"/>
        <v>0</v>
      </c>
      <c r="L93" t="str">
        <f t="shared" ref="L93:L101" si="11">B93</f>
        <v xml:space="preserve">    非流动负债合计 </v>
      </c>
      <c r="M93" s="113" t="str">
        <f>CONCATENATE("近三年及一期，拟承租人",B93,"分别为",ROUND(F93/100000000,2),"亿元、",ROUND(G93/100000000,2),"亿元、",ROUND(I93/100000000,2),"亿元及",ROUND(J93/100000000,2),"亿元。")</f>
        <v>近三年及一期，拟承租人    非流动负债合计 分别为0亿元、0亿元、0亿元及0亿元。</v>
      </c>
    </row>
    <row r="94" spans="1:13" s="121" customFormat="1" ht="14.1" customHeight="1">
      <c r="A94" s="123">
        <v>3999</v>
      </c>
      <c r="B94" s="123" t="s">
        <v>445</v>
      </c>
      <c r="C94" s="124">
        <f>C78+C93</f>
        <v>0</v>
      </c>
      <c r="D94" s="124">
        <f>D78+D93</f>
        <v>0</v>
      </c>
      <c r="E94" s="124">
        <f t="shared" ref="E94:J94" si="12">E78+E93</f>
        <v>0</v>
      </c>
      <c r="F94" s="124">
        <f t="shared" si="12"/>
        <v>0</v>
      </c>
      <c r="G94" s="124">
        <f t="shared" si="12"/>
        <v>0</v>
      </c>
      <c r="H94" s="124">
        <f t="shared" si="12"/>
        <v>0</v>
      </c>
      <c r="I94" s="124">
        <f t="shared" si="12"/>
        <v>0</v>
      </c>
      <c r="J94" s="124">
        <f t="shared" si="12"/>
        <v>0</v>
      </c>
      <c r="L94" t="str">
        <f t="shared" si="11"/>
        <v xml:space="preserve">      负债合计 </v>
      </c>
      <c r="M94" s="113" t="str">
        <f>CONCATENATE("近三年及一期，拟承租人总负债分别为",ROUND(F94/100000000,2),"亿元、",ROUND(G94/100000000,2),"亿元、",ROUND(I94/100000000,2),"亿元及",ROUND(J94/100000000,2),"亿元。")</f>
        <v>近三年及一期，拟承租人总负债分别为0亿元、0亿元、0亿元及0亿元。</v>
      </c>
    </row>
    <row r="95" spans="1:13" ht="14.1" customHeight="1">
      <c r="A95" s="113">
        <v>5000</v>
      </c>
      <c r="B95" s="125" t="s">
        <v>258</v>
      </c>
      <c r="C95" s="122"/>
      <c r="D95" s="122"/>
      <c r="E95" s="122"/>
      <c r="F95" s="122"/>
      <c r="G95" s="122"/>
      <c r="H95" s="122"/>
      <c r="I95" s="122"/>
      <c r="J95" s="122"/>
      <c r="L95" t="str">
        <f t="shared" si="11"/>
        <v xml:space="preserve">所有者权益（或股东权益）： </v>
      </c>
      <c r="M95" s="113" t="str">
        <f t="shared" ref="M95:M101" si="13">CONCATENATE("近三年及一期，拟承租人",B95,"分别为",ROUND(F95/100000000,2),"亿元、",ROUND(G95/100000000,2),"亿元、",ROUND(I95/100000000,2),"亿元及",ROUND(J95/100000000,2),"亿元。")</f>
        <v>近三年及一期，拟承租人所有者权益（或股东权益）： 分别为0亿元、0亿元、0亿元及0亿元。</v>
      </c>
    </row>
    <row r="96" spans="1:13" ht="14.1" customHeight="1">
      <c r="A96" s="113">
        <v>5001</v>
      </c>
      <c r="B96" s="113" t="s">
        <v>259</v>
      </c>
      <c r="C96" s="122"/>
      <c r="D96" s="122"/>
      <c r="E96" s="122"/>
      <c r="F96" s="122"/>
      <c r="G96" s="122"/>
      <c r="H96" s="122"/>
      <c r="I96" s="122"/>
      <c r="J96" s="122"/>
      <c r="L96" t="str">
        <f t="shared" si="11"/>
        <v xml:space="preserve">  实收资本（或股本） </v>
      </c>
      <c r="M96" s="113" t="str">
        <f t="shared" si="13"/>
        <v>近三年及一期，拟承租人  实收资本（或股本） 分别为0亿元、0亿元、0亿元及0亿元。</v>
      </c>
    </row>
    <row r="97" spans="1:13" ht="14.1" customHeight="1">
      <c r="A97" s="113">
        <v>5002</v>
      </c>
      <c r="B97" s="113" t="s">
        <v>260</v>
      </c>
      <c r="C97" s="122"/>
      <c r="D97" s="122"/>
      <c r="E97" s="126"/>
      <c r="F97" s="126"/>
      <c r="G97" s="126"/>
      <c r="H97" s="122"/>
      <c r="I97" s="122"/>
      <c r="J97" s="122"/>
      <c r="L97" t="str">
        <f t="shared" si="11"/>
        <v xml:space="preserve">  其他权益工具 </v>
      </c>
      <c r="M97" s="113" t="str">
        <f t="shared" si="13"/>
        <v>近三年及一期，拟承租人  其他权益工具 分别为0亿元、0亿元、0亿元及0亿元。</v>
      </c>
    </row>
    <row r="98" spans="1:13" ht="14.1" customHeight="1">
      <c r="A98" s="113">
        <v>500201</v>
      </c>
      <c r="B98" s="127" t="s">
        <v>247</v>
      </c>
      <c r="C98" s="122"/>
      <c r="D98" s="122"/>
      <c r="E98" s="122"/>
      <c r="F98" s="122"/>
      <c r="G98" s="122"/>
      <c r="H98" s="122"/>
      <c r="I98" s="122"/>
      <c r="J98" s="122"/>
      <c r="L98" t="str">
        <f t="shared" si="11"/>
        <v xml:space="preserve">    其中：优先股 </v>
      </c>
      <c r="M98" s="113" t="str">
        <f t="shared" si="13"/>
        <v>近三年及一期，拟承租人    其中：优先股 分别为0亿元、0亿元、0亿元及0亿元。</v>
      </c>
    </row>
    <row r="99" spans="1:13" ht="14.1" customHeight="1">
      <c r="A99" s="113">
        <v>500202</v>
      </c>
      <c r="B99" s="113" t="s">
        <v>249</v>
      </c>
      <c r="C99" s="122"/>
      <c r="D99" s="122"/>
      <c r="E99" s="122"/>
      <c r="F99" s="122"/>
      <c r="G99" s="122"/>
      <c r="H99" s="122"/>
      <c r="I99" s="122"/>
      <c r="J99" s="122"/>
      <c r="L99" t="str">
        <f t="shared" si="11"/>
        <v xml:space="preserve">          永续债 </v>
      </c>
      <c r="M99" s="113" t="str">
        <f t="shared" si="13"/>
        <v>近三年及一期，拟承租人          永续债 分别为0亿元、0亿元、0亿元及0亿元。</v>
      </c>
    </row>
    <row r="100" spans="1:13" ht="14.1" customHeight="1">
      <c r="A100" s="113">
        <v>5003</v>
      </c>
      <c r="B100" s="113" t="s">
        <v>261</v>
      </c>
      <c r="C100" s="122"/>
      <c r="D100" s="122"/>
      <c r="E100" s="122"/>
      <c r="F100" s="122"/>
      <c r="G100" s="122"/>
      <c r="H100" s="122"/>
      <c r="I100" s="122"/>
      <c r="J100" s="122"/>
      <c r="L100" t="str">
        <f t="shared" si="11"/>
        <v xml:space="preserve">  资本公积 </v>
      </c>
      <c r="M100" s="113" t="str">
        <f t="shared" si="13"/>
        <v>近三年及一期，拟承租人  资本公积 分别为0亿元、0亿元、0亿元及0亿元。</v>
      </c>
    </row>
    <row r="101" spans="1:13" ht="14.1" customHeight="1">
      <c r="A101" s="113">
        <v>5004</v>
      </c>
      <c r="B101" s="113" t="s">
        <v>262</v>
      </c>
      <c r="C101" s="122"/>
      <c r="D101" s="122"/>
      <c r="E101" s="122"/>
      <c r="F101" s="122"/>
      <c r="G101" s="122"/>
      <c r="H101" s="122"/>
      <c r="I101" s="122"/>
      <c r="J101" s="122"/>
      <c r="L101" t="str">
        <f t="shared" si="11"/>
        <v xml:space="preserve">  减：库存股 </v>
      </c>
      <c r="M101" s="113" t="str">
        <f t="shared" si="13"/>
        <v>近三年及一期，拟承租人  减：库存股 分别为0亿元、0亿元、0亿元及0亿元。</v>
      </c>
    </row>
    <row r="102" spans="1:13" ht="14.1" customHeight="1">
      <c r="A102" s="113">
        <v>5005</v>
      </c>
      <c r="B102" s="113" t="s">
        <v>263</v>
      </c>
      <c r="C102" s="122"/>
      <c r="D102" s="122"/>
      <c r="E102" s="122"/>
      <c r="F102" s="122"/>
      <c r="G102" s="122"/>
      <c r="H102" s="122"/>
      <c r="I102" s="122"/>
      <c r="J102" s="122"/>
      <c r="M102" s="113"/>
    </row>
    <row r="103" spans="1:13" ht="14.1" customHeight="1">
      <c r="A103" s="113">
        <v>5006</v>
      </c>
      <c r="B103" s="113" t="s">
        <v>264</v>
      </c>
      <c r="C103" s="122"/>
      <c r="D103" s="122"/>
      <c r="E103" s="122"/>
      <c r="F103" s="122"/>
      <c r="G103" s="122"/>
      <c r="H103" s="122"/>
      <c r="I103" s="122"/>
      <c r="J103" s="122"/>
      <c r="M103" s="113"/>
    </row>
    <row r="104" spans="1:13" ht="14.1" customHeight="1">
      <c r="A104" s="113">
        <v>5007</v>
      </c>
      <c r="B104" s="113" t="s">
        <v>265</v>
      </c>
      <c r="C104" s="122"/>
      <c r="D104" s="122"/>
      <c r="E104" s="122"/>
      <c r="F104" s="122"/>
      <c r="G104" s="122"/>
      <c r="H104" s="122"/>
      <c r="I104" s="122"/>
      <c r="J104" s="122"/>
      <c r="M104" s="113"/>
    </row>
    <row r="105" spans="1:13" ht="14.1" customHeight="1">
      <c r="A105" s="113">
        <v>5008</v>
      </c>
      <c r="B105" s="113" t="s">
        <v>266</v>
      </c>
      <c r="C105" s="122"/>
      <c r="D105" s="122"/>
      <c r="E105" s="122"/>
      <c r="F105" s="122"/>
      <c r="G105" s="122"/>
      <c r="H105" s="122"/>
      <c r="I105" s="122"/>
      <c r="J105" s="122"/>
      <c r="M105" s="113"/>
    </row>
    <row r="106" spans="1:13" ht="14.1" customHeight="1">
      <c r="A106" s="113">
        <v>5009</v>
      </c>
      <c r="B106" s="113" t="s">
        <v>267</v>
      </c>
      <c r="C106" s="122"/>
      <c r="D106" s="122"/>
      <c r="E106" s="122"/>
      <c r="F106" s="122"/>
      <c r="G106" s="122"/>
      <c r="H106" s="122"/>
      <c r="I106" s="122"/>
      <c r="J106" s="122"/>
      <c r="M106" s="113"/>
    </row>
    <row r="107" spans="1:13" s="121" customFormat="1" ht="14.1" customHeight="1">
      <c r="A107" s="123">
        <v>5010</v>
      </c>
      <c r="B107" s="133" t="s">
        <v>268</v>
      </c>
      <c r="C107" s="124">
        <f>C96+C97+C100+C101+C102+C103+C104+C105+C106</f>
        <v>0</v>
      </c>
      <c r="D107" s="124">
        <f>D96+D97+D100+D101+D102+D103+D104+D105+D106</f>
        <v>0</v>
      </c>
      <c r="E107" s="124">
        <f t="shared" ref="E107:J107" si="14">E96+E97+E100+E101+E102+E103+E104+E105+E106</f>
        <v>0</v>
      </c>
      <c r="F107" s="124">
        <f t="shared" si="14"/>
        <v>0</v>
      </c>
      <c r="G107" s="124">
        <f t="shared" si="14"/>
        <v>0</v>
      </c>
      <c r="H107" s="124">
        <f t="shared" si="14"/>
        <v>0</v>
      </c>
      <c r="I107" s="124">
        <f t="shared" si="14"/>
        <v>0</v>
      </c>
      <c r="J107" s="124">
        <f t="shared" si="14"/>
        <v>0</v>
      </c>
      <c r="L107" t="str">
        <f>B107</f>
        <v>归属于母公司所有者权益（或股东权益）合计</v>
      </c>
      <c r="M107" s="113" t="str">
        <f>CONCATENATE("近三年及一期，拟承租人",B107,"分别为",ROUND(F107/100000000,2),"亿元、",ROUND(G107/100000000,2),"亿元、",ROUND(I107/100000000,2),"亿元及",ROUND(J107/100000000,2),"亿元。")</f>
        <v>近三年及一期，拟承租人归属于母公司所有者权益（或股东权益）合计分别为0亿元、0亿元、0亿元及0亿元。</v>
      </c>
    </row>
    <row r="108" spans="1:13" ht="14.1" customHeight="1">
      <c r="A108" s="113">
        <v>5011</v>
      </c>
      <c r="B108" s="113" t="s">
        <v>269</v>
      </c>
      <c r="C108" s="122"/>
      <c r="D108" s="122"/>
      <c r="E108" s="122"/>
      <c r="F108" s="122"/>
      <c r="G108" s="122"/>
      <c r="H108" s="122"/>
      <c r="I108" s="122"/>
      <c r="J108" s="122"/>
      <c r="L108" t="str">
        <f>B108</f>
        <v xml:space="preserve">  少数股东权益 </v>
      </c>
      <c r="M108" s="113" t="str">
        <f>CONCATENATE("近三年及一期，拟承租人",B108,"分别为",ROUND(F108/100000000,2),"亿元、",ROUND(G108/100000000,2),"亿元、",ROUND(I108/100000000,2),"亿元及",ROUND(J108/100000000,2),"亿元。")</f>
        <v>近三年及一期，拟承租人  少数股东权益 分别为0亿元、0亿元、0亿元及0亿元。</v>
      </c>
    </row>
    <row r="109" spans="1:13" s="121" customFormat="1" ht="14.1" customHeight="1">
      <c r="A109" s="123">
        <v>5099</v>
      </c>
      <c r="B109" s="123" t="s">
        <v>446</v>
      </c>
      <c r="C109" s="124">
        <f>C107+C108</f>
        <v>0</v>
      </c>
      <c r="D109" s="124">
        <f>D107+D108</f>
        <v>0</v>
      </c>
      <c r="E109" s="124">
        <f t="shared" ref="E109:J109" si="15">E107+E108</f>
        <v>0</v>
      </c>
      <c r="F109" s="124">
        <f t="shared" si="15"/>
        <v>0</v>
      </c>
      <c r="G109" s="124">
        <f t="shared" si="15"/>
        <v>0</v>
      </c>
      <c r="H109" s="124">
        <f t="shared" si="15"/>
        <v>0</v>
      </c>
      <c r="I109" s="124">
        <f t="shared" si="15"/>
        <v>0</v>
      </c>
      <c r="J109" s="124">
        <f t="shared" si="15"/>
        <v>0</v>
      </c>
      <c r="L109" t="str">
        <f>B109</f>
        <v xml:space="preserve">  所有者权益（或股东权益）合计 </v>
      </c>
      <c r="M109" s="113" t="str">
        <f>CONCATENATE("近三年及一期，拟承租人",B109,"分别为",ROUND(F109/100000000,2),"亿元、",ROUND(G109/100000000,2),"亿元、",ROUND(I109/100000000,2),"亿元及",ROUND(J109/100000000,2),"亿元。")</f>
        <v>近三年及一期，拟承租人  所有者权益（或股东权益）合计 分别为0亿元、0亿元、0亿元及0亿元。</v>
      </c>
    </row>
    <row r="110" spans="1:13" s="121" customFormat="1" ht="14.1" customHeight="1">
      <c r="A110" s="123">
        <v>5999</v>
      </c>
      <c r="B110" s="123" t="s">
        <v>447</v>
      </c>
      <c r="C110" s="124">
        <f>C94+C109</f>
        <v>0</v>
      </c>
      <c r="D110" s="124">
        <f>D94+D109</f>
        <v>0</v>
      </c>
      <c r="E110" s="124">
        <f t="shared" ref="E110:J110" si="16">E94+E109</f>
        <v>0</v>
      </c>
      <c r="F110" s="124">
        <f t="shared" si="16"/>
        <v>0</v>
      </c>
      <c r="G110" s="124">
        <f t="shared" si="16"/>
        <v>0</v>
      </c>
      <c r="H110" s="124">
        <f t="shared" si="16"/>
        <v>0</v>
      </c>
      <c r="I110" s="124">
        <f t="shared" si="16"/>
        <v>0</v>
      </c>
      <c r="J110" s="124">
        <f t="shared" si="16"/>
        <v>0</v>
      </c>
      <c r="L110" t="str">
        <f>B110</f>
        <v xml:space="preserve"> 负债和所有者权益（或股东权益）总计 </v>
      </c>
      <c r="M110" s="113" t="str">
        <f>CONCATENATE("近三年及一期，拟承租人",B110,"分别为",ROUND(F110/100000000,2),"亿元、",ROUND(G110/100000000,2),"亿元、",ROUND(I110/100000000,2),"亿元及",ROUND(J110/100000000,2),"亿元。")</f>
        <v>近三年及一期，拟承租人 负债和所有者权益（或股东权益）总计 分别为0亿元、0亿元、0亿元及0亿元。</v>
      </c>
    </row>
    <row r="111" spans="1:13">
      <c r="C111" s="128">
        <f t="shared" ref="C111:J111" si="17">C110-C53</f>
        <v>0</v>
      </c>
      <c r="D111" s="128">
        <f t="shared" si="17"/>
        <v>0</v>
      </c>
      <c r="E111" s="128">
        <f t="shared" si="17"/>
        <v>0</v>
      </c>
      <c r="F111" s="128">
        <f t="shared" si="17"/>
        <v>0</v>
      </c>
      <c r="G111" s="128">
        <f t="shared" si="17"/>
        <v>0</v>
      </c>
      <c r="H111" s="128">
        <f t="shared" si="17"/>
        <v>0</v>
      </c>
      <c r="I111" s="128">
        <f t="shared" si="17"/>
        <v>0</v>
      </c>
      <c r="J111" s="128">
        <f t="shared" si="17"/>
        <v>0</v>
      </c>
    </row>
  </sheetData>
  <autoFilter ref="A1:H111" xr:uid="{00000000-0009-0000-0000-000000000000}"/>
  <customSheetViews>
    <customSheetView guid="{EFE5EB9F-962C-4232-9E60-22B2AE19D01B}" scale="115">
      <pane xSplit="1" ySplit="1" topLeftCell="B2" state="frozen"/>
      <selection activeCell="D27" sqref="D27"/>
      <pageMargins left="0.75" right="0.75" top="1" bottom="1" header="0.5" footer="0.5"/>
      <pageSetup orientation="portrait" horizontalDpi="300" verticalDpi="300"/>
      <headerFooter alignWithMargins="0"/>
    </customSheetView>
  </customSheetViews>
  <phoneticPr fontId="37" type="noConversion"/>
  <pageMargins left="0.75" right="0.75" top="1" bottom="1" header="0.5" footer="0.5"/>
  <pageSetup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indexed="13"/>
  </sheetPr>
  <dimension ref="A1:J70"/>
  <sheetViews>
    <sheetView zoomScale="145" zoomScaleNormal="145" workbookViewId="0">
      <pane xSplit="1" ySplit="1" topLeftCell="B36" activePane="bottomRight" state="frozen"/>
      <selection pane="topRight"/>
      <selection pane="bottomLeft"/>
      <selection pane="bottomRight" activeCell="D72" sqref="D72"/>
    </sheetView>
  </sheetViews>
  <sheetFormatPr defaultColWidth="9" defaultRowHeight="12.75"/>
  <cols>
    <col min="1" max="1" width="8.5703125" customWidth="1"/>
    <col min="2" max="2" width="52.7109375" bestFit="1" customWidth="1"/>
    <col min="3" max="3" width="11.42578125" bestFit="1" customWidth="1"/>
    <col min="4" max="4" width="15.140625" style="118" customWidth="1"/>
    <col min="5" max="5" width="15.140625" customWidth="1"/>
    <col min="6" max="7" width="16.42578125" customWidth="1"/>
    <col min="8" max="8" width="17" customWidth="1"/>
    <col min="9" max="9" width="9.5703125" bestFit="1" customWidth="1"/>
    <col min="10" max="10" width="15.5703125" customWidth="1"/>
  </cols>
  <sheetData>
    <row r="1" spans="1:10" ht="22.15" customHeight="1">
      <c r="A1" s="110" t="s">
        <v>0</v>
      </c>
      <c r="B1" s="110" t="s">
        <v>1</v>
      </c>
      <c r="C1" s="110" t="s">
        <v>69</v>
      </c>
      <c r="D1" s="111">
        <v>43100</v>
      </c>
      <c r="E1" s="111">
        <v>43465</v>
      </c>
      <c r="F1" s="111">
        <v>44196</v>
      </c>
      <c r="G1" s="111">
        <v>44561</v>
      </c>
      <c r="H1" s="112">
        <v>44530</v>
      </c>
      <c r="I1" s="112">
        <v>44926</v>
      </c>
      <c r="J1" s="111" t="s">
        <v>217</v>
      </c>
    </row>
    <row r="2" spans="1:10" ht="14.1" customHeight="1">
      <c r="A2" s="127">
        <v>6100</v>
      </c>
      <c r="B2" s="127" t="s">
        <v>270</v>
      </c>
      <c r="C2" s="119">
        <f t="shared" ref="C2:I2" si="0">C3+C4+C5+C6+C7</f>
        <v>0</v>
      </c>
      <c r="D2" s="119">
        <f t="shared" si="0"/>
        <v>0</v>
      </c>
      <c r="E2" s="119">
        <f t="shared" si="0"/>
        <v>0</v>
      </c>
      <c r="F2" s="119">
        <f t="shared" si="0"/>
        <v>0</v>
      </c>
      <c r="G2" s="119">
        <f t="shared" si="0"/>
        <v>0</v>
      </c>
      <c r="H2" s="119">
        <f t="shared" si="0"/>
        <v>0</v>
      </c>
      <c r="I2" s="119">
        <f t="shared" si="0"/>
        <v>0</v>
      </c>
      <c r="J2" s="119">
        <f>J3+J4+J5+J6+J7</f>
        <v>0</v>
      </c>
    </row>
    <row r="3" spans="1:10" ht="14.1" customHeight="1">
      <c r="A3" s="127">
        <v>6101</v>
      </c>
      <c r="B3" s="127" t="s">
        <v>271</v>
      </c>
      <c r="D3"/>
      <c r="J3" s="118"/>
    </row>
    <row r="4" spans="1:10" ht="14.1" customHeight="1">
      <c r="A4" s="127">
        <v>6102</v>
      </c>
      <c r="B4" s="127" t="s">
        <v>272</v>
      </c>
      <c r="D4"/>
      <c r="J4" s="120"/>
    </row>
    <row r="5" spans="1:10" ht="14.1" customHeight="1">
      <c r="A5" s="127">
        <v>6103</v>
      </c>
      <c r="B5" s="127" t="s">
        <v>273</v>
      </c>
      <c r="D5"/>
      <c r="J5" s="120"/>
    </row>
    <row r="6" spans="1:10" ht="14.1" customHeight="1">
      <c r="A6" s="127">
        <v>6104</v>
      </c>
      <c r="B6" s="127" t="s">
        <v>274</v>
      </c>
      <c r="D6"/>
      <c r="J6" s="120"/>
    </row>
    <row r="7" spans="1:10" ht="14.1" customHeight="1">
      <c r="A7" s="127">
        <v>6105</v>
      </c>
      <c r="B7" s="127" t="s">
        <v>275</v>
      </c>
      <c r="D7"/>
      <c r="J7" s="120"/>
    </row>
    <row r="8" spans="1:10" ht="14.1" customHeight="1">
      <c r="A8" s="127">
        <v>6200</v>
      </c>
      <c r="B8" s="127" t="s">
        <v>276</v>
      </c>
      <c r="D8"/>
      <c r="J8" s="120"/>
    </row>
    <row r="9" spans="1:10" ht="14.1" customHeight="1">
      <c r="A9" s="127">
        <v>6201</v>
      </c>
      <c r="B9" s="127" t="s">
        <v>277</v>
      </c>
      <c r="C9" s="119">
        <f t="shared" ref="C9:I9" si="1">C10+C11</f>
        <v>0</v>
      </c>
      <c r="D9" s="119">
        <f t="shared" si="1"/>
        <v>0</v>
      </c>
      <c r="E9" s="119">
        <f t="shared" si="1"/>
        <v>0</v>
      </c>
      <c r="F9" s="119">
        <f t="shared" si="1"/>
        <v>0</v>
      </c>
      <c r="G9" s="119">
        <f t="shared" si="1"/>
        <v>0</v>
      </c>
      <c r="H9" s="119">
        <f t="shared" si="1"/>
        <v>0</v>
      </c>
      <c r="I9" s="119">
        <f t="shared" si="1"/>
        <v>0</v>
      </c>
      <c r="J9" s="119">
        <f>J10+J11</f>
        <v>0</v>
      </c>
    </row>
    <row r="10" spans="1:10" ht="14.1" customHeight="1">
      <c r="A10" s="127">
        <v>620101</v>
      </c>
      <c r="B10" s="127" t="s">
        <v>278</v>
      </c>
      <c r="D10"/>
      <c r="J10" s="120"/>
    </row>
    <row r="11" spans="1:10" ht="14.1" customHeight="1">
      <c r="A11" s="127">
        <v>620102</v>
      </c>
      <c r="B11" s="127" t="s">
        <v>279</v>
      </c>
      <c r="D11"/>
      <c r="J11" s="120"/>
    </row>
    <row r="12" spans="1:10" ht="14.1" customHeight="1">
      <c r="A12" s="127">
        <v>6202</v>
      </c>
      <c r="B12" s="127" t="s">
        <v>280</v>
      </c>
      <c r="D12"/>
      <c r="J12" s="120"/>
    </row>
    <row r="13" spans="1:10" ht="14.1" customHeight="1">
      <c r="A13" s="127">
        <v>6203</v>
      </c>
      <c r="B13" s="127" t="s">
        <v>281</v>
      </c>
      <c r="D13"/>
      <c r="J13" s="120"/>
    </row>
    <row r="14" spans="1:10" ht="13.5" customHeight="1">
      <c r="A14" s="127">
        <v>6204</v>
      </c>
      <c r="B14" s="127" t="s">
        <v>282</v>
      </c>
      <c r="D14"/>
      <c r="J14" s="120"/>
    </row>
    <row r="15" spans="1:10" ht="13.5" customHeight="1">
      <c r="A15" s="127">
        <v>6205</v>
      </c>
      <c r="B15" s="127" t="s">
        <v>283</v>
      </c>
      <c r="D15"/>
      <c r="J15" s="120"/>
    </row>
    <row r="16" spans="1:10" ht="14.1" customHeight="1">
      <c r="A16" s="127">
        <v>6206</v>
      </c>
      <c r="B16" s="127" t="s">
        <v>284</v>
      </c>
      <c r="D16"/>
      <c r="J16" s="120"/>
    </row>
    <row r="17" spans="1:10" ht="14.1" customHeight="1">
      <c r="A17" s="127">
        <v>6207</v>
      </c>
      <c r="B17" s="127" t="s">
        <v>285</v>
      </c>
      <c r="D17"/>
      <c r="J17" s="120"/>
    </row>
    <row r="18" spans="1:10" ht="14.1" customHeight="1">
      <c r="A18" s="127">
        <v>6208</v>
      </c>
      <c r="B18" s="127" t="s">
        <v>286</v>
      </c>
      <c r="D18"/>
      <c r="J18" s="120"/>
    </row>
    <row r="19" spans="1:10" ht="14.1" customHeight="1">
      <c r="A19" s="127">
        <v>6209</v>
      </c>
      <c r="B19" s="127" t="s">
        <v>287</v>
      </c>
      <c r="D19"/>
      <c r="J19" s="120"/>
    </row>
    <row r="20" spans="1:10" ht="14.1" customHeight="1">
      <c r="A20" s="127">
        <v>6210</v>
      </c>
      <c r="B20" s="127" t="s">
        <v>288</v>
      </c>
      <c r="D20"/>
      <c r="J20" s="120"/>
    </row>
    <row r="21" spans="1:10" ht="14.1" customHeight="1">
      <c r="A21" s="127">
        <v>6211</v>
      </c>
      <c r="B21" s="127" t="s">
        <v>289</v>
      </c>
      <c r="D21"/>
      <c r="J21" s="120"/>
    </row>
    <row r="22" spans="1:10" ht="14.1" customHeight="1">
      <c r="A22" s="127">
        <v>6212</v>
      </c>
      <c r="B22" s="127" t="s">
        <v>290</v>
      </c>
      <c r="D22"/>
      <c r="J22" s="120"/>
    </row>
    <row r="23" spans="1:10" ht="14.1" customHeight="1">
      <c r="A23" s="127">
        <v>6213</v>
      </c>
      <c r="B23" s="127" t="s">
        <v>291</v>
      </c>
      <c r="D23"/>
      <c r="J23" s="120"/>
    </row>
    <row r="24" spans="1:10" ht="14.1" customHeight="1">
      <c r="A24" s="127">
        <v>621301</v>
      </c>
      <c r="B24" s="127" t="s">
        <v>292</v>
      </c>
      <c r="D24"/>
      <c r="J24" s="120"/>
    </row>
    <row r="25" spans="1:10" ht="14.1" customHeight="1">
      <c r="A25" s="127">
        <v>621302</v>
      </c>
      <c r="B25" s="127" t="s">
        <v>293</v>
      </c>
      <c r="D25"/>
      <c r="J25" s="120"/>
    </row>
    <row r="26" spans="1:10" ht="14.1" customHeight="1">
      <c r="A26" s="127">
        <v>6214</v>
      </c>
      <c r="B26" s="127" t="s">
        <v>294</v>
      </c>
      <c r="D26"/>
      <c r="J26" s="120"/>
    </row>
    <row r="27" spans="1:10" ht="14.1" customHeight="1">
      <c r="A27" s="127">
        <v>6215</v>
      </c>
      <c r="B27" s="127" t="s">
        <v>295</v>
      </c>
      <c r="D27"/>
      <c r="J27" s="120"/>
    </row>
    <row r="28" spans="1:10" ht="14.1" customHeight="1">
      <c r="A28" s="127">
        <v>621501</v>
      </c>
      <c r="B28" s="127" t="s">
        <v>296</v>
      </c>
      <c r="D28"/>
      <c r="J28" s="120"/>
    </row>
    <row r="29" spans="1:10" ht="14.1" customHeight="1">
      <c r="A29" s="127">
        <v>621502</v>
      </c>
      <c r="B29" s="127" t="s">
        <v>297</v>
      </c>
      <c r="C29" s="116"/>
      <c r="E29" s="118"/>
      <c r="F29" s="118"/>
      <c r="G29" s="118"/>
      <c r="H29" s="118"/>
      <c r="I29" s="118"/>
      <c r="J29" s="118"/>
    </row>
    <row r="30" spans="1:10" ht="14.1" customHeight="1">
      <c r="A30" s="127">
        <v>6216</v>
      </c>
      <c r="B30" s="127" t="s">
        <v>298</v>
      </c>
      <c r="C30" s="116"/>
      <c r="D30" s="120"/>
      <c r="E30" s="120"/>
      <c r="F30" s="120"/>
      <c r="G30" s="120"/>
      <c r="H30" s="120"/>
      <c r="I30" s="120"/>
      <c r="J30" s="120"/>
    </row>
    <row r="31" spans="1:10" ht="14.1" customHeight="1">
      <c r="A31" s="127">
        <v>6217</v>
      </c>
      <c r="B31" s="127" t="s">
        <v>299</v>
      </c>
      <c r="D31"/>
      <c r="J31" s="118"/>
    </row>
    <row r="32" spans="1:10" ht="14.1" customHeight="1">
      <c r="A32" s="127">
        <v>6218</v>
      </c>
      <c r="B32" s="127" t="s">
        <v>300</v>
      </c>
      <c r="D32"/>
      <c r="J32" s="120"/>
    </row>
    <row r="33" spans="1:10" ht="14.1" customHeight="1">
      <c r="A33" s="127">
        <v>6219</v>
      </c>
      <c r="B33" s="127" t="s">
        <v>301</v>
      </c>
      <c r="D33"/>
      <c r="J33" s="120"/>
    </row>
    <row r="34" spans="1:10" ht="14.1" customHeight="1">
      <c r="A34" s="127">
        <v>6220</v>
      </c>
      <c r="B34" s="127" t="s">
        <v>302</v>
      </c>
      <c r="D34"/>
      <c r="J34" s="120"/>
    </row>
    <row r="35" spans="1:10" ht="14.1" customHeight="1">
      <c r="A35" s="127">
        <v>6221</v>
      </c>
      <c r="B35" s="127" t="s">
        <v>303</v>
      </c>
      <c r="D35"/>
      <c r="J35" s="120"/>
    </row>
    <row r="36" spans="1:10" ht="14.1" customHeight="1">
      <c r="A36" s="127">
        <v>6300</v>
      </c>
      <c r="B36" s="127" t="s">
        <v>304</v>
      </c>
      <c r="C36" s="119">
        <f t="shared" ref="C36:I36" si="2">C2-C9-C12-C13-C14-C15-C16-C17-C18-C19-C20-C21-C22-C23+C25+C26+C27+C30+C31+C32+C33+C34+C35</f>
        <v>0</v>
      </c>
      <c r="D36" s="119">
        <f t="shared" si="2"/>
        <v>0</v>
      </c>
      <c r="E36" s="119">
        <f t="shared" si="2"/>
        <v>0</v>
      </c>
      <c r="F36" s="119">
        <f t="shared" si="2"/>
        <v>0</v>
      </c>
      <c r="G36" s="119">
        <f t="shared" si="2"/>
        <v>0</v>
      </c>
      <c r="H36" s="119">
        <f t="shared" si="2"/>
        <v>0</v>
      </c>
      <c r="I36" s="119">
        <f t="shared" si="2"/>
        <v>0</v>
      </c>
      <c r="J36" s="119">
        <f>J2-J9-J12-J13-J14-J15-J16-J17-J18-J19-J20-J21-J22-J23+J25+J26+J27+J30+J31+J32+J33+J34+J35</f>
        <v>0</v>
      </c>
    </row>
    <row r="37" spans="1:10" ht="14.1" customHeight="1">
      <c r="A37" s="127">
        <v>6301</v>
      </c>
      <c r="B37" s="127" t="s">
        <v>305</v>
      </c>
      <c r="D37"/>
      <c r="J37" s="120"/>
    </row>
    <row r="38" spans="1:10" ht="14.1" customHeight="1">
      <c r="A38" s="127">
        <v>6302</v>
      </c>
      <c r="B38" s="127" t="s">
        <v>306</v>
      </c>
      <c r="D38"/>
      <c r="J38" s="120"/>
    </row>
    <row r="39" spans="1:10" ht="14.1" customHeight="1">
      <c r="A39" s="127">
        <v>6400</v>
      </c>
      <c r="B39" s="127" t="s">
        <v>307</v>
      </c>
      <c r="C39" s="119">
        <f t="shared" ref="C39:I39" si="3">C36+C37-C38</f>
        <v>0</v>
      </c>
      <c r="D39" s="119">
        <f t="shared" si="3"/>
        <v>0</v>
      </c>
      <c r="E39" s="119">
        <f t="shared" si="3"/>
        <v>0</v>
      </c>
      <c r="F39" s="119">
        <f t="shared" si="3"/>
        <v>0</v>
      </c>
      <c r="G39" s="119">
        <f t="shared" si="3"/>
        <v>0</v>
      </c>
      <c r="H39" s="119">
        <f t="shared" si="3"/>
        <v>0</v>
      </c>
      <c r="I39" s="119">
        <f t="shared" si="3"/>
        <v>0</v>
      </c>
      <c r="J39" s="119">
        <f>J36+J37-J38</f>
        <v>0</v>
      </c>
    </row>
    <row r="40" spans="1:10" ht="14.1" customHeight="1">
      <c r="A40" s="127">
        <v>6401</v>
      </c>
      <c r="B40" s="127" t="s">
        <v>308</v>
      </c>
      <c r="D40"/>
      <c r="J40" s="120"/>
    </row>
    <row r="41" spans="1:10" ht="14.1" customHeight="1">
      <c r="A41" s="127">
        <v>6500</v>
      </c>
      <c r="B41" s="127" t="s">
        <v>309</v>
      </c>
      <c r="C41" s="119">
        <f t="shared" ref="C41:I41" si="4">C39-C40</f>
        <v>0</v>
      </c>
      <c r="D41" s="119">
        <f t="shared" si="4"/>
        <v>0</v>
      </c>
      <c r="E41" s="119">
        <f t="shared" si="4"/>
        <v>0</v>
      </c>
      <c r="F41" s="119">
        <f t="shared" si="4"/>
        <v>0</v>
      </c>
      <c r="G41" s="119">
        <f t="shared" si="4"/>
        <v>0</v>
      </c>
      <c r="H41" s="119">
        <f t="shared" si="4"/>
        <v>0</v>
      </c>
      <c r="I41" s="119">
        <f t="shared" si="4"/>
        <v>0</v>
      </c>
      <c r="J41" s="119">
        <f>J39-J40</f>
        <v>0</v>
      </c>
    </row>
    <row r="42" spans="1:10" ht="14.1" customHeight="1">
      <c r="A42" s="127">
        <v>6501</v>
      </c>
      <c r="B42" s="127" t="s">
        <v>310</v>
      </c>
      <c r="D42"/>
      <c r="J42" s="120"/>
    </row>
    <row r="43" spans="1:10" ht="14.1" customHeight="1">
      <c r="A43" s="127">
        <v>650101</v>
      </c>
      <c r="B43" s="127" t="s">
        <v>311</v>
      </c>
      <c r="D43"/>
      <c r="J43" s="120"/>
    </row>
    <row r="44" spans="1:10" ht="14.1" customHeight="1">
      <c r="A44" s="127">
        <v>650102</v>
      </c>
      <c r="B44" s="127" t="s">
        <v>312</v>
      </c>
      <c r="D44"/>
      <c r="J44" s="120"/>
    </row>
    <row r="45" spans="1:10" ht="14.1" customHeight="1">
      <c r="A45" s="127">
        <v>6502</v>
      </c>
      <c r="B45" s="127" t="s">
        <v>313</v>
      </c>
      <c r="D45"/>
      <c r="J45" s="120"/>
    </row>
    <row r="46" spans="1:10" ht="14.1" customHeight="1">
      <c r="A46" s="127">
        <v>650201</v>
      </c>
      <c r="B46" s="127" t="s">
        <v>314</v>
      </c>
      <c r="D46"/>
      <c r="J46" s="120"/>
    </row>
    <row r="47" spans="1:10">
      <c r="A47" s="127">
        <v>650202</v>
      </c>
      <c r="B47" s="127" t="s">
        <v>315</v>
      </c>
      <c r="D47"/>
    </row>
    <row r="48" spans="1:10">
      <c r="A48" s="127">
        <v>6600</v>
      </c>
      <c r="B48" s="127" t="s">
        <v>316</v>
      </c>
      <c r="D48"/>
    </row>
    <row r="49" spans="1:4">
      <c r="A49" s="127">
        <v>6601</v>
      </c>
      <c r="B49" s="127" t="s">
        <v>317</v>
      </c>
      <c r="D49"/>
    </row>
    <row r="50" spans="1:4">
      <c r="A50" s="127">
        <v>660101</v>
      </c>
      <c r="B50" s="127" t="s">
        <v>318</v>
      </c>
      <c r="D50"/>
    </row>
    <row r="51" spans="1:4">
      <c r="A51" s="127">
        <v>66010101</v>
      </c>
      <c r="B51" s="127" t="s">
        <v>319</v>
      </c>
      <c r="D51"/>
    </row>
    <row r="52" spans="1:4">
      <c r="A52" s="127">
        <v>66010102</v>
      </c>
      <c r="B52" s="127" t="s">
        <v>320</v>
      </c>
      <c r="D52"/>
    </row>
    <row r="53" spans="1:4">
      <c r="A53" s="127">
        <v>66010103</v>
      </c>
      <c r="B53" s="127" t="s">
        <v>321</v>
      </c>
      <c r="D53"/>
    </row>
    <row r="54" spans="1:4">
      <c r="A54" s="127">
        <v>66010104</v>
      </c>
      <c r="B54" s="127" t="s">
        <v>322</v>
      </c>
      <c r="D54"/>
    </row>
    <row r="55" spans="1:4">
      <c r="A55" s="127">
        <v>66010105</v>
      </c>
      <c r="B55" s="127" t="s">
        <v>323</v>
      </c>
    </row>
    <row r="56" spans="1:4">
      <c r="A56" s="127">
        <v>660102</v>
      </c>
      <c r="B56" s="127" t="s">
        <v>324</v>
      </c>
    </row>
    <row r="57" spans="1:4">
      <c r="A57" s="127">
        <v>66010201</v>
      </c>
      <c r="B57" s="127" t="s">
        <v>325</v>
      </c>
    </row>
    <row r="58" spans="1:4">
      <c r="A58" s="127">
        <v>66010202</v>
      </c>
      <c r="B58" s="127" t="s">
        <v>326</v>
      </c>
    </row>
    <row r="59" spans="1:4">
      <c r="A59" s="127">
        <v>66010203</v>
      </c>
      <c r="B59" s="127" t="s">
        <v>327</v>
      </c>
    </row>
    <row r="60" spans="1:4">
      <c r="A60" s="127">
        <v>66010204</v>
      </c>
      <c r="B60" s="127" t="s">
        <v>328</v>
      </c>
    </row>
    <row r="61" spans="1:4">
      <c r="A61" s="127">
        <v>66010205</v>
      </c>
      <c r="B61" s="127" t="s">
        <v>329</v>
      </c>
    </row>
    <row r="62" spans="1:4">
      <c r="A62" s="127">
        <v>66010206</v>
      </c>
      <c r="B62" s="127" t="s">
        <v>330</v>
      </c>
    </row>
    <row r="63" spans="1:4">
      <c r="A63" s="127">
        <v>66010207</v>
      </c>
      <c r="B63" s="127" t="s">
        <v>331</v>
      </c>
    </row>
    <row r="64" spans="1:4">
      <c r="A64" s="127">
        <v>6602</v>
      </c>
      <c r="B64" s="127" t="s">
        <v>332</v>
      </c>
    </row>
    <row r="65" spans="1:10">
      <c r="A65" s="127">
        <v>6700</v>
      </c>
      <c r="B65" s="127" t="s">
        <v>333</v>
      </c>
      <c r="C65" s="119">
        <f t="shared" ref="C65:I65" si="5">C41+C48</f>
        <v>0</v>
      </c>
      <c r="D65" s="119">
        <f t="shared" si="5"/>
        <v>0</v>
      </c>
      <c r="E65" s="119">
        <f t="shared" si="5"/>
        <v>0</v>
      </c>
      <c r="F65" s="119">
        <f t="shared" si="5"/>
        <v>0</v>
      </c>
      <c r="G65" s="119">
        <f t="shared" si="5"/>
        <v>0</v>
      </c>
      <c r="H65" s="119">
        <f t="shared" si="5"/>
        <v>0</v>
      </c>
      <c r="I65" s="119">
        <f t="shared" si="5"/>
        <v>0</v>
      </c>
      <c r="J65" s="119">
        <f>J41+J48</f>
        <v>0</v>
      </c>
    </row>
    <row r="66" spans="1:10">
      <c r="A66" s="127">
        <v>6701</v>
      </c>
      <c r="B66" s="127" t="s">
        <v>334</v>
      </c>
      <c r="C66" s="159"/>
      <c r="D66" s="160"/>
      <c r="E66" s="159"/>
      <c r="F66" s="159"/>
      <c r="G66" s="159"/>
      <c r="H66" s="159"/>
      <c r="I66" s="159"/>
      <c r="J66" s="159"/>
    </row>
    <row r="67" spans="1:10">
      <c r="A67" s="127">
        <v>6702</v>
      </c>
      <c r="B67" s="127" t="s">
        <v>335</v>
      </c>
      <c r="C67" s="159"/>
      <c r="D67" s="160"/>
      <c r="E67" s="159"/>
      <c r="F67" s="159"/>
      <c r="G67" s="159"/>
      <c r="H67" s="159"/>
      <c r="I67" s="159"/>
      <c r="J67" s="159"/>
    </row>
    <row r="68" spans="1:10">
      <c r="A68" s="127">
        <v>6800</v>
      </c>
      <c r="B68" s="127" t="s">
        <v>336</v>
      </c>
    </row>
    <row r="69" spans="1:10">
      <c r="A69" s="127">
        <v>6801</v>
      </c>
      <c r="B69" s="127" t="s">
        <v>337</v>
      </c>
    </row>
    <row r="70" spans="1:10">
      <c r="A70" s="127">
        <v>6802</v>
      </c>
      <c r="B70" s="127" t="s">
        <v>338</v>
      </c>
    </row>
  </sheetData>
  <autoFilter ref="A1:H46" xr:uid="{00000000-0009-0000-0000-000001000000}"/>
  <customSheetViews>
    <customSheetView guid="{EFE5EB9F-962C-4232-9E60-22B2AE19D01B}" scale="115">
      <pane xSplit="1" ySplit="1" topLeftCell="B2" state="frozen"/>
      <selection activeCell="C5" sqref="C5"/>
      <pageMargins left="0.75" right="0.75" top="1" bottom="1" header="0.5" footer="0.5"/>
      <pageSetup paperSize="9" orientation="portrait"/>
      <headerFooter alignWithMargins="0"/>
    </customSheetView>
  </customSheetViews>
  <phoneticPr fontId="37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13"/>
  </sheetPr>
  <dimension ref="A1:I57"/>
  <sheetViews>
    <sheetView workbookViewId="0">
      <pane xSplit="1" ySplit="1" topLeftCell="B23" activePane="bottomRight" state="frozen"/>
      <selection pane="topRight"/>
      <selection pane="bottomLeft"/>
      <selection pane="bottomRight" activeCell="C57" sqref="C57:I57"/>
    </sheetView>
  </sheetViews>
  <sheetFormatPr defaultColWidth="9" defaultRowHeight="12.75"/>
  <cols>
    <col min="1" max="1" width="8.5703125" style="135" customWidth="1"/>
    <col min="2" max="2" width="48.5703125" customWidth="1"/>
    <col min="3" max="4" width="15.140625" bestFit="1" customWidth="1"/>
    <col min="5" max="5" width="16.28515625" customWidth="1"/>
    <col min="6" max="7" width="15.140625" bestFit="1" customWidth="1"/>
    <col min="8" max="8" width="20.85546875" customWidth="1"/>
    <col min="9" max="9" width="14.28515625"/>
  </cols>
  <sheetData>
    <row r="1" spans="1:9" ht="22.15" customHeight="1">
      <c r="A1" s="134" t="s">
        <v>0</v>
      </c>
      <c r="B1" s="110" t="s">
        <v>1</v>
      </c>
      <c r="C1" s="111">
        <v>43100</v>
      </c>
      <c r="D1" s="111">
        <v>43465</v>
      </c>
      <c r="E1" s="111">
        <v>44196</v>
      </c>
      <c r="F1" s="111">
        <v>44561</v>
      </c>
      <c r="G1" s="112">
        <v>44530</v>
      </c>
      <c r="H1" s="111">
        <v>44926</v>
      </c>
      <c r="I1" s="111">
        <v>44957</v>
      </c>
    </row>
    <row r="2" spans="1:9" ht="14.1" customHeight="1">
      <c r="A2" s="113">
        <v>7101</v>
      </c>
      <c r="B2" s="127" t="s">
        <v>339</v>
      </c>
      <c r="C2" s="114"/>
      <c r="D2" s="115"/>
      <c r="E2" s="115"/>
      <c r="F2" s="115"/>
      <c r="G2" s="114"/>
      <c r="H2" s="114"/>
      <c r="I2" s="114"/>
    </row>
    <row r="3" spans="1:9" ht="14.1" customHeight="1">
      <c r="A3" s="113">
        <v>710101</v>
      </c>
      <c r="B3" s="127" t="s">
        <v>340</v>
      </c>
      <c r="C3" s="116"/>
      <c r="D3" s="116"/>
      <c r="E3" s="116"/>
      <c r="F3" s="116"/>
      <c r="G3" s="116"/>
      <c r="H3" s="116"/>
      <c r="I3" s="116"/>
    </row>
    <row r="4" spans="1:9" ht="14.1" customHeight="1">
      <c r="A4" s="113">
        <v>710102</v>
      </c>
      <c r="B4" s="127" t="s">
        <v>341</v>
      </c>
      <c r="C4" s="116"/>
      <c r="D4" s="116"/>
      <c r="E4" s="116"/>
      <c r="F4" s="116"/>
      <c r="G4" s="116"/>
      <c r="H4" s="116"/>
      <c r="I4" s="116"/>
    </row>
    <row r="5" spans="1:9" ht="14.1" customHeight="1">
      <c r="A5" s="113">
        <v>710103</v>
      </c>
      <c r="B5" s="127" t="s">
        <v>342</v>
      </c>
    </row>
    <row r="6" spans="1:9" ht="14.1" customHeight="1">
      <c r="A6" s="113">
        <v>710104</v>
      </c>
      <c r="B6" s="127" t="s">
        <v>343</v>
      </c>
    </row>
    <row r="7" spans="1:9" ht="14.1" customHeight="1">
      <c r="A7" s="113">
        <v>710105</v>
      </c>
      <c r="B7" s="127" t="s">
        <v>344</v>
      </c>
    </row>
    <row r="8" spans="1:9" ht="14.1" customHeight="1">
      <c r="A8" s="113">
        <v>710106</v>
      </c>
      <c r="B8" s="127" t="s">
        <v>345</v>
      </c>
    </row>
    <row r="9" spans="1:9" ht="14.1" customHeight="1">
      <c r="A9" s="113">
        <v>710107</v>
      </c>
      <c r="B9" s="127" t="s">
        <v>346</v>
      </c>
    </row>
    <row r="10" spans="1:9" ht="14.1" customHeight="1">
      <c r="A10" s="113">
        <v>710108</v>
      </c>
      <c r="B10" s="127" t="s">
        <v>347</v>
      </c>
    </row>
    <row r="11" spans="1:9" ht="14.1" customHeight="1">
      <c r="A11" s="113">
        <v>710109</v>
      </c>
      <c r="B11" s="127" t="s">
        <v>348</v>
      </c>
    </row>
    <row r="12" spans="1:9" ht="14.1" customHeight="1">
      <c r="A12" s="113">
        <v>710110</v>
      </c>
      <c r="B12" s="127" t="s">
        <v>349</v>
      </c>
    </row>
    <row r="13" spans="1:9" ht="14.1" customHeight="1">
      <c r="A13" s="113">
        <v>710111</v>
      </c>
      <c r="B13" s="127" t="s">
        <v>350</v>
      </c>
      <c r="D13" s="116"/>
      <c r="E13" s="116"/>
      <c r="F13" s="116"/>
      <c r="G13" s="116"/>
      <c r="H13" s="116"/>
      <c r="I13" s="116"/>
    </row>
    <row r="14" spans="1:9" ht="14.1" customHeight="1">
      <c r="A14" s="113">
        <v>710112</v>
      </c>
      <c r="B14" s="127" t="s">
        <v>351</v>
      </c>
      <c r="D14" s="116"/>
      <c r="E14" s="116"/>
      <c r="F14" s="116"/>
      <c r="G14" s="116"/>
      <c r="H14" s="116"/>
      <c r="I14" s="116"/>
    </row>
    <row r="15" spans="1:9" ht="14.1" customHeight="1">
      <c r="A15" s="113">
        <v>710113</v>
      </c>
      <c r="B15" s="127" t="s">
        <v>352</v>
      </c>
    </row>
    <row r="16" spans="1:9" ht="23.25" customHeight="1">
      <c r="A16" s="113">
        <v>710149</v>
      </c>
      <c r="B16" s="127" t="s">
        <v>353</v>
      </c>
      <c r="C16" s="117">
        <f>C3+C5+C4+C6+C7+C8+C9+C10+C11+C12+C13+C14+C15</f>
        <v>0</v>
      </c>
      <c r="D16" s="117">
        <f t="shared" ref="D16:I16" si="0">D3+D5+D4+D6+D7+D8+D9+D10+D11+D12+D13+D14+D15</f>
        <v>0</v>
      </c>
      <c r="E16" s="117">
        <f t="shared" si="0"/>
        <v>0</v>
      </c>
      <c r="F16" s="117">
        <f t="shared" si="0"/>
        <v>0</v>
      </c>
      <c r="G16" s="117">
        <f t="shared" si="0"/>
        <v>0</v>
      </c>
      <c r="H16" s="117">
        <f t="shared" si="0"/>
        <v>0</v>
      </c>
      <c r="I16" s="117">
        <f t="shared" si="0"/>
        <v>0</v>
      </c>
    </row>
    <row r="17" spans="1:9" ht="14.1" customHeight="1">
      <c r="A17" s="113">
        <v>710151</v>
      </c>
      <c r="B17" s="113" t="s">
        <v>354</v>
      </c>
    </row>
    <row r="18" spans="1:9" ht="14.1" customHeight="1">
      <c r="A18" s="113">
        <v>710152</v>
      </c>
      <c r="B18" s="127" t="s">
        <v>355</v>
      </c>
    </row>
    <row r="19" spans="1:9" ht="14.1" customHeight="1">
      <c r="A19" s="113">
        <v>710153</v>
      </c>
      <c r="B19" s="127" t="s">
        <v>356</v>
      </c>
    </row>
    <row r="20" spans="1:9" ht="14.1" customHeight="1">
      <c r="A20" s="113">
        <v>710154</v>
      </c>
      <c r="B20" s="127" t="s">
        <v>357</v>
      </c>
    </row>
    <row r="21" spans="1:9" ht="14.1" customHeight="1">
      <c r="A21" s="113">
        <v>710155</v>
      </c>
      <c r="B21" s="127" t="s">
        <v>358</v>
      </c>
    </row>
    <row r="22" spans="1:9" ht="14.1" customHeight="1">
      <c r="A22" s="113">
        <v>710156</v>
      </c>
      <c r="B22" s="127" t="s">
        <v>359</v>
      </c>
    </row>
    <row r="23" spans="1:9" ht="14.1" customHeight="1">
      <c r="A23" s="113">
        <v>710157</v>
      </c>
      <c r="B23" s="127" t="s">
        <v>360</v>
      </c>
    </row>
    <row r="24" spans="1:9" ht="14.1" customHeight="1">
      <c r="A24" s="113">
        <v>710158</v>
      </c>
      <c r="B24" s="127" t="s">
        <v>361</v>
      </c>
    </row>
    <row r="25" spans="1:9" ht="14.1" customHeight="1">
      <c r="A25" s="113">
        <v>710159</v>
      </c>
      <c r="B25" s="127" t="s">
        <v>362</v>
      </c>
    </row>
    <row r="26" spans="1:9" ht="14.1" customHeight="1">
      <c r="A26" s="113">
        <v>710160</v>
      </c>
      <c r="B26" s="127" t="s">
        <v>363</v>
      </c>
    </row>
    <row r="27" spans="1:9" ht="14.1" customHeight="1">
      <c r="A27" s="113">
        <v>710189</v>
      </c>
      <c r="B27" s="127" t="s">
        <v>364</v>
      </c>
      <c r="C27" s="117">
        <f>SUM(C17:C26)</f>
        <v>0</v>
      </c>
      <c r="D27" s="117">
        <f t="shared" ref="D27:I27" si="1">SUM(D17:D26)</f>
        <v>0</v>
      </c>
      <c r="E27" s="117">
        <f t="shared" si="1"/>
        <v>0</v>
      </c>
      <c r="F27" s="117">
        <f t="shared" si="1"/>
        <v>0</v>
      </c>
      <c r="G27" s="117">
        <f t="shared" si="1"/>
        <v>0</v>
      </c>
      <c r="H27" s="117">
        <f t="shared" si="1"/>
        <v>0</v>
      </c>
      <c r="I27" s="117">
        <f t="shared" si="1"/>
        <v>0</v>
      </c>
    </row>
    <row r="28" spans="1:9" ht="14.1" customHeight="1">
      <c r="A28" s="113">
        <v>710199</v>
      </c>
      <c r="B28" s="127" t="s">
        <v>87</v>
      </c>
      <c r="C28" s="117">
        <f>C16-C27</f>
        <v>0</v>
      </c>
      <c r="D28" s="117">
        <f t="shared" ref="D28:I28" si="2">D16-D27</f>
        <v>0</v>
      </c>
      <c r="E28" s="117">
        <f t="shared" si="2"/>
        <v>0</v>
      </c>
      <c r="F28" s="117">
        <f t="shared" si="2"/>
        <v>0</v>
      </c>
      <c r="G28" s="117">
        <f t="shared" si="2"/>
        <v>0</v>
      </c>
      <c r="H28" s="117">
        <f t="shared" si="2"/>
        <v>0</v>
      </c>
      <c r="I28" s="117">
        <f t="shared" si="2"/>
        <v>0</v>
      </c>
    </row>
    <row r="29" spans="1:9" ht="14.1" customHeight="1">
      <c r="A29" s="113">
        <v>7201</v>
      </c>
      <c r="B29" s="127" t="s">
        <v>365</v>
      </c>
    </row>
    <row r="30" spans="1:9" ht="14.1" customHeight="1">
      <c r="A30" s="113">
        <v>720101</v>
      </c>
      <c r="B30" s="127" t="s">
        <v>366</v>
      </c>
    </row>
    <row r="31" spans="1:9" ht="14.1" customHeight="1">
      <c r="A31" s="113">
        <v>720102</v>
      </c>
      <c r="B31" s="127" t="s">
        <v>367</v>
      </c>
    </row>
    <row r="32" spans="1:9" ht="14.1" customHeight="1">
      <c r="A32" s="113">
        <v>720103</v>
      </c>
      <c r="B32" s="127" t="s">
        <v>368</v>
      </c>
    </row>
    <row r="33" spans="1:9" ht="14.1" customHeight="1">
      <c r="A33" s="113">
        <v>720104</v>
      </c>
      <c r="B33" s="127" t="s">
        <v>369</v>
      </c>
    </row>
    <row r="34" spans="1:9" ht="14.1" customHeight="1">
      <c r="A34" s="113">
        <v>720105</v>
      </c>
      <c r="B34" s="127" t="s">
        <v>370</v>
      </c>
    </row>
    <row r="35" spans="1:9" ht="14.1" customHeight="1">
      <c r="A35" s="113">
        <v>720149</v>
      </c>
      <c r="B35" s="127" t="s">
        <v>371</v>
      </c>
      <c r="C35" s="117">
        <f>SUM(C30:C34)</f>
        <v>0</v>
      </c>
      <c r="D35" s="117">
        <f t="shared" ref="D35:I35" si="3">SUM(D30:D34)</f>
        <v>0</v>
      </c>
      <c r="E35" s="117">
        <f t="shared" si="3"/>
        <v>0</v>
      </c>
      <c r="F35" s="117">
        <f t="shared" si="3"/>
        <v>0</v>
      </c>
      <c r="G35" s="117">
        <f t="shared" si="3"/>
        <v>0</v>
      </c>
      <c r="H35" s="117">
        <f t="shared" si="3"/>
        <v>0</v>
      </c>
      <c r="I35" s="117">
        <f t="shared" si="3"/>
        <v>0</v>
      </c>
    </row>
    <row r="36" spans="1:9" ht="14.1" customHeight="1">
      <c r="A36" s="113">
        <v>720151</v>
      </c>
      <c r="B36" s="113" t="s">
        <v>372</v>
      </c>
    </row>
    <row r="37" spans="1:9" ht="14.1" customHeight="1">
      <c r="A37" s="113">
        <v>720152</v>
      </c>
      <c r="B37" s="127" t="s">
        <v>373</v>
      </c>
    </row>
    <row r="38" spans="1:9" ht="14.1" customHeight="1">
      <c r="A38" s="113">
        <v>720153</v>
      </c>
      <c r="B38" s="127" t="s">
        <v>374</v>
      </c>
    </row>
    <row r="39" spans="1:9" ht="14.1" customHeight="1">
      <c r="A39" s="113">
        <v>720154</v>
      </c>
      <c r="B39" s="127" t="s">
        <v>375</v>
      </c>
    </row>
    <row r="40" spans="1:9">
      <c r="A40" s="135">
        <v>720155</v>
      </c>
      <c r="B40" s="15" t="s">
        <v>376</v>
      </c>
    </row>
    <row r="41" spans="1:9">
      <c r="A41" s="135">
        <v>720189</v>
      </c>
      <c r="B41" s="15" t="s">
        <v>377</v>
      </c>
      <c r="C41" s="117">
        <f>SUM(C36:C40)</f>
        <v>0</v>
      </c>
      <c r="D41" s="117">
        <f t="shared" ref="D41:I41" si="4">SUM(D36:D40)</f>
        <v>0</v>
      </c>
      <c r="E41" s="117">
        <f t="shared" si="4"/>
        <v>0</v>
      </c>
      <c r="F41" s="117">
        <f t="shared" si="4"/>
        <v>0</v>
      </c>
      <c r="G41" s="117">
        <f t="shared" si="4"/>
        <v>0</v>
      </c>
      <c r="H41" s="117">
        <f t="shared" si="4"/>
        <v>0</v>
      </c>
      <c r="I41" s="117">
        <f t="shared" si="4"/>
        <v>0</v>
      </c>
    </row>
    <row r="42" spans="1:9">
      <c r="A42" s="135">
        <v>720199</v>
      </c>
      <c r="B42" s="15" t="s">
        <v>90</v>
      </c>
      <c r="C42" s="117">
        <f>C35-C41</f>
        <v>0</v>
      </c>
      <c r="D42" s="117">
        <f t="shared" ref="D42:I42" si="5">D35-D41</f>
        <v>0</v>
      </c>
      <c r="E42" s="117">
        <f t="shared" si="5"/>
        <v>0</v>
      </c>
      <c r="F42" s="117">
        <f t="shared" si="5"/>
        <v>0</v>
      </c>
      <c r="G42" s="117">
        <f t="shared" si="5"/>
        <v>0</v>
      </c>
      <c r="H42" s="117">
        <f t="shared" si="5"/>
        <v>0</v>
      </c>
      <c r="I42" s="117">
        <f t="shared" si="5"/>
        <v>0</v>
      </c>
    </row>
    <row r="43" spans="1:9">
      <c r="A43" s="135">
        <v>7301</v>
      </c>
      <c r="B43" s="15" t="s">
        <v>378</v>
      </c>
      <c r="E43" t="s">
        <v>98</v>
      </c>
    </row>
    <row r="44" spans="1:9">
      <c r="A44" s="135">
        <v>730101</v>
      </c>
      <c r="B44" s="15" t="s">
        <v>379</v>
      </c>
    </row>
    <row r="45" spans="1:9">
      <c r="A45" s="135">
        <v>730102</v>
      </c>
      <c r="B45" s="15" t="s">
        <v>380</v>
      </c>
    </row>
    <row r="46" spans="1:9">
      <c r="A46" s="135">
        <v>730103</v>
      </c>
      <c r="B46" s="15" t="s">
        <v>381</v>
      </c>
    </row>
    <row r="47" spans="1:9">
      <c r="A47" s="135">
        <v>730104</v>
      </c>
      <c r="B47" s="15" t="s">
        <v>382</v>
      </c>
    </row>
    <row r="48" spans="1:9">
      <c r="A48" s="135">
        <v>730149</v>
      </c>
      <c r="B48" s="15" t="s">
        <v>383</v>
      </c>
      <c r="C48" s="117">
        <f>SUM(C44:C47)</f>
        <v>0</v>
      </c>
      <c r="D48" s="117">
        <f t="shared" ref="D48:I48" si="6">SUM(D44:D47)</f>
        <v>0</v>
      </c>
      <c r="E48" s="117">
        <f t="shared" si="6"/>
        <v>0</v>
      </c>
      <c r="F48" s="117">
        <f t="shared" si="6"/>
        <v>0</v>
      </c>
      <c r="G48" s="117">
        <f t="shared" si="6"/>
        <v>0</v>
      </c>
      <c r="H48" s="117">
        <f t="shared" si="6"/>
        <v>0</v>
      </c>
      <c r="I48" s="117">
        <f t="shared" si="6"/>
        <v>0</v>
      </c>
    </row>
    <row r="49" spans="1:9">
      <c r="A49" s="135">
        <v>730151</v>
      </c>
      <c r="B49" s="15" t="s">
        <v>384</v>
      </c>
    </row>
    <row r="50" spans="1:9">
      <c r="A50" s="135">
        <v>730152</v>
      </c>
      <c r="B50" s="15" t="s">
        <v>94</v>
      </c>
    </row>
    <row r="51" spans="1:9">
      <c r="A51" s="135">
        <v>730153</v>
      </c>
      <c r="B51" s="15" t="s">
        <v>385</v>
      </c>
    </row>
    <row r="52" spans="1:9">
      <c r="A52" s="135">
        <v>730189</v>
      </c>
      <c r="B52" s="15" t="s">
        <v>386</v>
      </c>
      <c r="C52" s="117">
        <f>SUM(C49:C51)</f>
        <v>0</v>
      </c>
      <c r="D52" s="117">
        <f t="shared" ref="D52:I52" si="7">SUM(D49:D51)</f>
        <v>0</v>
      </c>
      <c r="E52" s="117">
        <f t="shared" si="7"/>
        <v>0</v>
      </c>
      <c r="F52" s="117">
        <f t="shared" si="7"/>
        <v>0</v>
      </c>
      <c r="G52" s="117">
        <f t="shared" si="7"/>
        <v>0</v>
      </c>
      <c r="H52" s="117">
        <f t="shared" si="7"/>
        <v>0</v>
      </c>
      <c r="I52" s="117">
        <f t="shared" si="7"/>
        <v>0</v>
      </c>
    </row>
    <row r="53" spans="1:9">
      <c r="A53" s="135">
        <v>730199</v>
      </c>
      <c r="B53" s="15" t="s">
        <v>387</v>
      </c>
      <c r="C53" s="117">
        <f>C48-C52</f>
        <v>0</v>
      </c>
      <c r="D53" s="117">
        <f t="shared" ref="D53:I53" si="8">D48-D52</f>
        <v>0</v>
      </c>
      <c r="E53" s="117">
        <f t="shared" si="8"/>
        <v>0</v>
      </c>
      <c r="F53" s="117">
        <f t="shared" si="8"/>
        <v>0</v>
      </c>
      <c r="G53" s="117">
        <f t="shared" si="8"/>
        <v>0</v>
      </c>
      <c r="H53" s="117">
        <f t="shared" si="8"/>
        <v>0</v>
      </c>
      <c r="I53" s="117">
        <f t="shared" si="8"/>
        <v>0</v>
      </c>
    </row>
    <row r="54" spans="1:9">
      <c r="A54" s="135">
        <v>7401</v>
      </c>
      <c r="B54" s="15" t="s">
        <v>388</v>
      </c>
    </row>
    <row r="55" spans="1:9">
      <c r="A55" s="135">
        <v>7501</v>
      </c>
      <c r="B55" s="15" t="s">
        <v>389</v>
      </c>
      <c r="C55" s="117">
        <f>C28+C42+C54</f>
        <v>0</v>
      </c>
      <c r="D55" s="117">
        <f t="shared" ref="D55:I55" si="9">D28+D42+D54</f>
        <v>0</v>
      </c>
      <c r="E55" s="117">
        <f t="shared" si="9"/>
        <v>0</v>
      </c>
      <c r="F55" s="117">
        <f t="shared" si="9"/>
        <v>0</v>
      </c>
      <c r="G55" s="117">
        <f t="shared" si="9"/>
        <v>0</v>
      </c>
      <c r="H55" s="117">
        <f t="shared" si="9"/>
        <v>0</v>
      </c>
      <c r="I55" s="117">
        <f t="shared" si="9"/>
        <v>0</v>
      </c>
    </row>
    <row r="56" spans="1:9">
      <c r="A56" s="135">
        <v>750101</v>
      </c>
      <c r="B56" s="15" t="s">
        <v>390</v>
      </c>
    </row>
    <row r="57" spans="1:9">
      <c r="A57" s="135">
        <v>7601</v>
      </c>
      <c r="B57" s="15" t="s">
        <v>391</v>
      </c>
      <c r="C57" s="117">
        <f>C55+C56</f>
        <v>0</v>
      </c>
      <c r="D57" s="117">
        <f t="shared" ref="D57:I57" si="10">D55+D56</f>
        <v>0</v>
      </c>
      <c r="E57" s="117">
        <f t="shared" si="10"/>
        <v>0</v>
      </c>
      <c r="F57" s="117">
        <f t="shared" si="10"/>
        <v>0</v>
      </c>
      <c r="G57" s="117">
        <f t="shared" si="10"/>
        <v>0</v>
      </c>
      <c r="H57" s="117">
        <f t="shared" si="10"/>
        <v>0</v>
      </c>
      <c r="I57" s="117">
        <f t="shared" si="10"/>
        <v>0</v>
      </c>
    </row>
  </sheetData>
  <autoFilter ref="A1:G39" xr:uid="{00000000-0009-0000-0000-000002000000}"/>
  <customSheetViews>
    <customSheetView guid="{EFE5EB9F-962C-4232-9E60-22B2AE19D01B}" scale="130">
      <pane xSplit="1" ySplit="1" topLeftCell="B2" state="frozen"/>
      <selection activeCell="B24" sqref="B24"/>
      <pageMargins left="0.75" right="0.75" top="1" bottom="1" header="0.5" footer="0.5"/>
      <pageSetup orientation="portrait" horizontalDpi="300" verticalDpi="300"/>
      <headerFooter alignWithMargins="0"/>
    </customSheetView>
  </customSheetViews>
  <phoneticPr fontId="37" type="noConversion"/>
  <pageMargins left="0.75" right="0.75" top="1" bottom="1" header="0.5" footer="0.5"/>
  <pageSetup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G93"/>
  <sheetViews>
    <sheetView topLeftCell="A3" zoomScale="85" zoomScaleNormal="85" workbookViewId="0">
      <selection activeCell="A13" sqref="A13"/>
    </sheetView>
  </sheetViews>
  <sheetFormatPr defaultColWidth="9.140625" defaultRowHeight="12.75"/>
  <cols>
    <col min="1" max="1" width="27.85546875" customWidth="1"/>
    <col min="2" max="2" width="34" customWidth="1"/>
    <col min="3" max="3" width="23.7109375" customWidth="1"/>
    <col min="4" max="5" width="22.42578125" customWidth="1"/>
  </cols>
  <sheetData>
    <row r="1" spans="1:7" ht="15.75" customHeight="1">
      <c r="A1" s="140" t="s">
        <v>99</v>
      </c>
      <c r="B1" s="140"/>
      <c r="C1" s="140"/>
      <c r="D1" s="140"/>
      <c r="E1" s="140"/>
    </row>
    <row r="2" spans="1:7" ht="15.75" customHeight="1">
      <c r="A2" s="141" t="s">
        <v>100</v>
      </c>
      <c r="B2" s="141"/>
      <c r="C2" s="141"/>
      <c r="D2" s="141"/>
      <c r="E2" s="141"/>
    </row>
    <row r="3" spans="1:7" ht="15.75" customHeight="1">
      <c r="A3" s="137"/>
      <c r="B3" s="99">
        <v>44957</v>
      </c>
      <c r="C3" s="99">
        <f>DATE(YEAR(B3)-1,12,31)</f>
        <v>44926</v>
      </c>
      <c r="D3" s="99">
        <f>DATE(YEAR(C3)-1,MONTH(C3),DAY(C3))</f>
        <v>44561</v>
      </c>
      <c r="E3" s="99">
        <f>DATE(YEAR(C3)-2,MONTH(C3),DAY(C3))</f>
        <v>44196</v>
      </c>
    </row>
    <row r="4" spans="1:7" ht="14.25">
      <c r="A4" s="137"/>
      <c r="B4" s="100" t="s">
        <v>101</v>
      </c>
      <c r="C4" s="100" t="s">
        <v>101</v>
      </c>
      <c r="D4" s="100" t="s">
        <v>101</v>
      </c>
      <c r="E4" s="100" t="s">
        <v>101</v>
      </c>
    </row>
    <row r="5" spans="1:7" ht="15.75" customHeight="1">
      <c r="A5" s="136" t="s">
        <v>102</v>
      </c>
      <c r="B5" s="136"/>
      <c r="C5" s="136"/>
      <c r="D5" s="136"/>
      <c r="E5" s="136"/>
    </row>
    <row r="6" spans="1:7" ht="14.25">
      <c r="A6" s="101" t="s">
        <v>3</v>
      </c>
      <c r="B6" s="102" t="e">
        <f>ROUND(HLOOKUP($B$3,bs!$D$1:$AE$110,MATCH(A6,bs!$B$1:$B$110,),FALSE),0)/IF(LEN($G$6)&gt;4,10000,1)</f>
        <v>#N/A</v>
      </c>
      <c r="C6" s="102" t="e">
        <f>ROUND(HLOOKUP($C$3,bs!$D$1:$AE$110,MATCH(A6,bs!$B$1:$B$110,),FALSE),0)/IF(LEN($G$6)&gt;4,10000,1)</f>
        <v>#N/A</v>
      </c>
      <c r="D6" s="102" t="e">
        <f>ROUND(HLOOKUP($D$3,bs!$D$1:$AE$110,MATCH(A6,bs!$B$1:$B$110,),FALSE),0)/IF(LEN($G$6)&gt;4,10000,1)</f>
        <v>#N/A</v>
      </c>
      <c r="E6" s="102" t="e">
        <f>ROUND(HLOOKUP($E$3,bs!$D$1:$AE$110,MATCH(A6,bs!$B$1:$B$110,),FALSE),0)/IF(LEN($G$6)&gt;4,10000,1)</f>
        <v>#N/A</v>
      </c>
      <c r="G6" t="s">
        <v>103</v>
      </c>
    </row>
    <row r="7" spans="1:7" ht="14.25">
      <c r="A7" s="101" t="s">
        <v>5</v>
      </c>
      <c r="B7" s="102" t="e">
        <f>ROUND(HLOOKUP($B$3,bs!$D$1:$AE$110,MATCH(A7,bs!$B$1:$B$110,),FALSE),0)/IF(LEN($G$6)&gt;4,10000,1)</f>
        <v>#N/A</v>
      </c>
      <c r="C7" s="102" t="e">
        <f>ROUND(HLOOKUP($C$3,bs!$D$1:$AE$110,MATCH(A7,bs!$B$1:$B$110,),FALSE),0)/IF(LEN($G$6)&gt;4,10000,1)</f>
        <v>#N/A</v>
      </c>
      <c r="D7" s="102" t="e">
        <f>ROUND(HLOOKUP($D$3,bs!$D$1:$AE$110,MATCH(A7,bs!$B$1:$B$110,),FALSE),0)/IF(LEN($G$6)&gt;4,10000,1)</f>
        <v>#N/A</v>
      </c>
      <c r="E7" s="102" t="e">
        <f>ROUND(HLOOKUP($E$3,bs!$D$1:$AE$110,MATCH(A7,bs!$B$1:$B$110,),FALSE),0)/IF(LEN($G$6)&gt;4,10000,1)</f>
        <v>#N/A</v>
      </c>
    </row>
    <row r="8" spans="1:7" ht="14.25">
      <c r="A8" s="101" t="s">
        <v>6</v>
      </c>
      <c r="B8" s="102" t="e">
        <f>ROUND(HLOOKUP($B$3,bs!$D$1:$AE$110,MATCH(A8,bs!$B$1:$B$110,),FALSE),0)/IF(LEN($G$6)&gt;4,10000,1)</f>
        <v>#N/A</v>
      </c>
      <c r="C8" s="102" t="e">
        <f>ROUND(HLOOKUP($C$3,bs!$D$1:$AE$110,MATCH(A8,bs!$B$1:$B$110,),FALSE),0)/IF(LEN($G$6)&gt;4,10000,1)</f>
        <v>#N/A</v>
      </c>
      <c r="D8" s="102" t="e">
        <f>ROUND(HLOOKUP($D$3,bs!$D$1:$AE$110,MATCH(A8,bs!$B$1:$B$110,),FALSE),0)/IF(LEN($G$6)&gt;4,10000,1)</f>
        <v>#N/A</v>
      </c>
      <c r="E8" s="102" t="e">
        <f>ROUND(HLOOKUP($E$3,bs!$D$1:$AE$110,MATCH(A8,bs!$B$1:$B$110,),FALSE),0)/IF(LEN($G$6)&gt;4,10000,1)</f>
        <v>#N/A</v>
      </c>
    </row>
    <row r="9" spans="1:7" ht="14.25">
      <c r="A9" s="101" t="s">
        <v>7</v>
      </c>
      <c r="B9" s="102" t="e">
        <f>ROUND(HLOOKUP($B$3,bs!$D$1:$AE$110,MATCH(A9,bs!$B$1:$B$110,),FALSE),0)/IF(LEN($G$6)&gt;4,10000,1)</f>
        <v>#N/A</v>
      </c>
      <c r="C9" s="102" t="e">
        <f>ROUND(HLOOKUP($C$3,bs!$D$1:$AE$110,MATCH(A9,bs!$B$1:$B$110,),FALSE),0)/IF(LEN($G$6)&gt;4,10000,1)</f>
        <v>#N/A</v>
      </c>
      <c r="D9" s="102" t="e">
        <f>ROUND(HLOOKUP($D$3,bs!$D$1:$AE$110,MATCH(A9,bs!$B$1:$B$110,),FALSE),0)/IF(LEN($G$6)&gt;4,10000,1)</f>
        <v>#N/A</v>
      </c>
      <c r="E9" s="102" t="e">
        <f>ROUND(HLOOKUP($E$3,bs!$D$1:$AE$110,MATCH(A9,bs!$B$1:$B$110,),FALSE),0)/IF(LEN($G$6)&gt;4,10000,1)</f>
        <v>#N/A</v>
      </c>
    </row>
    <row r="10" spans="1:7" ht="14.25">
      <c r="A10" s="101" t="s">
        <v>11</v>
      </c>
      <c r="B10" s="102" t="e">
        <f>ROUND(HLOOKUP($B$3,bs!$D$1:$AE$110,MATCH(A10,bs!$B$1:$B$110,),FALSE),0)/IF(LEN($G$6)&gt;4,10000,1)</f>
        <v>#N/A</v>
      </c>
      <c r="C10" s="102" t="e">
        <f>ROUND(HLOOKUP($C$3,bs!$D$1:$AE$110,MATCH(A10,bs!$B$1:$B$110,),FALSE),0)/IF(LEN($G$6)&gt;4,10000,1)</f>
        <v>#N/A</v>
      </c>
      <c r="D10" s="102" t="e">
        <f>ROUND(HLOOKUP($D$3,bs!$D$1:$AE$110,MATCH(A10,bs!$B$1:$B$110,),FALSE),0)/IF(LEN($G$6)&gt;4,10000,1)</f>
        <v>#N/A</v>
      </c>
      <c r="E10" s="102" t="e">
        <f>ROUND(HLOOKUP($E$3,bs!$D$1:$AE$110,MATCH(A10,bs!$B$1:$B$110,),FALSE),0)/IF(LEN($G$6)&gt;4,10000,1)</f>
        <v>#N/A</v>
      </c>
    </row>
    <row r="11" spans="1:7" ht="14.25">
      <c r="A11" s="101" t="s">
        <v>8</v>
      </c>
      <c r="B11" s="102" t="e">
        <f>ROUND(HLOOKUP($B$3,bs!$D$1:$AE$110,MATCH(A11,bs!$B$1:$B$110,),FALSE),0)/IF(LEN($G$6)&gt;4,10000,1)</f>
        <v>#N/A</v>
      </c>
      <c r="C11" s="102" t="e">
        <f>ROUND(HLOOKUP($C$3,bs!$D$1:$AE$110,MATCH(A11,bs!$B$1:$B$110,),FALSE),0)/IF(LEN($G$6)&gt;4,10000,1)</f>
        <v>#N/A</v>
      </c>
      <c r="D11" s="102" t="e">
        <f>ROUND(HLOOKUP($D$3,bs!$D$1:$AE$110,MATCH(A11,bs!$B$1:$B$110,),FALSE),0)/IF(LEN($G$6)&gt;4,10000,1)</f>
        <v>#N/A</v>
      </c>
      <c r="E11" s="102" t="e">
        <f>ROUND(HLOOKUP($E$3,bs!$D$1:$AE$110,MATCH(A11,bs!$B$1:$B$110,),FALSE),0)/IF(LEN($G$6)&gt;4,10000,1)</f>
        <v>#N/A</v>
      </c>
    </row>
    <row r="12" spans="1:7" ht="14.25">
      <c r="A12" s="103" t="s">
        <v>14</v>
      </c>
      <c r="B12" s="102" t="e">
        <f>ROUND(HLOOKUP($B$3,bs!$D$1:$AE$110,MATCH(A12,bs!$B$1:$B$110,),FALSE),0)/IF(LEN($G$6)&gt;4,10000,1)</f>
        <v>#N/A</v>
      </c>
      <c r="C12" s="102" t="e">
        <f>ROUND(HLOOKUP($C$3,bs!$D$1:$AE$110,MATCH(A12,bs!$B$1:$B$110,),FALSE),0)/IF(LEN($G$6)&gt;4,10000,1)</f>
        <v>#N/A</v>
      </c>
      <c r="D12" s="102" t="e">
        <f>ROUND(HLOOKUP($D$3,bs!$D$1:$AE$110,MATCH(A12,bs!$B$1:$B$110,),FALSE),0)/IF(LEN($G$6)&gt;4,10000,1)</f>
        <v>#N/A</v>
      </c>
      <c r="E12" s="102" t="e">
        <f>ROUND(HLOOKUP($E$3,bs!$D$1:$AE$110,MATCH(A12,bs!$B$1:$B$110,),FALSE),0)/IF(LEN($G$6)&gt;4,10000,1)</f>
        <v>#N/A</v>
      </c>
    </row>
    <row r="13" spans="1:7" ht="14.25">
      <c r="A13" s="101" t="s">
        <v>17</v>
      </c>
      <c r="B13" s="102" t="e">
        <f>ROUND(HLOOKUP($B$3,bs!$D$1:$AE$110,MATCH(A13,bs!$B$1:$B$110,),FALSE),0)/IF(LEN($G$6)&gt;4,10000,1)</f>
        <v>#N/A</v>
      </c>
      <c r="C13" s="102" t="e">
        <f>ROUND(HLOOKUP($C$3,bs!$D$1:$AE$110,MATCH(A13,bs!$B$1:$B$110,),FALSE),0)/IF(LEN($G$6)&gt;4,10000,1)</f>
        <v>#N/A</v>
      </c>
      <c r="D13" s="102" t="e">
        <f>ROUND(HLOOKUP($D$3,bs!$D$1:$AE$110,MATCH(A13,bs!$B$1:$B$110,),FALSE),0)/IF(LEN($G$6)&gt;4,10000,1)</f>
        <v>#N/A</v>
      </c>
      <c r="E13" s="102" t="e">
        <f>ROUND(HLOOKUP($E$3,bs!$D$1:$AE$110,MATCH(A13,bs!$B$1:$B$110,),FALSE),0)/IF(LEN($G$6)&gt;4,10000,1)</f>
        <v>#N/A</v>
      </c>
    </row>
    <row r="14" spans="1:7" ht="14.25">
      <c r="A14" s="101" t="s">
        <v>18</v>
      </c>
      <c r="B14" s="102" t="e">
        <f>ROUND(HLOOKUP($B$3,bs!$D$1:$AE$110,MATCH(A14,bs!$B$1:$B$110,),FALSE),0)/IF(LEN($G$6)&gt;4,10000,1)</f>
        <v>#N/A</v>
      </c>
      <c r="C14" s="102" t="e">
        <f>ROUND(HLOOKUP($C$3,bs!$D$1:$AE$110,MATCH(A14,bs!$B$1:$B$110,),FALSE),0)/IF(LEN($G$6)&gt;4,10000,1)</f>
        <v>#N/A</v>
      </c>
      <c r="D14" s="102" t="e">
        <f>ROUND(HLOOKUP($D$3,bs!$D$1:$AE$110,MATCH(A14,bs!$B$1:$B$110,),FALSE),0)/IF(LEN($G$6)&gt;4,10000,1)</f>
        <v>#N/A</v>
      </c>
      <c r="E14" s="102" t="e">
        <f>ROUND(HLOOKUP($E$3,bs!$D$1:$AE$110,MATCH(A14,bs!$B$1:$B$110,),FALSE),0)/IF(LEN($G$6)&gt;4,10000,1)</f>
        <v>#N/A</v>
      </c>
    </row>
    <row r="15" spans="1:7" ht="14.25">
      <c r="A15" s="101" t="s">
        <v>15</v>
      </c>
      <c r="B15" s="102" t="e">
        <f>ROUND(HLOOKUP($B$3,bs!$D$1:$AE$110,MATCH(A15,bs!$B$1:$B$110,),FALSE),0)/IF(LEN($G$6)&gt;4,10000,1)</f>
        <v>#N/A</v>
      </c>
      <c r="C15" s="102" t="e">
        <f>ROUND(HLOOKUP($C$3,bs!$D$1:$AE$110,MATCH(A15,bs!$B$1:$B$110,),FALSE),0)/IF(LEN($G$6)&gt;4,10000,1)</f>
        <v>#N/A</v>
      </c>
      <c r="D15" s="102" t="e">
        <f>ROUND(HLOOKUP($D$3,bs!$D$1:$AE$110,MATCH(A15,bs!$B$1:$B$110,),FALSE),0)/IF(LEN($G$6)&gt;4,10000,1)</f>
        <v>#N/A</v>
      </c>
      <c r="E15" s="102" t="e">
        <f>ROUND(HLOOKUP($E$3,bs!$D$1:$AE$110,MATCH(A15,bs!$B$1:$B$110,),FALSE),0)/IF(LEN($G$6)&gt;4,10000,1)</f>
        <v>#N/A</v>
      </c>
    </row>
    <row r="16" spans="1:7" ht="14.25">
      <c r="A16" s="101" t="s">
        <v>23</v>
      </c>
      <c r="B16" s="102" t="e">
        <f>ROUND(HLOOKUP($B$3,bs!$D$1:$AE$110,MATCH(A16,bs!$B$1:$B$110,),FALSE),0)/IF(LEN($G$6)&gt;4,10000,1)</f>
        <v>#N/A</v>
      </c>
      <c r="C16" s="102" t="e">
        <f>ROUND(HLOOKUP($C$3,bs!$D$1:$AE$110,MATCH(A16,bs!$B$1:$B$110,),FALSE),0)/IF(LEN($G$6)&gt;4,10000,1)</f>
        <v>#N/A</v>
      </c>
      <c r="D16" s="102" t="e">
        <f>ROUND(HLOOKUP($D$3,bs!$D$1:$AE$110,MATCH(A16,bs!$B$1:$B$110,),FALSE),0)/IF(LEN($G$6)&gt;4,10000,1)</f>
        <v>#N/A</v>
      </c>
      <c r="E16" s="102" t="e">
        <f>ROUND(HLOOKUP($E$3,bs!$D$1:$AE$110,MATCH(A16,bs!$B$1:$B$110,),FALSE),0)/IF(LEN($G$6)&gt;4,10000,1)</f>
        <v>#N/A</v>
      </c>
    </row>
    <row r="17" spans="1:5" ht="14.25">
      <c r="A17" s="101" t="s">
        <v>25</v>
      </c>
      <c r="B17" s="102" t="e">
        <f>ROUND(HLOOKUP($B$3,bs!$D$1:$AE$110,MATCH(A17,bs!$B$1:$B$110,),FALSE),0)/IF(LEN($G$6)&gt;4,10000,1)</f>
        <v>#N/A</v>
      </c>
      <c r="C17" s="102" t="e">
        <f>ROUND(HLOOKUP($C$3,bs!$D$1:$AE$110,MATCH(A17,bs!$B$1:$B$110,),FALSE),0)/IF(LEN($G$6)&gt;4,10000,1)</f>
        <v>#N/A</v>
      </c>
      <c r="D17" s="102" t="e">
        <f>ROUND(HLOOKUP($D$3,bs!$D$1:$AE$110,MATCH(A17,bs!$B$1:$B$110,),FALSE),0)/IF(LEN($G$6)&gt;4,10000,1)</f>
        <v>#N/A</v>
      </c>
      <c r="E17" s="102" t="e">
        <f>ROUND(HLOOKUP($E$3,bs!$D$1:$AE$110,MATCH(A17,bs!$B$1:$B$110,),FALSE),0)/IF(LEN($G$6)&gt;4,10000,1)</f>
        <v>#N/A</v>
      </c>
    </row>
    <row r="18" spans="1:5" ht="14.25">
      <c r="A18" s="101" t="s">
        <v>19</v>
      </c>
      <c r="B18" s="102" t="e">
        <f>ROUND(HLOOKUP($B$3,bs!$D$1:$AE$110,MATCH(A18,bs!$B$1:$B$110,),FALSE),0)/IF(LEN($G$6)&gt;4,10000,1)</f>
        <v>#N/A</v>
      </c>
      <c r="C18" s="102" t="e">
        <f>ROUND(HLOOKUP($C$3,bs!$D$1:$AE$110,MATCH(A18,bs!$B$1:$B$110,),FALSE),0)/IF(LEN($G$6)&gt;4,10000,1)</f>
        <v>#N/A</v>
      </c>
      <c r="D18" s="102" t="e">
        <f>ROUND(HLOOKUP($D$3,bs!$D$1:$AE$110,MATCH(A18,bs!$B$1:$B$110,),FALSE),0)/IF(LEN($G$6)&gt;4,10000,1)</f>
        <v>#N/A</v>
      </c>
      <c r="E18" s="102" t="e">
        <f>ROUND(HLOOKUP($E$3,bs!$D$1:$AE$110,MATCH(A18,bs!$B$1:$B$110,),FALSE),0)/IF(LEN($G$6)&gt;4,10000,1)</f>
        <v>#N/A</v>
      </c>
    </row>
    <row r="19" spans="1:5" ht="14.25">
      <c r="A19" s="101" t="s">
        <v>29</v>
      </c>
      <c r="B19" s="102" t="e">
        <f>ROUND(HLOOKUP($B$3,bs!$D$1:$AE$110,MATCH(A19,bs!$B$1:$B$110,),FALSE),0)/IF(LEN($G$6)&gt;4,10000,1)</f>
        <v>#N/A</v>
      </c>
      <c r="C19" s="102" t="e">
        <f>ROUND(HLOOKUP($C$3,bs!$D$1:$AE$110,MATCH(A19,bs!$B$1:$B$110,),FALSE),0)/IF(LEN($G$6)&gt;4,10000,1)</f>
        <v>#N/A</v>
      </c>
      <c r="D19" s="102" t="e">
        <f>ROUND(HLOOKUP($D$3,bs!$D$1:$AE$110,MATCH(A19,bs!$B$1:$B$110,),FALSE),0)/IF(LEN($G$6)&gt;4,10000,1)</f>
        <v>#N/A</v>
      </c>
      <c r="E19" s="102" t="e">
        <f>ROUND(HLOOKUP($E$3,bs!$D$1:$AE$110,MATCH(A19,bs!$B$1:$B$110,),FALSE),0)/IF(LEN($G$6)&gt;4,10000,1)</f>
        <v>#N/A</v>
      </c>
    </row>
    <row r="20" spans="1:5" ht="14.25">
      <c r="A20" s="103" t="s">
        <v>35</v>
      </c>
      <c r="B20" s="102" t="e">
        <f>ROUND(HLOOKUP($B$3,bs!$D$1:$AE$110,MATCH(A20,bs!$B$1:$B$110,),FALSE),0)/IF(LEN($G$6)&gt;4,10000,1)</f>
        <v>#N/A</v>
      </c>
      <c r="C20" s="102" t="e">
        <f>ROUND(HLOOKUP($C$3,bs!$D$1:$AE$110,MATCH(A20,bs!$B$1:$B$110,),FALSE),0)/IF(LEN($G$6)&gt;4,10000,1)</f>
        <v>#N/A</v>
      </c>
      <c r="D20" s="102" t="e">
        <f>ROUND(HLOOKUP($D$3,bs!$D$1:$AE$110,MATCH(A20,bs!$B$1:$B$110,),FALSE),0)/IF(LEN($G$6)&gt;4,10000,1)</f>
        <v>#N/A</v>
      </c>
      <c r="E20" s="102" t="e">
        <f>ROUND(HLOOKUP($E$3,bs!$D$1:$AE$110,MATCH(A20,bs!$B$1:$B$110,),FALSE),0)/IF(LEN($G$6)&gt;4,10000,1)</f>
        <v>#N/A</v>
      </c>
    </row>
    <row r="21" spans="1:5" ht="14.25">
      <c r="A21" s="103" t="s">
        <v>36</v>
      </c>
      <c r="B21" s="102" t="e">
        <f>ROUND(HLOOKUP($B$3,bs!$D$1:$AE$110,MATCH(A21,bs!$B$1:$B$110,),FALSE),0)/IF(LEN($G$6)&gt;4,10000,1)</f>
        <v>#N/A</v>
      </c>
      <c r="C21" s="102" t="e">
        <f>ROUND(HLOOKUP($C$3,bs!$D$1:$AE$110,MATCH(A21,bs!$B$1:$B$110,),FALSE),0)/IF(LEN($G$6)&gt;4,10000,1)</f>
        <v>#N/A</v>
      </c>
      <c r="D21" s="102" t="e">
        <f>ROUND(HLOOKUP($D$3,bs!$D$1:$AE$110,MATCH(A21,bs!$B$1:$B$110,),FALSE),0)/IF(LEN($G$6)&gt;4,10000,1)</f>
        <v>#N/A</v>
      </c>
      <c r="E21" s="102" t="e">
        <f>ROUND(HLOOKUP($E$3,bs!$D$1:$AE$110,MATCH(A21,bs!$B$1:$B$110,),FALSE),0)/IF(LEN($G$6)&gt;4,10000,1)</f>
        <v>#N/A</v>
      </c>
    </row>
    <row r="22" spans="1:5" ht="14.25">
      <c r="A22" s="101" t="s">
        <v>37</v>
      </c>
      <c r="B22" s="102" t="e">
        <f>ROUND(HLOOKUP($B$3,bs!$D$1:$AE$110,MATCH(A22,bs!$B$1:$B$110,),FALSE),0)/IF(LEN($G$6)&gt;4,10000,1)</f>
        <v>#N/A</v>
      </c>
      <c r="C22" s="102" t="e">
        <f>ROUND(HLOOKUP($C$3,bs!$D$1:$AE$110,MATCH(A22,bs!$B$1:$B$110,),FALSE),0)/IF(LEN($G$6)&gt;4,10000,1)</f>
        <v>#N/A</v>
      </c>
      <c r="D22" s="102" t="e">
        <f>ROUND(HLOOKUP($D$3,bs!$D$1:$AE$110,MATCH(A22,bs!$B$1:$B$110,),FALSE),0)/IF(LEN($G$6)&gt;4,10000,1)</f>
        <v>#N/A</v>
      </c>
      <c r="E22" s="102" t="e">
        <f>ROUND(HLOOKUP($E$3,bs!$D$1:$AE$110,MATCH(A22,bs!$B$1:$B$110,),FALSE),0)/IF(LEN($G$6)&gt;4,10000,1)</f>
        <v>#N/A</v>
      </c>
    </row>
    <row r="23" spans="1:5" ht="14.25">
      <c r="A23" s="101" t="s">
        <v>40</v>
      </c>
      <c r="B23" s="102" t="e">
        <f>ROUND(HLOOKUP($B$3,bs!$D$1:$AE$110,MATCH(A23,bs!$B$1:$B$110,),FALSE),0)/IF(LEN($G$6)&gt;4,10000,1)</f>
        <v>#N/A</v>
      </c>
      <c r="C23" s="102" t="e">
        <f>ROUND(HLOOKUP($C$3,bs!$D$1:$AE$110,MATCH(A23,bs!$B$1:$B$110,),FALSE),0)/IF(LEN($G$6)&gt;4,10000,1)</f>
        <v>#N/A</v>
      </c>
      <c r="D23" s="102" t="e">
        <f>ROUND(HLOOKUP($D$3,bs!$D$1:$AE$110,MATCH(A23,bs!$B$1:$B$110,),FALSE),0)/IF(LEN($G$6)&gt;4,10000,1)</f>
        <v>#N/A</v>
      </c>
      <c r="E23" s="102" t="e">
        <f>ROUND(HLOOKUP($E$3,bs!$D$1:$AE$110,MATCH(A23,bs!$B$1:$B$110,),FALSE),0)/IF(LEN($G$6)&gt;4,10000,1)</f>
        <v>#N/A</v>
      </c>
    </row>
    <row r="24" spans="1:5" ht="14.25">
      <c r="A24" s="101" t="s">
        <v>41</v>
      </c>
      <c r="B24" s="102" t="e">
        <f>ROUND(HLOOKUP($B$3,bs!$D$1:$AE$110,MATCH(A24,bs!$B$1:$B$110,),FALSE),0)/IF(LEN($G$6)&gt;4,10000,1)</f>
        <v>#N/A</v>
      </c>
      <c r="C24" s="102" t="e">
        <f>ROUND(HLOOKUP($C$3,bs!$D$1:$AE$110,MATCH(A24,bs!$B$1:$B$110,),FALSE),0)/IF(LEN($G$6)&gt;4,10000,1)</f>
        <v>#N/A</v>
      </c>
      <c r="D24" s="102" t="e">
        <f>ROUND(HLOOKUP($D$3,bs!$D$1:$AE$110,MATCH(A24,bs!$B$1:$B$110,),FALSE),0)/IF(LEN($G$6)&gt;4,10000,1)</f>
        <v>#N/A</v>
      </c>
      <c r="E24" s="102" t="e">
        <f>ROUND(HLOOKUP($E$3,bs!$D$1:$AE$110,MATCH(A24,bs!$B$1:$B$110,),FALSE),0)/IF(LEN($G$6)&gt;4,10000,1)</f>
        <v>#N/A</v>
      </c>
    </row>
    <row r="25" spans="1:5" ht="14.25">
      <c r="A25" s="101" t="s">
        <v>46</v>
      </c>
      <c r="B25" s="102" t="e">
        <f>ROUND(HLOOKUP($B$3,bs!$D$1:$AE$110,MATCH(A25,bs!$B$1:$B$110,),FALSE),0)/IF(LEN($G$6)&gt;4,10000,1)</f>
        <v>#N/A</v>
      </c>
      <c r="C25" s="102" t="e">
        <f>ROUND(HLOOKUP($C$3,bs!$D$1:$AE$110,MATCH(A25,bs!$B$1:$B$110,),FALSE),0)/IF(LEN($G$6)&gt;4,10000,1)</f>
        <v>#N/A</v>
      </c>
      <c r="D25" s="102" t="e">
        <f>ROUND(HLOOKUP($D$3,bs!$D$1:$AE$110,MATCH(A25,bs!$B$1:$B$110,),FALSE),0)/IF(LEN($G$6)&gt;4,10000,1)</f>
        <v>#N/A</v>
      </c>
      <c r="E25" s="102" t="e">
        <f>ROUND(HLOOKUP($E$3,bs!$D$1:$AE$110,MATCH(A25,bs!$B$1:$B$110,),FALSE),0)/IF(LEN($G$6)&gt;4,10000,1)</f>
        <v>#N/A</v>
      </c>
    </row>
    <row r="26" spans="1:5" ht="14.25">
      <c r="A26" s="101" t="s">
        <v>47</v>
      </c>
      <c r="B26" s="102" t="e">
        <f>ROUND(HLOOKUP($B$3,bs!$D$1:$AE$110,MATCH(A26,bs!$B$1:$B$110,),FALSE),0)/IF(LEN($G$6)&gt;4,10000,1)</f>
        <v>#N/A</v>
      </c>
      <c r="C26" s="102" t="e">
        <f>ROUND(HLOOKUP($C$3,bs!$D$1:$AE$110,MATCH(A26,bs!$B$1:$B$110,),FALSE),0)/IF(LEN($G$6)&gt;4,10000,1)</f>
        <v>#N/A</v>
      </c>
      <c r="D26" s="102" t="e">
        <f>ROUND(HLOOKUP($D$3,bs!$D$1:$AE$110,MATCH(A26,bs!$B$1:$B$110,),FALSE),0)/IF(LEN($G$6)&gt;4,10000,1)</f>
        <v>#N/A</v>
      </c>
      <c r="E26" s="102" t="e">
        <f>ROUND(HLOOKUP($E$3,bs!$D$1:$AE$110,MATCH(A26,bs!$B$1:$B$110,),FALSE),0)/IF(LEN($G$6)&gt;4,10000,1)</f>
        <v>#N/A</v>
      </c>
    </row>
    <row r="27" spans="1:5" ht="14.25">
      <c r="A27" s="103" t="s">
        <v>49</v>
      </c>
      <c r="B27" s="102" t="e">
        <f>ROUND(HLOOKUP($B$3,bs!$D$1:$AE$110,MATCH(A27,bs!$B$1:$B$110,),FALSE),0)/IF(LEN($G$6)&gt;4,10000,1)</f>
        <v>#N/A</v>
      </c>
      <c r="C27" s="102" t="e">
        <f>ROUND(HLOOKUP($C$3,bs!$D$1:$AE$110,MATCH(A27,bs!$B$1:$B$110,),FALSE),0)/IF(LEN($G$6)&gt;4,10000,1)</f>
        <v>#N/A</v>
      </c>
      <c r="D27" s="102" t="e">
        <f>ROUND(HLOOKUP($D$3,bs!$D$1:$AE$110,MATCH(A27,bs!$B$1:$B$110,),FALSE),0)/IF(LEN($G$6)&gt;4,10000,1)</f>
        <v>#N/A</v>
      </c>
      <c r="E27" s="102" t="e">
        <f>ROUND(HLOOKUP($E$3,bs!$D$1:$AE$110,MATCH(A27,bs!$B$1:$B$110,),FALSE),0)/IF(LEN($G$6)&gt;4,10000,1)</f>
        <v>#N/A</v>
      </c>
    </row>
    <row r="28" spans="1:5" ht="14.25">
      <c r="A28" s="101" t="s">
        <v>50</v>
      </c>
      <c r="B28" s="102" t="e">
        <f>ROUND(HLOOKUP($B$3,bs!$D$1:$AE$110,MATCH(A28,bs!$B$1:$B$110,),FALSE),0)/IF(LEN($G$6)&gt;4,10000,1)</f>
        <v>#N/A</v>
      </c>
      <c r="C28" s="102" t="e">
        <f>ROUND(HLOOKUP($C$3,bs!$D$1:$AE$110,MATCH(A28,bs!$B$1:$B$110,),FALSE),0)/IF(LEN($G$6)&gt;4,10000,1)</f>
        <v>#N/A</v>
      </c>
      <c r="D28" s="102" t="e">
        <f>ROUND(HLOOKUP($D$3,bs!$D$1:$AE$110,MATCH(A28,bs!$B$1:$B$110,),FALSE),0)/IF(LEN($G$6)&gt;4,10000,1)</f>
        <v>#N/A</v>
      </c>
      <c r="E28" s="102" t="e">
        <f>ROUND(HLOOKUP($E$3,bs!$D$1:$AE$110,MATCH(A28,bs!$B$1:$B$110,),FALSE),0)/IF(LEN($G$6)&gt;4,10000,1)</f>
        <v>#N/A</v>
      </c>
    </row>
    <row r="29" spans="1:5" ht="14.25">
      <c r="A29" s="101" t="s">
        <v>51</v>
      </c>
      <c r="B29" s="102" t="e">
        <f>ROUND(HLOOKUP($B$3,bs!$D$1:$AE$110,MATCH(A29,bs!$B$1:$B$110,),FALSE),0)/IF(LEN($G$6)&gt;4,10000,1)</f>
        <v>#N/A</v>
      </c>
      <c r="C29" s="102" t="e">
        <f>ROUND(HLOOKUP($C$3,bs!$D$1:$AE$110,MATCH(A29,bs!$B$1:$B$110,),FALSE),0)/IF(LEN($G$6)&gt;4,10000,1)</f>
        <v>#N/A</v>
      </c>
      <c r="D29" s="102" t="e">
        <f>ROUND(HLOOKUP($D$3,bs!$D$1:$AE$110,MATCH(A29,bs!$B$1:$B$110,),FALSE),0)/IF(LEN($G$6)&gt;4,10000,1)</f>
        <v>#N/A</v>
      </c>
      <c r="E29" s="102" t="e">
        <f>ROUND(HLOOKUP($E$3,bs!$D$1:$AE$110,MATCH(A29,bs!$B$1:$B$110,),FALSE),0)/IF(LEN($G$6)&gt;4,10000,1)</f>
        <v>#N/A</v>
      </c>
    </row>
    <row r="30" spans="1:5" ht="14.25">
      <c r="A30" s="101" t="s">
        <v>52</v>
      </c>
      <c r="B30" s="102" t="e">
        <f>ROUND(HLOOKUP($B$3,bs!$D$1:$AE$110,MATCH(A30,bs!$B$1:$B$110,),FALSE),0)/IF(LEN($G$6)&gt;4,10000,1)</f>
        <v>#N/A</v>
      </c>
      <c r="C30" s="102" t="e">
        <f>ROUND(HLOOKUP($C$3,bs!$D$1:$AE$110,MATCH(A30,bs!$B$1:$B$110,),FALSE),0)/IF(LEN($G$6)&gt;4,10000,1)</f>
        <v>#N/A</v>
      </c>
      <c r="D30" s="102" t="e">
        <f>ROUND(HLOOKUP($D$3,bs!$D$1:$AE$110,MATCH(A30,bs!$B$1:$B$110,),FALSE),0)/IF(LEN($G$6)&gt;4,10000,1)</f>
        <v>#N/A</v>
      </c>
      <c r="E30" s="102" t="e">
        <f>ROUND(HLOOKUP($E$3,bs!$D$1:$AE$110,MATCH(A30,bs!$B$1:$B$110,),FALSE),0)/IF(LEN($G$6)&gt;4,10000,1)</f>
        <v>#N/A</v>
      </c>
    </row>
    <row r="31" spans="1:5" ht="14.25">
      <c r="A31" s="101" t="s">
        <v>53</v>
      </c>
      <c r="B31" s="102" t="e">
        <f>ROUND(HLOOKUP($B$3,bs!$D$1:$AE$110,MATCH(A31,bs!$B$1:$B$110,),FALSE),0)/IF(LEN($G$6)&gt;4,10000,1)</f>
        <v>#N/A</v>
      </c>
      <c r="C31" s="102" t="e">
        <f>ROUND(HLOOKUP($C$3,bs!$D$1:$AE$110,MATCH(A31,bs!$B$1:$B$110,),FALSE),0)/IF(LEN($G$6)&gt;4,10000,1)</f>
        <v>#N/A</v>
      </c>
      <c r="D31" s="102" t="e">
        <f>ROUND(HLOOKUP($D$3,bs!$D$1:$AE$110,MATCH(A31,bs!$B$1:$B$110,),FALSE),0)/IF(LEN($G$6)&gt;4,10000,1)</f>
        <v>#N/A</v>
      </c>
      <c r="E31" s="102" t="e">
        <f>ROUND(HLOOKUP($E$3,bs!$D$1:$AE$110,MATCH(A31,bs!$B$1:$B$110,),FALSE),0)/IF(LEN($G$6)&gt;4,10000,1)</f>
        <v>#N/A</v>
      </c>
    </row>
    <row r="32" spans="1:5" ht="14.25">
      <c r="A32" s="101" t="s">
        <v>56</v>
      </c>
      <c r="B32" s="102" t="e">
        <f>ROUND(HLOOKUP($B$3,bs!$D$1:$AE$110,MATCH(A32,bs!$B$1:$B$110,),FALSE),0)/IF(LEN($G$6)&gt;4,10000,1)</f>
        <v>#N/A</v>
      </c>
      <c r="C32" s="102" t="e">
        <f>ROUND(HLOOKUP($C$3,bs!$D$1:$AE$110,MATCH(A32,bs!$B$1:$B$110,),FALSE),0)/IF(LEN($G$6)&gt;4,10000,1)</f>
        <v>#N/A</v>
      </c>
      <c r="D32" s="102" t="e">
        <f>ROUND(HLOOKUP($D$3,bs!$D$1:$AE$110,MATCH(A32,bs!$B$1:$B$110,),FALSE),0)/IF(LEN($G$6)&gt;4,10000,1)</f>
        <v>#N/A</v>
      </c>
      <c r="E32" s="102" t="e">
        <f>ROUND(HLOOKUP($E$3,bs!$D$1:$AE$110,MATCH(A32,bs!$B$1:$B$110,),FALSE),0)/IF(LEN($G$6)&gt;4,10000,1)</f>
        <v>#N/A</v>
      </c>
    </row>
    <row r="33" spans="1:5" ht="14.25">
      <c r="A33" s="103" t="s">
        <v>57</v>
      </c>
      <c r="B33" s="102" t="e">
        <f>ROUND(HLOOKUP($B$3,bs!$D$1:$AE$110,MATCH(A33,bs!$B$1:$B$110,),FALSE),0)/IF(LEN($G$6)&gt;4,10000,1)</f>
        <v>#N/A</v>
      </c>
      <c r="C33" s="102" t="e">
        <f>ROUND(HLOOKUP($C$3,bs!$D$1:$AE$110,MATCH(A33,bs!$B$1:$B$110,),FALSE),0)/IF(LEN($G$6)&gt;4,10000,1)</f>
        <v>#N/A</v>
      </c>
      <c r="D33" s="102" t="e">
        <f>ROUND(HLOOKUP($D$3,bs!$D$1:$AE$110,MATCH(A33,bs!$B$1:$B$110,),FALSE),0)/IF(LEN($G$6)&gt;4,10000,1)</f>
        <v>#N/A</v>
      </c>
      <c r="E33" s="102" t="e">
        <f>ROUND(HLOOKUP($E$3,bs!$D$1:$AE$110,MATCH(A33,bs!$B$1:$B$110,),FALSE),0)/IF(LEN($G$6)&gt;4,10000,1)</f>
        <v>#N/A</v>
      </c>
    </row>
    <row r="34" spans="1:5" ht="14.25">
      <c r="A34" s="103" t="s">
        <v>58</v>
      </c>
      <c r="B34" s="102" t="e">
        <f>ROUND(HLOOKUP($B$3,bs!$D$1:$AE$110,MATCH(A34,bs!$B$1:$B$110,),FALSE),0)/IF(LEN($G$6)&gt;4,10000,1)</f>
        <v>#N/A</v>
      </c>
      <c r="C34" s="102" t="e">
        <f>ROUND(HLOOKUP($C$3,bs!$D$1:$AE$110,MATCH(A34,bs!$B$1:$B$110,),FALSE),0)/IF(LEN($G$6)&gt;4,10000,1)</f>
        <v>#N/A</v>
      </c>
      <c r="D34" s="102" t="e">
        <f>ROUND(HLOOKUP($D$3,bs!$D$1:$AE$110,MATCH(A34,bs!$B$1:$B$110,),FALSE),0)/IF(LEN($G$6)&gt;4,10000,1)</f>
        <v>#N/A</v>
      </c>
      <c r="E34" s="102" t="e">
        <f>ROUND(HLOOKUP($E$3,bs!$D$1:$AE$110,MATCH(A34,bs!$B$1:$B$110,),FALSE),0)/IF(LEN($G$6)&gt;4,10000,1)</f>
        <v>#N/A</v>
      </c>
    </row>
    <row r="35" spans="1:5" ht="14.25">
      <c r="A35" s="101" t="s">
        <v>59</v>
      </c>
      <c r="B35" s="102" t="e">
        <f>ROUND(HLOOKUP($B$3,bs!$D$1:$AE$110,MATCH(A35,bs!$B$1:$B$110,),FALSE),0)/IF(LEN($G$6)&gt;4,10000,1)</f>
        <v>#N/A</v>
      </c>
      <c r="C35" s="102" t="e">
        <f>ROUND(HLOOKUP($C$3,bs!$D$1:$AE$110,MATCH(A35,bs!$B$1:$B$110,),FALSE),0)/IF(LEN($G$6)&gt;4,10000,1)</f>
        <v>#N/A</v>
      </c>
      <c r="D35" s="102" t="e">
        <f>ROUND(HLOOKUP($D$3,bs!$D$1:$AE$110,MATCH(A35,bs!$B$1:$B$110,),FALSE),0)/IF(LEN($G$6)&gt;4,10000,1)</f>
        <v>#N/A</v>
      </c>
      <c r="E35" s="102" t="e">
        <f>ROUND(HLOOKUP($E$3,bs!$D$1:$AE$110,MATCH(A35,bs!$B$1:$B$110,),FALSE),0)/IF(LEN($G$6)&gt;4,10000,1)</f>
        <v>#N/A</v>
      </c>
    </row>
    <row r="36" spans="1:5" ht="14.25">
      <c r="A36" s="101" t="s">
        <v>60</v>
      </c>
      <c r="B36" s="102" t="e">
        <f>ROUND(HLOOKUP($B$3,bs!$D$1:$AE$110,MATCH(A36,bs!$B$1:$B$110,),FALSE),0)/IF(LEN($G$6)&gt;4,10000,1)</f>
        <v>#N/A</v>
      </c>
      <c r="C36" s="102" t="e">
        <f>ROUND(HLOOKUP($C$3,bs!$D$1:$AE$110,MATCH(A36,bs!$B$1:$B$110,),FALSE),0)/IF(LEN($G$6)&gt;4,10000,1)</f>
        <v>#N/A</v>
      </c>
      <c r="D36" s="102" t="e">
        <f>ROUND(HLOOKUP($D$3,bs!$D$1:$AE$110,MATCH(A36,bs!$B$1:$B$110,),FALSE),0)/IF(LEN($G$6)&gt;4,10000,1)</f>
        <v>#N/A</v>
      </c>
      <c r="E36" s="102" t="e">
        <f>ROUND(HLOOKUP($E$3,bs!$D$1:$AE$110,MATCH(A36,bs!$B$1:$B$110,),FALSE),0)/IF(LEN($G$6)&gt;4,10000,1)</f>
        <v>#N/A</v>
      </c>
    </row>
    <row r="37" spans="1:5" ht="14.25">
      <c r="A37" s="101" t="s">
        <v>104</v>
      </c>
      <c r="B37" s="102" t="e">
        <f>ROUND(HLOOKUP($B$3,bs!$D$1:$AE$110,MATCH(A37,bs!$B$1:$B$110,),FALSE),0)/IF(LEN($G$6)&gt;4,10000,1)</f>
        <v>#N/A</v>
      </c>
      <c r="C37" s="102" t="e">
        <f>ROUND(HLOOKUP($C$3,bs!$D$1:$AE$110,MATCH(A37,bs!$B$1:$B$110,),FALSE),0)/IF(LEN($G$6)&gt;4,10000,1)</f>
        <v>#N/A</v>
      </c>
      <c r="D37" s="102" t="e">
        <f>ROUND(HLOOKUP($D$3,bs!$D$1:$AE$110,MATCH(A37,bs!$B$1:$B$110,),FALSE),0)/IF(LEN($G$6)&gt;4,10000,1)</f>
        <v>#N/A</v>
      </c>
      <c r="E37" s="102" t="e">
        <f>ROUND(HLOOKUP($E$3,bs!$D$1:$AE$110,MATCH(A37,bs!$B$1:$B$110,),FALSE),0)/IF(LEN($G$6)&gt;4,10000,1)</f>
        <v>#N/A</v>
      </c>
    </row>
    <row r="38" spans="1:5" ht="14.25">
      <c r="A38" s="101" t="s">
        <v>63</v>
      </c>
      <c r="B38" s="102" t="e">
        <f>ROUND(HLOOKUP($B$3,bs!$D$1:$AE$110,MATCH(A38,bs!$B$1:$B$110,),FALSE),0)/IF(LEN($G$6)&gt;4,10000,1)</f>
        <v>#N/A</v>
      </c>
      <c r="C38" s="102" t="e">
        <f>ROUND(HLOOKUP($C$3,bs!$D$1:$AE$110,MATCH(A38,bs!$B$1:$B$110,),FALSE),0)/IF(LEN($G$6)&gt;4,10000,1)</f>
        <v>#N/A</v>
      </c>
      <c r="D38" s="102" t="e">
        <f>ROUND(HLOOKUP($D$3,bs!$D$1:$AE$110,MATCH(A38,bs!$B$1:$B$110,),FALSE),0)/IF(LEN($G$6)&gt;4,10000,1)</f>
        <v>#N/A</v>
      </c>
      <c r="E38" s="102" t="e">
        <f>ROUND(HLOOKUP($E$3,bs!$D$1:$AE$110,MATCH(A38,bs!$B$1:$B$110,),FALSE),0)/IF(LEN($G$6)&gt;4,10000,1)</f>
        <v>#N/A</v>
      </c>
    </row>
    <row r="39" spans="1:5" ht="14.25">
      <c r="A39" s="101" t="s">
        <v>64</v>
      </c>
      <c r="B39" s="102" t="e">
        <f>ROUND(HLOOKUP($B$3,bs!$D$1:$AE$110,MATCH(A39,bs!$B$1:$B$110,),FALSE),0)/IF(LEN($G$6)&gt;4,10000,1)</f>
        <v>#N/A</v>
      </c>
      <c r="C39" s="102" t="e">
        <f>ROUND(HLOOKUP($C$3,bs!$D$1:$AE$110,MATCH(A39,bs!$B$1:$B$110,),FALSE),0)/IF(LEN($G$6)&gt;4,10000,1)</f>
        <v>#N/A</v>
      </c>
      <c r="D39" s="102" t="e">
        <f>ROUND(HLOOKUP($D$3,bs!$D$1:$AE$110,MATCH(A39,bs!$B$1:$B$110,),FALSE),0)/IF(LEN($G$6)&gt;4,10000,1)</f>
        <v>#N/A</v>
      </c>
      <c r="E39" s="102" t="e">
        <f>ROUND(HLOOKUP($E$3,bs!$D$1:$AE$110,MATCH(A39,bs!$B$1:$B$110,),FALSE),0)/IF(LEN($G$6)&gt;4,10000,1)</f>
        <v>#N/A</v>
      </c>
    </row>
    <row r="40" spans="1:5" ht="14.25">
      <c r="A40" s="103" t="s">
        <v>68</v>
      </c>
      <c r="B40" s="102" t="e">
        <f>ROUND(HLOOKUP($B$3,bs!$D$1:$AE$110,MATCH(A40,bs!$B$1:$B$110,),FALSE),0)/IF(LEN($G$6)&gt;4,10000,1)</f>
        <v>#N/A</v>
      </c>
      <c r="C40" s="102" t="e">
        <f>ROUND(HLOOKUP($C$3,bs!$D$1:$AE$110,MATCH(A40,bs!$B$1:$B$110,),FALSE),0)/IF(LEN($G$6)&gt;4,10000,1)</f>
        <v>#N/A</v>
      </c>
      <c r="D40" s="102" t="e">
        <f>ROUND(HLOOKUP($D$3,bs!$D$1:$AE$110,MATCH(A40,bs!$B$1:$B$110,),FALSE),0)/IF(LEN($G$6)&gt;4,10000,1)</f>
        <v>#N/A</v>
      </c>
      <c r="E40" s="102" t="e">
        <f>ROUND(HLOOKUP($E$3,bs!$D$1:$AE$110,MATCH(A40,bs!$B$1:$B$110,),FALSE),0)/IF(LEN($G$6)&gt;4,10000,1)</f>
        <v>#N/A</v>
      </c>
    </row>
    <row r="41" spans="1:5" ht="15.75" customHeight="1">
      <c r="A41" s="136" t="s">
        <v>105</v>
      </c>
      <c r="B41" s="136"/>
      <c r="C41" s="136"/>
      <c r="D41" s="136"/>
      <c r="E41" s="136"/>
    </row>
    <row r="42" spans="1:5" ht="14.25">
      <c r="A42" s="101" t="s">
        <v>70</v>
      </c>
      <c r="B42" s="102" t="e">
        <f>ROUND(HLOOKUP($B$3,pl!$D$1:$AC$71,MATCH(A42,pl!$B$1:$B$71,),FALSE),0)/IF(LEN($G$6)&gt;4,10000,1)</f>
        <v>#N/A</v>
      </c>
      <c r="C42" s="102" t="e">
        <f>ROUND(HLOOKUP($C$3,pl!$D$1:$AC$71,MATCH(A42,pl!$B$1:$B$71,),FALSE),0)/IF(LEN($G$6)&gt;4,10000,1)</f>
        <v>#N/A</v>
      </c>
      <c r="D42" s="102" t="e">
        <f>ROUND(HLOOKUP($D$3,pl!$D$1:$AC$71,MATCH(A42,pl!$B$1:$B$71,),FALSE),0)/IF(LEN($G$6)&gt;4,10000,1)</f>
        <v>#N/A</v>
      </c>
      <c r="E42" s="102" t="e">
        <f>ROUND(HLOOKUP($E$3,pl!$D$1:$AC$71,MATCH(A42,pl!$B$1:$B$71,),FALSE),0)/IF(LEN($G$6)&gt;4,10000,1)</f>
        <v>#N/A</v>
      </c>
    </row>
    <row r="43" spans="1:5" ht="14.25">
      <c r="A43" s="101" t="s">
        <v>72</v>
      </c>
      <c r="B43" s="102" t="e">
        <f>ROUND(HLOOKUP($B$3,pl!$D$1:$AC$71,MATCH(A43,pl!$B$1:$B$71,),FALSE),0)/IF(LEN($G$6)&gt;4,10000,1)</f>
        <v>#N/A</v>
      </c>
      <c r="C43" s="102" t="e">
        <f>ROUND(HLOOKUP($C$3,pl!$D$1:$AC$71,MATCH(A43,pl!$B$1:$B$71,),FALSE),0)/IF(LEN($G$6)&gt;4,10000,1)</f>
        <v>#N/A</v>
      </c>
      <c r="D43" s="102" t="e">
        <f>ROUND(HLOOKUP($D$3,pl!$D$1:$AC$71,MATCH(A43,pl!$B$1:$B$71,),FALSE),0)/IF(LEN($G$6)&gt;4,10000,1)</f>
        <v>#N/A</v>
      </c>
      <c r="E43" s="102" t="e">
        <f>ROUND(HLOOKUP($E$3,pl!$D$1:$AC$71,MATCH(A43,pl!$B$1:$B$71,),FALSE),0)/IF(LEN($G$6)&gt;4,10000,1)</f>
        <v>#N/A</v>
      </c>
    </row>
    <row r="44" spans="1:5" ht="14.25">
      <c r="A44" s="101" t="s">
        <v>74</v>
      </c>
      <c r="B44" s="102" t="e">
        <f>ROUND(HLOOKUP($B$3,pl!$D$1:$AC$71,MATCH(A44,pl!$B$1:$B$71,),FALSE),0)/IF(LEN($G$6)&gt;4,10000,1)</f>
        <v>#N/A</v>
      </c>
      <c r="C44" s="102" t="e">
        <f>ROUND(HLOOKUP($C$3,pl!$D$1:$AC$71,MATCH(A44,pl!$B$1:$B$71,),FALSE),0)/IF(LEN($G$6)&gt;4,10000,1)</f>
        <v>#N/A</v>
      </c>
      <c r="D44" s="102" t="e">
        <f>ROUND(HLOOKUP($D$3,pl!$D$1:$AC$71,MATCH(A44,pl!$B$1:$B$71,),FALSE),0)/IF(LEN($G$6)&gt;4,10000,1)</f>
        <v>#N/A</v>
      </c>
      <c r="E44" s="102" t="e">
        <f>ROUND(HLOOKUP($E$3,pl!$D$1:$AC$71,MATCH(A44,pl!$B$1:$B$71,),FALSE),0)/IF(LEN($G$6)&gt;4,10000,1)</f>
        <v>#N/A</v>
      </c>
    </row>
    <row r="45" spans="1:5" ht="14.25">
      <c r="A45" s="101" t="s">
        <v>75</v>
      </c>
      <c r="B45" s="102" t="e">
        <f>ROUND(HLOOKUP($B$3,pl!$D$1:$AC$71,MATCH(A45,pl!$B$1:$B$71,),FALSE),0)/IF(LEN($G$6)&gt;4,10000,1)</f>
        <v>#N/A</v>
      </c>
      <c r="C45" s="102" t="e">
        <f>ROUND(HLOOKUP($C$3,pl!$D$1:$AC$71,MATCH(A45,pl!$B$1:$B$71,),FALSE),0)/IF(LEN($G$6)&gt;4,10000,1)</f>
        <v>#N/A</v>
      </c>
      <c r="D45" s="102" t="e">
        <f>ROUND(HLOOKUP($D$3,pl!$D$1:$AC$71,MATCH(A45,pl!$B$1:$B$71,),FALSE),0)/IF(LEN($G$6)&gt;4,10000,1)</f>
        <v>#N/A</v>
      </c>
      <c r="E45" s="102" t="e">
        <f>ROUND(HLOOKUP($E$3,pl!$D$1:$AC$71,MATCH(A45,pl!$B$1:$B$71,),FALSE),0)/IF(LEN($G$6)&gt;4,10000,1)</f>
        <v>#N/A</v>
      </c>
    </row>
    <row r="46" spans="1:5" ht="14.25">
      <c r="A46" s="101" t="s">
        <v>76</v>
      </c>
      <c r="B46" s="102" t="e">
        <f>ROUND(HLOOKUP($B$3,pl!$D$1:$AC$71,MATCH(A46,pl!$B$1:$B$71,),FALSE),0)/IF(LEN($G$6)&gt;4,10000,1)</f>
        <v>#N/A</v>
      </c>
      <c r="C46" s="102" t="e">
        <f>ROUND(HLOOKUP($C$3,pl!$D$1:$AC$71,MATCH(A46,pl!$B$1:$B$71,),FALSE),0)/IF(LEN($G$6)&gt;4,10000,1)</f>
        <v>#N/A</v>
      </c>
      <c r="D46" s="102" t="e">
        <f>ROUND(HLOOKUP($D$3,pl!$D$1:$AC$71,MATCH(A46,pl!$B$1:$B$71,),FALSE),0)/IF(LEN($G$6)&gt;4,10000,1)</f>
        <v>#N/A</v>
      </c>
      <c r="E46" s="102" t="e">
        <f>ROUND(HLOOKUP($E$3,pl!$D$1:$AC$71,MATCH(A46,pl!$B$1:$B$71,),FALSE),0)/IF(LEN($G$6)&gt;4,10000,1)</f>
        <v>#N/A</v>
      </c>
    </row>
    <row r="47" spans="1:5" ht="14.25">
      <c r="A47" s="101" t="s">
        <v>77</v>
      </c>
      <c r="B47" s="102" t="e">
        <f>ROUND(HLOOKUP($B$3,pl!$D$1:$AC$71,MATCH(A47,pl!$B$1:$B$71,),FALSE),0)/IF(LEN($G$6)&gt;4,10000,1)</f>
        <v>#N/A</v>
      </c>
      <c r="C47" s="102" t="e">
        <f>ROUND(HLOOKUP($C$3,pl!$D$1:$AC$71,MATCH(A47,pl!$B$1:$B$71,),FALSE),0)/IF(LEN($G$6)&gt;4,10000,1)</f>
        <v>#N/A</v>
      </c>
      <c r="D47" s="102" t="e">
        <f>ROUND(HLOOKUP($D$3,pl!$D$1:$AC$71,MATCH(A47,pl!$B$1:$B$71,),FALSE),0)/IF(LEN($G$6)&gt;4,10000,1)</f>
        <v>#N/A</v>
      </c>
      <c r="E47" s="102" t="e">
        <f>ROUND(HLOOKUP($E$3,pl!$D$1:$AC$71,MATCH(A47,pl!$B$1:$B$71,),FALSE),0)/IF(LEN($G$6)&gt;4,10000,1)</f>
        <v>#N/A</v>
      </c>
    </row>
    <row r="48" spans="1:5" ht="14.25">
      <c r="A48" s="101" t="s">
        <v>78</v>
      </c>
      <c r="B48" s="102" t="e">
        <f>ROUND(HLOOKUP($B$3,pl!$D$1:$AC$71,MATCH(A48,pl!$B$1:$B$71,),FALSE),0)/IF(LEN($G$6)&gt;4,10000,1)</f>
        <v>#N/A</v>
      </c>
      <c r="C48" s="102" t="e">
        <f>ROUND(HLOOKUP($C$3,pl!$D$1:$AC$71,MATCH(A48,pl!$B$1:$B$71,),FALSE),0)/IF(LEN($G$6)&gt;4,10000,1)</f>
        <v>#N/A</v>
      </c>
      <c r="D48" s="102" t="e">
        <f>ROUND(HLOOKUP($D$3,pl!$D$1:$AC$71,MATCH(A48,pl!$B$1:$B$71,),FALSE),0)/IF(LEN($G$6)&gt;4,10000,1)</f>
        <v>#N/A</v>
      </c>
      <c r="E48" s="102" t="e">
        <f>ROUND(HLOOKUP($E$3,pl!$D$1:$AC$71,MATCH(A48,pl!$B$1:$B$71,),FALSE),0)/IF(LEN($G$6)&gt;4,10000,1)</f>
        <v>#N/A</v>
      </c>
    </row>
    <row r="49" spans="1:5" ht="14.25">
      <c r="A49" s="103" t="s">
        <v>79</v>
      </c>
      <c r="B49" s="102" t="e">
        <f>ROUND(HLOOKUP($B$3,pl!$D$1:$AC$71,MATCH(A49,pl!$B$1:$B$71,),FALSE),0)/IF(LEN($G$6)&gt;4,10000,1)</f>
        <v>#N/A</v>
      </c>
      <c r="C49" s="102" t="e">
        <f>ROUND(HLOOKUP($C$3,pl!$D$1:$AC$71,MATCH(A49,pl!$B$1:$B$71,),FALSE),0)/IF(LEN($G$6)&gt;4,10000,1)</f>
        <v>#N/A</v>
      </c>
      <c r="D49" s="102" t="e">
        <f>ROUND(HLOOKUP($D$3,pl!$D$1:$AC$71,MATCH(A49,pl!$B$1:$B$71,),FALSE),0)/IF(LEN($G$6)&gt;4,10000,1)</f>
        <v>#N/A</v>
      </c>
      <c r="E49" s="102" t="e">
        <f>ROUND(HLOOKUP($E$3,pl!$D$1:$AC$71,MATCH(A49,pl!$B$1:$B$71,),FALSE),0)/IF(LEN($G$6)&gt;4,10000,1)</f>
        <v>#N/A</v>
      </c>
    </row>
    <row r="50" spans="1:5" ht="14.25">
      <c r="A50" s="103" t="s">
        <v>80</v>
      </c>
      <c r="B50" s="102" t="e">
        <f>ROUND(HLOOKUP($B$3,pl!$D$1:$AC$71,MATCH(A50,pl!$B$1:$B$71,),FALSE),0)/IF(LEN($G$6)&gt;4,10000,1)</f>
        <v>#N/A</v>
      </c>
      <c r="C50" s="102" t="e">
        <f>ROUND(HLOOKUP($C$3,pl!$D$1:$AC$71,MATCH(A50,pl!$B$1:$B$71,),FALSE),0)/IF(LEN($G$6)&gt;4,10000,1)</f>
        <v>#N/A</v>
      </c>
      <c r="D50" s="102" t="e">
        <f>ROUND(HLOOKUP($D$3,pl!$D$1:$AC$71,MATCH(A50,pl!$B$1:$B$71,),FALSE),0)/IF(LEN($G$6)&gt;4,10000,1)</f>
        <v>#N/A</v>
      </c>
      <c r="E50" s="102" t="e">
        <f>ROUND(HLOOKUP($E$3,pl!$D$1:$AC$71,MATCH(A50,pl!$B$1:$B$71,),FALSE),0)/IF(LEN($G$6)&gt;4,10000,1)</f>
        <v>#N/A</v>
      </c>
    </row>
    <row r="51" spans="1:5" ht="14.25">
      <c r="A51" s="101" t="s">
        <v>81</v>
      </c>
      <c r="B51" s="102" t="e">
        <f>ROUND(HLOOKUP($B$3,pl!$D$1:$AC$71,MATCH(A51,pl!$B$1:$B$71,),FALSE),0)/IF(LEN($G$6)&gt;4,10000,1)</f>
        <v>#N/A</v>
      </c>
      <c r="C51" s="102" t="e">
        <f>ROUND(HLOOKUP($C$3,pl!$D$1:$AC$71,MATCH(A51,pl!$B$1:$B$71,),FALSE),0)/IF(LEN($G$6)&gt;4,10000,1)</f>
        <v>#N/A</v>
      </c>
      <c r="D51" s="102" t="e">
        <f>ROUND(HLOOKUP($D$3,pl!$D$1:$AC$71,MATCH(A51,pl!$B$1:$B$71,),FALSE),0)/IF(LEN($G$6)&gt;4,10000,1)</f>
        <v>#N/A</v>
      </c>
      <c r="E51" s="102" t="e">
        <f>ROUND(HLOOKUP($E$3,pl!$D$1:$AC$71,MATCH(A51,pl!$B$1:$B$71,),FALSE),0)/IF(LEN($G$6)&gt;4,10000,1)</f>
        <v>#N/A</v>
      </c>
    </row>
    <row r="52" spans="1:5" ht="14.25">
      <c r="A52" s="103" t="s">
        <v>82</v>
      </c>
      <c r="B52" s="102" t="e">
        <f>ROUND(HLOOKUP($B$3,pl!$D$1:$AC$71,MATCH(A52,pl!$B$1:$B$71,),FALSE),0)/IF(LEN($G$6)&gt;4,10000,1)</f>
        <v>#N/A</v>
      </c>
      <c r="C52" s="102" t="e">
        <f>ROUND(HLOOKUP($C$3,pl!$D$1:$AC$71,MATCH(A52,pl!$B$1:$B$71,),FALSE),0)/IF(LEN($G$6)&gt;4,10000,1)</f>
        <v>#N/A</v>
      </c>
      <c r="D52" s="102" t="e">
        <f>ROUND(HLOOKUP($D$3,pl!$D$1:$AC$71,MATCH(A52,pl!$B$1:$B$71,),FALSE),0)/IF(LEN($G$6)&gt;4,10000,1)</f>
        <v>#N/A</v>
      </c>
      <c r="E52" s="102" t="e">
        <f>ROUND(HLOOKUP($E$3,pl!$D$1:$AC$71,MATCH(A52,pl!$B$1:$B$71,),FALSE),0)/IF(LEN($G$6)&gt;4,10000,1)</f>
        <v>#N/A</v>
      </c>
    </row>
    <row r="53" spans="1:5" ht="44.25" customHeight="1">
      <c r="A53" s="103" t="s">
        <v>106</v>
      </c>
      <c r="B53" s="142"/>
      <c r="C53" s="142"/>
      <c r="D53" s="142"/>
      <c r="E53" s="142"/>
    </row>
    <row r="54" spans="1:5" ht="15.75" customHeight="1">
      <c r="A54" s="138" t="s">
        <v>107</v>
      </c>
      <c r="B54" s="138"/>
      <c r="C54" s="138"/>
      <c r="D54" s="138"/>
      <c r="E54" s="138"/>
    </row>
    <row r="55" spans="1:5" ht="28.5">
      <c r="A55" s="103" t="s">
        <v>83</v>
      </c>
      <c r="B55" s="102" t="e">
        <f>ROUND(HLOOKUP($B$3,cf!$D$1:$AC$68,MATCH(A55,cf!$B$1:$B$68,),FALSE),0)/IF(LEN($G$6)&gt;4,10000,1)</f>
        <v>#N/A</v>
      </c>
      <c r="C55" s="102" t="e">
        <f>ROUND(HLOOKUP($C$3,cf!$D$1:$AC$68,MATCH(A55,cf!$B$1:$B$68,),FALSE),0)/IF(LEN($G$6)&gt;4,10000,1)</f>
        <v>#N/A</v>
      </c>
      <c r="D55" s="102" t="e">
        <f>ROUND(HLOOKUP($D$3,cf!$D$1:$AC$68,MATCH(A55,cf!$B$1:$B$68,),FALSE),0)/IF(LEN($G$6)&gt;4,10000,1)</f>
        <v>#N/A</v>
      </c>
      <c r="E55" s="102" t="e">
        <f>ROUND(HLOOKUP($E$3,cf!$D$1:$AC$68,MATCH(A55,cf!$B$1:$B$68,),FALSE),0)/IF(LEN($G$6)&gt;4,10000,1)</f>
        <v>#N/A</v>
      </c>
    </row>
    <row r="56" spans="1:5" ht="14.25">
      <c r="A56" s="101" t="s">
        <v>84</v>
      </c>
      <c r="B56" s="102" t="e">
        <f>ROUND(HLOOKUP($B$3,cf!$D$1:$AC$68,MATCH(A56,cf!$B$1:$B$68,),FALSE),0)/IF(LEN($G$6)&gt;4,10000,1)</f>
        <v>#N/A</v>
      </c>
      <c r="C56" s="102" t="e">
        <f>ROUND(HLOOKUP($C$3,cf!$D$1:$AC$68,MATCH(A56,cf!$B$1:$B$68,),FALSE),0)/IF(LEN($G$6)&gt;4,10000,1)</f>
        <v>#N/A</v>
      </c>
      <c r="D56" s="102" t="e">
        <f>ROUND(HLOOKUP($D$3,cf!$D$1:$AC$68,MATCH(A56,cf!$B$1:$B$68,),FALSE),0)/IF(LEN($G$6)&gt;4,10000,1)</f>
        <v>#N/A</v>
      </c>
      <c r="E56" s="102" t="e">
        <f>ROUND(HLOOKUP($E$3,cf!$D$1:$AC$68,MATCH(A56,cf!$B$1:$B$68,),FALSE),0)/IF(LEN($G$6)&gt;4,10000,1)</f>
        <v>#N/A</v>
      </c>
    </row>
    <row r="57" spans="1:5" ht="14.25">
      <c r="A57" s="101" t="s">
        <v>86</v>
      </c>
      <c r="B57" s="102" t="e">
        <f>ROUND(HLOOKUP($B$3,cf!$D$1:$AC$68,MATCH(A57,cf!$B$1:$B$68,),FALSE),0)/IF(LEN($G$6)&gt;4,10000,1)</f>
        <v>#N/A</v>
      </c>
      <c r="C57" s="102" t="e">
        <f>ROUND(HLOOKUP($C$3,cf!$D$1:$AC$68,MATCH(A57,cf!$B$1:$B$68,),FALSE),0)/IF(LEN($G$6)&gt;4,10000,1)</f>
        <v>#N/A</v>
      </c>
      <c r="D57" s="102" t="e">
        <f>ROUND(HLOOKUP($D$3,cf!$D$1:$AC$68,MATCH(A57,cf!$B$1:$B$68,),FALSE),0)/IF(LEN($G$6)&gt;4,10000,1)</f>
        <v>#N/A</v>
      </c>
      <c r="E57" s="102" t="e">
        <f>ROUND(HLOOKUP($E$3,cf!$D$1:$AC$68,MATCH(A57,cf!$B$1:$B$68,),FALSE),0)/IF(LEN($G$6)&gt;4,10000,1)</f>
        <v>#N/A</v>
      </c>
    </row>
    <row r="58" spans="1:5" ht="28.5">
      <c r="A58" s="103" t="s">
        <v>87</v>
      </c>
      <c r="B58" s="102">
        <f>ROUND(HLOOKUP($B$3,cf!$D$1:$AC$68,MATCH(A58,cf!$B$1:$B$68,),FALSE),0)/IF(LEN($G$6)&gt;4,10000,1)</f>
        <v>0</v>
      </c>
      <c r="C58" s="102">
        <f>ROUND(HLOOKUP($C$3,cf!$D$1:$AC$68,MATCH(A58,cf!$B$1:$B$68,),FALSE),0)/IF(LEN($G$6)&gt;4,10000,1)</f>
        <v>0</v>
      </c>
      <c r="D58" s="102">
        <f>ROUND(HLOOKUP($D$3,cf!$D$1:$AC$68,MATCH(A58,cf!$B$1:$B$68,),FALSE),0)/IF(LEN($G$6)&gt;4,10000,1)</f>
        <v>0</v>
      </c>
      <c r="E58" s="102">
        <f>ROUND(HLOOKUP($E$3,cf!$D$1:$AC$68,MATCH(A58,cf!$B$1:$B$68,),FALSE),0)/IF(LEN($G$6)&gt;4,10000,1)</f>
        <v>0</v>
      </c>
    </row>
    <row r="59" spans="1:5" ht="14.25">
      <c r="A59" s="101" t="s">
        <v>88</v>
      </c>
      <c r="B59" s="102" t="e">
        <f>ROUND(HLOOKUP($B$3,cf!$D$1:$AC$68,MATCH(A59,cf!$B$1:$B$68,),FALSE),0)/IF(LEN($G$6)&gt;4,10000,1)</f>
        <v>#N/A</v>
      </c>
      <c r="C59" s="102" t="e">
        <f>ROUND(HLOOKUP($C$3,cf!$D$1:$AC$68,MATCH(A59,cf!$B$1:$B$68,),FALSE),0)/IF(LEN($G$6)&gt;4,10000,1)</f>
        <v>#N/A</v>
      </c>
      <c r="D59" s="102" t="e">
        <f>ROUND(HLOOKUP($D$3,cf!$D$1:$AC$68,MATCH(A59,cf!$B$1:$B$68,),FALSE),0)/IF(LEN($G$6)&gt;4,10000,1)</f>
        <v>#N/A</v>
      </c>
      <c r="E59" s="102" t="e">
        <f>ROUND(HLOOKUP($E$3,cf!$D$1:$AC$68,MATCH(A59,cf!$B$1:$B$68,),FALSE),0)/IF(LEN($G$6)&gt;4,10000,1)</f>
        <v>#N/A</v>
      </c>
    </row>
    <row r="60" spans="1:5" ht="14.25">
      <c r="A60" s="101" t="s">
        <v>89</v>
      </c>
      <c r="B60" s="102" t="e">
        <f>ROUND(HLOOKUP($B$3,cf!$D$1:$AC$68,MATCH(A60,cf!$B$1:$B$68,),FALSE),0)/IF(LEN($G$6)&gt;4,10000,1)</f>
        <v>#N/A</v>
      </c>
      <c r="C60" s="102" t="e">
        <f>ROUND(HLOOKUP($C$3,cf!$D$1:$AC$68,MATCH(A60,cf!$B$1:$B$68,),FALSE),0)/IF(LEN($G$6)&gt;4,10000,1)</f>
        <v>#N/A</v>
      </c>
      <c r="D60" s="102" t="e">
        <f>ROUND(HLOOKUP($D$3,cf!$D$1:$AC$68,MATCH(A60,cf!$B$1:$B$68,),FALSE),0)/IF(LEN($G$6)&gt;4,10000,1)</f>
        <v>#N/A</v>
      </c>
      <c r="E60" s="102" t="e">
        <f>ROUND(HLOOKUP($E$3,cf!$D$1:$AC$68,MATCH(A60,cf!$B$1:$B$68,),FALSE),0)/IF(LEN($G$6)&gt;4,10000,1)</f>
        <v>#N/A</v>
      </c>
    </row>
    <row r="61" spans="1:5" ht="28.5">
      <c r="A61" s="103" t="s">
        <v>90</v>
      </c>
      <c r="B61" s="102">
        <f>ROUND(HLOOKUP($B$3,cf!$D$1:$AC$68,MATCH(A61,cf!$B$1:$B$68,),FALSE),0)/IF(LEN($G$6)&gt;4,10000,1)</f>
        <v>0</v>
      </c>
      <c r="C61" s="102">
        <f>ROUND(HLOOKUP($C$3,cf!$D$1:$AC$68,MATCH(A61,cf!$B$1:$B$68,),FALSE),0)/IF(LEN($G$6)&gt;4,10000,1)</f>
        <v>0</v>
      </c>
      <c r="D61" s="102">
        <f>ROUND(HLOOKUP($D$3,cf!$D$1:$AC$68,MATCH(A61,cf!$B$1:$B$68,),FALSE),0)/IF(LEN($G$6)&gt;4,10000,1)</f>
        <v>0</v>
      </c>
      <c r="E61" s="102">
        <f>ROUND(HLOOKUP($E$3,cf!$D$1:$AC$68,MATCH(A61,cf!$B$1:$B$68,),FALSE),0)/IF(LEN($G$6)&gt;4,10000,1)</f>
        <v>0</v>
      </c>
    </row>
    <row r="62" spans="1:5" ht="14.25">
      <c r="A62" s="101" t="s">
        <v>92</v>
      </c>
      <c r="B62" s="102" t="e">
        <f>ROUND(HLOOKUP($B$3,cf!$D$1:$AC$68,MATCH(A62,cf!$B$1:$B$68,),FALSE),0)/IF(LEN($G$6)&gt;4,10000,1)</f>
        <v>#N/A</v>
      </c>
      <c r="C62" s="102" t="e">
        <f>ROUND(HLOOKUP($C$3,cf!$D$1:$AC$68,MATCH(A62,cf!$B$1:$B$68,),FALSE),0)/IF(LEN($G$6)&gt;4,10000,1)</f>
        <v>#N/A</v>
      </c>
      <c r="D62" s="102" t="e">
        <f>ROUND(HLOOKUP($D$3,cf!$D$1:$AC$68,MATCH(A62,cf!$B$1:$B$68,),FALSE),0)/IF(LEN($G$6)&gt;4,10000,1)</f>
        <v>#N/A</v>
      </c>
      <c r="E62" s="102" t="e">
        <f>ROUND(HLOOKUP($E$3,cf!$D$1:$AC$68,MATCH(A62,cf!$B$1:$B$68,),FALSE),0)/IF(LEN($G$6)&gt;4,10000,1)</f>
        <v>#N/A</v>
      </c>
    </row>
    <row r="63" spans="1:5" ht="14.25">
      <c r="A63" s="101" t="s">
        <v>96</v>
      </c>
      <c r="B63" s="102" t="e">
        <f>ROUND(HLOOKUP($B$3,cf!$D$1:$AC$68,MATCH(A63,cf!$B$1:$B$68,),FALSE),0)/IF(LEN($G$6)&gt;4,10000,1)</f>
        <v>#N/A</v>
      </c>
      <c r="C63" s="102" t="e">
        <f>ROUND(HLOOKUP($C$3,cf!$D$1:$AC$68,MATCH(A63,cf!$B$1:$B$68,),FALSE),0)/IF(LEN($G$6)&gt;4,10000,1)</f>
        <v>#N/A</v>
      </c>
      <c r="D63" s="102" t="e">
        <f>ROUND(HLOOKUP($D$3,cf!$D$1:$AC$68,MATCH(A63,cf!$B$1:$B$68,),FALSE),0)/IF(LEN($G$6)&gt;4,10000,1)</f>
        <v>#N/A</v>
      </c>
      <c r="E63" s="102" t="e">
        <f>ROUND(HLOOKUP($E$3,cf!$D$1:$AC$68,MATCH(A63,cf!$B$1:$B$68,),FALSE),0)/IF(LEN($G$6)&gt;4,10000,1)</f>
        <v>#N/A</v>
      </c>
    </row>
    <row r="64" spans="1:5" ht="28.5">
      <c r="A64" s="103" t="s">
        <v>97</v>
      </c>
      <c r="B64" s="102" t="e">
        <f>ROUND(HLOOKUP($B$3,cf!$D$1:$AC$68,MATCH(A64,cf!$B$1:$B$68,),FALSE),0)/IF(LEN($G$6)&gt;4,10000,1)</f>
        <v>#N/A</v>
      </c>
      <c r="C64" s="102" t="e">
        <f>ROUND(HLOOKUP($C$3,cf!$D$1:$AC$68,MATCH(A64,cf!$B$1:$B$68,),FALSE),0)/IF(LEN($G$6)&gt;4,10000,1)</f>
        <v>#N/A</v>
      </c>
      <c r="D64" s="102" t="e">
        <f>ROUND(HLOOKUP($D$3,cf!$D$1:$AC$68,MATCH(A64,cf!$B$1:$B$68,),FALSE),0)/IF(LEN($G$6)&gt;4,10000,1)</f>
        <v>#N/A</v>
      </c>
      <c r="E64" s="102" t="e">
        <f>ROUND(HLOOKUP($E$3,cf!$D$1:$AC$68,MATCH(A64,cf!$B$1:$B$68,),FALSE),0)/IF(LEN($G$6)&gt;4,10000,1)</f>
        <v>#N/A</v>
      </c>
    </row>
    <row r="65" spans="1:7" ht="28.5">
      <c r="A65" s="103" t="s">
        <v>108</v>
      </c>
      <c r="B65" s="102" t="e">
        <f>ROUND(HLOOKUP(B$3,cf!$D$1:$AC$68,MATCH(CONCATENATE("五、",$A$65),cf!$B$1:$B$68,),FALSE),0)/IF(LEN($G$6)&gt;4,10000,1)</f>
        <v>#N/A</v>
      </c>
      <c r="C65" s="102" t="e">
        <f>ROUND(HLOOKUP(C$3,cf!$D$1:$AC$68,MATCH(CONCATENATE("五、",$A$65),cf!$B$1:$B$68,),FALSE),0)/IF(LEN($G$6)&gt;4,10000,1)</f>
        <v>#N/A</v>
      </c>
      <c r="D65" s="102" t="e">
        <f>ROUND(HLOOKUP(D$3,cf!$D$1:$AC$68,MATCH(CONCATENATE("五、",$A$65),cf!$B$1:$B$68,),FALSE),0)/IF(LEN($G$6)&gt;4,10000,1)</f>
        <v>#N/A</v>
      </c>
      <c r="E65" s="102" t="e">
        <f>ROUND(HLOOKUP(E$3,cf!$D$1:$AC$68,MATCH(CONCATENATE("五、",$A$65),cf!$B$1:$B$68,),FALSE),0)/IF(LEN($G$6)&gt;4,10000,1)</f>
        <v>#N/A</v>
      </c>
    </row>
    <row r="66" spans="1:7" ht="44.25" customHeight="1">
      <c r="A66" s="103" t="s">
        <v>109</v>
      </c>
      <c r="B66" s="139"/>
      <c r="C66" s="139"/>
      <c r="D66" s="139"/>
      <c r="E66" s="139"/>
    </row>
    <row r="67" spans="1:7" ht="15.75" customHeight="1">
      <c r="A67" s="136" t="s">
        <v>110</v>
      </c>
      <c r="B67" s="136"/>
      <c r="C67" s="136"/>
      <c r="D67" s="136"/>
      <c r="E67" s="136"/>
    </row>
    <row r="68" spans="1:7" ht="14.25">
      <c r="A68" s="104" t="s">
        <v>111</v>
      </c>
      <c r="B68" s="105" t="e">
        <f>B12/B27</f>
        <v>#N/A</v>
      </c>
      <c r="C68" s="105" t="e">
        <f>C12/C27</f>
        <v>#N/A</v>
      </c>
      <c r="D68" s="105" t="e">
        <f>D12/D27</f>
        <v>#N/A</v>
      </c>
      <c r="E68" s="105" t="e">
        <f>E12/E27</f>
        <v>#N/A</v>
      </c>
      <c r="G68" t="e">
        <f>CONCATENATE("从短期偿债能力指标看，近三年及一期，拟承租人",A68,"分别为",ROUND(E68,2),"、",ROUND(D68,2),"、",ROUND(C68,2),"和",ROUND(B68,2),"。")</f>
        <v>#N/A</v>
      </c>
    </row>
    <row r="69" spans="1:7" ht="14.25">
      <c r="A69" s="104" t="s">
        <v>112</v>
      </c>
      <c r="B69" s="102" t="e">
        <f>(B12-B11)/B27</f>
        <v>#N/A</v>
      </c>
      <c r="C69" s="102" t="e">
        <f>(C12-C11)/C27</f>
        <v>#N/A</v>
      </c>
      <c r="D69" s="102" t="e">
        <f>(D12-D11)/D27</f>
        <v>#N/A</v>
      </c>
      <c r="E69" s="102" t="e">
        <f>(E12-E11)/E27</f>
        <v>#N/A</v>
      </c>
      <c r="G69" t="e">
        <f>CONCATENATE("从短期偿债能力指标看，近三年及一期，拟承租人",A69,"分别为",ROUND(E69,2),"、",ROUND(D69,2),"、",ROUND(C69,2),"和",ROUND(B69,2),"。")</f>
        <v>#N/A</v>
      </c>
    </row>
    <row r="70" spans="1:7" ht="14.25">
      <c r="A70" s="104" t="s">
        <v>113</v>
      </c>
      <c r="B70" s="106" t="e">
        <f>B34/B21</f>
        <v>#N/A</v>
      </c>
      <c r="C70" s="106" t="e">
        <f>C34/C21</f>
        <v>#N/A</v>
      </c>
      <c r="D70" s="106" t="e">
        <f>D34/D21</f>
        <v>#N/A</v>
      </c>
      <c r="E70" s="106" t="e">
        <f>E34/E21</f>
        <v>#N/A</v>
      </c>
      <c r="G70" t="e">
        <f>CONCATENATE("近三年及一期，拟承租人",A70,"分别为",TEXT(E70,"0.00%"),"、",TEXT(D70,"0.00%"),"、",TEXT(C70,"0.00%"),"和",TEXT(B70,"0.00%"),"。")</f>
        <v>#N/A</v>
      </c>
    </row>
    <row r="71" spans="1:7" ht="14.25">
      <c r="A71" s="104" t="s">
        <v>114</v>
      </c>
      <c r="B71" s="107"/>
      <c r="C71" s="107"/>
      <c r="D71" s="107"/>
      <c r="E71" s="107"/>
      <c r="G71" t="str">
        <f>CONCATENATE("近三年及一期，拟承租人",A71,"分别为",TEXT(E71,"0.00%"),"、",TEXT(D71,"0.00%"),"、",TEXT(C71,"0.00%"),"和",TEXT(B71,"0.00%"),"。")</f>
        <v>近三年及一期，拟承租人调整后的资产负债率（%）分别为0.00%、0.00%、0.00%和0.00%。</v>
      </c>
    </row>
    <row r="72" spans="1:7" ht="14.25">
      <c r="A72" s="104" t="s">
        <v>115</v>
      </c>
      <c r="B72" s="106" t="e">
        <f>B27/B34</f>
        <v>#N/A</v>
      </c>
      <c r="C72" s="106" t="e">
        <f>C27/C34</f>
        <v>#N/A</v>
      </c>
      <c r="D72" s="106" t="e">
        <f>D27/D34</f>
        <v>#N/A</v>
      </c>
      <c r="E72" s="106" t="e">
        <f>E27/E34</f>
        <v>#N/A</v>
      </c>
      <c r="G72" t="e">
        <f>CONCATENATE("近三年及一期，拟承租人",A72,"分别为",TEXT(E72,"0.00%"),"、",TEXT(D72,"0.00%"),"、",TEXT(C72,"0.00%"),"和",TEXT(B72,"0.00%"),"。")</f>
        <v>#N/A</v>
      </c>
    </row>
    <row r="73" spans="1:7" ht="15.75" customHeight="1">
      <c r="A73" s="136" t="s">
        <v>116</v>
      </c>
      <c r="B73" s="136"/>
      <c r="C73" s="136"/>
      <c r="D73" s="136"/>
      <c r="E73" s="136"/>
    </row>
    <row r="74" spans="1:7" ht="14.25">
      <c r="A74" s="104" t="s">
        <v>117</v>
      </c>
      <c r="B74" s="108" t="e">
        <f>0+(B43/(B11+C11)*2)</f>
        <v>#N/A</v>
      </c>
      <c r="C74" s="108" t="e">
        <f>C43/(C11+D11)*2</f>
        <v>#N/A</v>
      </c>
      <c r="D74" s="108" t="e">
        <f>0+(D43/(D11+E11)*2)</f>
        <v>#N/A</v>
      </c>
      <c r="E74" s="108" t="e">
        <f>E43/E11</f>
        <v>#N/A</v>
      </c>
    </row>
    <row r="75" spans="1:7" ht="14.25">
      <c r="A75" s="104" t="s">
        <v>118</v>
      </c>
      <c r="B75" s="102" t="e">
        <f>0+(B42/(B21+C21)*2)</f>
        <v>#N/A</v>
      </c>
      <c r="C75" s="102" t="e">
        <f>C42/(C21+D21)*2</f>
        <v>#N/A</v>
      </c>
      <c r="D75" s="102" t="e">
        <f>D42/(D21+E21)*2</f>
        <v>#N/A</v>
      </c>
      <c r="E75" s="102" t="e">
        <f>E42/E21</f>
        <v>#N/A</v>
      </c>
    </row>
    <row r="76" spans="1:7" ht="14.25">
      <c r="A76" s="104" t="s">
        <v>119</v>
      </c>
      <c r="B76" s="102" t="e">
        <f>0+(B42/(B8+C8)*2)</f>
        <v>#N/A</v>
      </c>
      <c r="C76" s="102" t="e">
        <f>C42/(C8+D8)*2</f>
        <v>#N/A</v>
      </c>
      <c r="D76" s="102" t="e">
        <f>D42/(D8+E8)*2</f>
        <v>#N/A</v>
      </c>
      <c r="E76" s="102" t="e">
        <f>E42/E8</f>
        <v>#N/A</v>
      </c>
    </row>
    <row r="77" spans="1:7" ht="14.25">
      <c r="A77" s="104" t="s">
        <v>120</v>
      </c>
      <c r="B77" s="106" t="e">
        <f>0+(B43/B42)</f>
        <v>#N/A</v>
      </c>
      <c r="C77" s="106" t="e">
        <f>C43/C42</f>
        <v>#N/A</v>
      </c>
      <c r="D77" s="106" t="e">
        <f>D43/D42</f>
        <v>#N/A</v>
      </c>
      <c r="E77" s="106" t="e">
        <f>E43/E42</f>
        <v>#N/A</v>
      </c>
    </row>
    <row r="78" spans="1:7" ht="14.25">
      <c r="A78" s="104" t="s">
        <v>121</v>
      </c>
      <c r="B78" s="106" t="e">
        <f>0+(B45/B42)</f>
        <v>#N/A</v>
      </c>
      <c r="C78" s="106" t="e">
        <f>C45/C42</f>
        <v>#N/A</v>
      </c>
      <c r="D78" s="106" t="e">
        <f>D45/D42</f>
        <v>#N/A</v>
      </c>
      <c r="E78" s="106" t="e">
        <f>E45/E42</f>
        <v>#N/A</v>
      </c>
    </row>
    <row r="79" spans="1:7" ht="14.25">
      <c r="A79" s="104" t="s">
        <v>122</v>
      </c>
      <c r="B79" s="106" t="e">
        <f>0+(B46/B42)</f>
        <v>#N/A</v>
      </c>
      <c r="C79" s="106" t="e">
        <f>C46/C42</f>
        <v>#N/A</v>
      </c>
      <c r="D79" s="106" t="e">
        <f>D46/D42</f>
        <v>#N/A</v>
      </c>
      <c r="E79" s="106" t="e">
        <f>E46/E42</f>
        <v>#N/A</v>
      </c>
    </row>
    <row r="80" spans="1:7" ht="14.25">
      <c r="A80" s="104" t="s">
        <v>123</v>
      </c>
      <c r="B80" s="106" t="e">
        <f>0+(B47/B42)</f>
        <v>#N/A</v>
      </c>
      <c r="C80" s="106" t="e">
        <f>C47/C42</f>
        <v>#N/A</v>
      </c>
      <c r="D80" s="106" t="e">
        <f>D47/D42</f>
        <v>#N/A</v>
      </c>
      <c r="E80" s="106" t="e">
        <f>E47/E42</f>
        <v>#N/A</v>
      </c>
    </row>
    <row r="81" spans="1:7" ht="15.75" customHeight="1">
      <c r="A81" s="136" t="s">
        <v>124</v>
      </c>
      <c r="B81" s="136"/>
      <c r="C81" s="136"/>
      <c r="D81" s="136"/>
      <c r="E81" s="136"/>
    </row>
    <row r="82" spans="1:7" ht="14.25">
      <c r="A82" s="104" t="s">
        <v>125</v>
      </c>
      <c r="B82" s="106" t="e">
        <f>B52/B42</f>
        <v>#N/A</v>
      </c>
      <c r="C82" s="106" t="e">
        <f>C52/C42</f>
        <v>#N/A</v>
      </c>
      <c r="D82" s="106" t="e">
        <f>D52/D42</f>
        <v>#N/A</v>
      </c>
      <c r="E82" s="106" t="e">
        <f>E52/E42</f>
        <v>#N/A</v>
      </c>
    </row>
    <row r="83" spans="1:7" ht="14.25">
      <c r="A83" s="104" t="s">
        <v>126</v>
      </c>
      <c r="B83" s="106" t="e">
        <f>(B42-B43)/B42</f>
        <v>#N/A</v>
      </c>
      <c r="C83" s="106" t="e">
        <f>(C42-C43)/C42</f>
        <v>#N/A</v>
      </c>
      <c r="D83" s="106" t="e">
        <f>(D42-D43)/D42</f>
        <v>#N/A</v>
      </c>
      <c r="E83" s="106" t="e">
        <f>(E42-E43)/E42</f>
        <v>#N/A</v>
      </c>
      <c r="G83" s="15" t="e">
        <f>CONCATENATE("近三年及一期，拟承租人营业毛利率分别为",TEXT(E83,"0.00%"),"、",TEXT(D83,"0.00%"),"、",TEXT(C83,"0.00%"),"及",TEXT(B83,"0.00%"),"。")</f>
        <v>#N/A</v>
      </c>
    </row>
    <row r="84" spans="1:7" ht="14.25">
      <c r="A84" s="104" t="s">
        <v>127</v>
      </c>
      <c r="B84" s="106" t="e">
        <f>B49/(B21+C21)*2</f>
        <v>#N/A</v>
      </c>
      <c r="C84" s="106" t="e">
        <f>C49/(C21+D21)*2</f>
        <v>#N/A</v>
      </c>
      <c r="D84" s="106" t="e">
        <f>D49/(D21+E21)*2</f>
        <v>#N/A</v>
      </c>
      <c r="E84" s="106" t="e">
        <f>E49/E21</f>
        <v>#N/A</v>
      </c>
    </row>
    <row r="85" spans="1:7" ht="14.25">
      <c r="A85" s="104" t="s">
        <v>128</v>
      </c>
      <c r="B85" s="106" t="e">
        <f>B52/(B21+C21)*2</f>
        <v>#N/A</v>
      </c>
      <c r="C85" s="106" t="e">
        <f>C52/(C21+D21)*2</f>
        <v>#N/A</v>
      </c>
      <c r="D85" s="106" t="e">
        <f>D52/(D21+E21)*2</f>
        <v>#N/A</v>
      </c>
      <c r="E85" s="106" t="e">
        <f>E52/E21</f>
        <v>#N/A</v>
      </c>
    </row>
    <row r="86" spans="1:7" ht="14.25">
      <c r="A86" s="104" t="s">
        <v>129</v>
      </c>
      <c r="B86" s="106" t="e">
        <f>B52/(B40+C40)*2</f>
        <v>#N/A</v>
      </c>
      <c r="C86" s="106" t="e">
        <f>C52/(C40+D40)*2</f>
        <v>#N/A</v>
      </c>
      <c r="D86" s="106" t="e">
        <f>D52/(D40+E40)*2</f>
        <v>#N/A</v>
      </c>
      <c r="E86" s="106" t="e">
        <f>E52/E40</f>
        <v>#N/A</v>
      </c>
    </row>
    <row r="87" spans="1:7" ht="15.75" customHeight="1">
      <c r="A87" s="136" t="s">
        <v>130</v>
      </c>
      <c r="B87" s="136"/>
      <c r="C87" s="136"/>
      <c r="D87" s="136"/>
      <c r="E87" s="136"/>
    </row>
    <row r="88" spans="1:7" ht="14.25">
      <c r="A88" s="104" t="s">
        <v>131</v>
      </c>
      <c r="B88" s="106" t="e">
        <f>B40/B21</f>
        <v>#N/A</v>
      </c>
      <c r="C88" s="106" t="e">
        <f>C40/C21</f>
        <v>#N/A</v>
      </c>
      <c r="D88" s="106" t="e">
        <f>D40/D21</f>
        <v>#N/A</v>
      </c>
      <c r="E88" s="106" t="e">
        <f>E40/E21</f>
        <v>#N/A</v>
      </c>
    </row>
    <row r="89" spans="1:7" ht="14.25">
      <c r="A89" s="104" t="s">
        <v>132</v>
      </c>
      <c r="B89" s="106" t="e">
        <f>B33/B21</f>
        <v>#N/A</v>
      </c>
      <c r="C89" s="106" t="e">
        <f>C33/C21</f>
        <v>#N/A</v>
      </c>
      <c r="D89" s="106" t="e">
        <f>D33/D21</f>
        <v>#N/A</v>
      </c>
      <c r="E89" s="106" t="e">
        <f>E33/E21</f>
        <v>#N/A</v>
      </c>
    </row>
    <row r="90" spans="1:7" ht="15.75" customHeight="1">
      <c r="A90" s="136" t="s">
        <v>133</v>
      </c>
      <c r="B90" s="136"/>
      <c r="C90" s="136"/>
      <c r="D90" s="136"/>
      <c r="E90" s="136"/>
    </row>
    <row r="91" spans="1:7" ht="28.5">
      <c r="A91" s="109" t="s">
        <v>134</v>
      </c>
      <c r="B91" s="102" t="e">
        <f>B55/B42</f>
        <v>#N/A</v>
      </c>
      <c r="C91" s="102" t="e">
        <f>C55/C42</f>
        <v>#N/A</v>
      </c>
      <c r="D91" s="102" t="e">
        <f>D55/D42</f>
        <v>#N/A</v>
      </c>
      <c r="E91" s="102" t="e">
        <f>E55/E42</f>
        <v>#N/A</v>
      </c>
    </row>
    <row r="92" spans="1:7" ht="28.5">
      <c r="A92" s="109" t="s">
        <v>135</v>
      </c>
      <c r="B92" s="102" t="e">
        <f>B58/B50</f>
        <v>#N/A</v>
      </c>
      <c r="C92" s="102" t="e">
        <f>C58/C50</f>
        <v>#N/A</v>
      </c>
      <c r="D92" s="102" t="e">
        <f>D58/D50</f>
        <v>#N/A</v>
      </c>
      <c r="E92" s="102" t="e">
        <f>E58/E50</f>
        <v>#N/A</v>
      </c>
    </row>
    <row r="93" spans="1:7" ht="28.5">
      <c r="A93" s="109" t="s">
        <v>136</v>
      </c>
      <c r="B93" s="102" t="e">
        <f>B65/B50</f>
        <v>#N/A</v>
      </c>
      <c r="C93" s="102" t="e">
        <f>C65/C50</f>
        <v>#N/A</v>
      </c>
      <c r="D93" s="102" t="e">
        <f>D65/D50</f>
        <v>#N/A</v>
      </c>
      <c r="E93" s="102" t="e">
        <f>E65/E50</f>
        <v>#N/A</v>
      </c>
    </row>
  </sheetData>
  <mergeCells count="13">
    <mergeCell ref="A1:E1"/>
    <mergeCell ref="A2:E2"/>
    <mergeCell ref="A5:E5"/>
    <mergeCell ref="A41:E41"/>
    <mergeCell ref="B53:E53"/>
    <mergeCell ref="A87:E87"/>
    <mergeCell ref="A90:E90"/>
    <mergeCell ref="A3:A4"/>
    <mergeCell ref="A54:E54"/>
    <mergeCell ref="B66:E66"/>
    <mergeCell ref="A67:E67"/>
    <mergeCell ref="A73:E73"/>
    <mergeCell ref="A81:E81"/>
  </mergeCells>
  <phoneticPr fontId="37" type="noConversion"/>
  <dataValidations count="1">
    <dataValidation type="list" allowBlank="1" showInputMessage="1" showErrorMessage="1" sqref="G6" xr:uid="{00000000-0002-0000-0300-000000000000}">
      <formula1>"单位：元,单位：万元"</formula1>
    </dataValidation>
  </dataValidations>
  <pageMargins left="0.75" right="0.75" top="1" bottom="1" header="0.5" footer="0.5"/>
  <pageSetup paperSize="9" scale="67" fitToHeight="0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G75"/>
  <sheetViews>
    <sheetView workbookViewId="0">
      <pane xSplit="1" ySplit="1" topLeftCell="B2" activePane="bottomRight" state="frozen"/>
      <selection pane="topRight"/>
      <selection pane="bottomLeft"/>
      <selection pane="bottomRight" activeCell="A44" sqref="A44"/>
    </sheetView>
  </sheetViews>
  <sheetFormatPr defaultColWidth="10.28515625" defaultRowHeight="14.25"/>
  <cols>
    <col min="1" max="1" width="20.7109375" style="84" customWidth="1"/>
    <col min="2" max="5" width="13.5703125" style="85" customWidth="1"/>
    <col min="6" max="16384" width="10.28515625" style="84"/>
  </cols>
  <sheetData>
    <row r="1" spans="1:7">
      <c r="A1" s="86" t="s">
        <v>137</v>
      </c>
      <c r="B1" s="87">
        <v>43465</v>
      </c>
      <c r="C1" s="87">
        <f>DATE(YEAR(B1)+1,MONTH(B1),DAY(B1))</f>
        <v>43830</v>
      </c>
      <c r="D1" s="88">
        <f>DATE(YEAR(B1)+2,MONTH(B1),DAY(B1))</f>
        <v>44196</v>
      </c>
      <c r="E1" s="88">
        <f>bs!H1</f>
        <v>44530</v>
      </c>
    </row>
    <row r="2" spans="1:7">
      <c r="A2" s="89" t="s">
        <v>138</v>
      </c>
      <c r="B2" s="90">
        <f>ROUND(HLOOKUP(B1,bs!$D$1:$AE$110,ROW(bs!D7),FALSE),0)/IF(LEN($G$6)&gt;4,10000,1)</f>
        <v>0</v>
      </c>
      <c r="C2" s="90" t="e">
        <f>ROUND(HLOOKUP(C1,bs!$D$1:$AE$110,ROW(bs!E7),FALSE),0)/IF(LEN($G$6)&gt;4,10000,1)</f>
        <v>#N/A</v>
      </c>
      <c r="D2" s="90">
        <f>ROUND(HLOOKUP(D1,bs!$D$1:$AE$110,ROW(bs!F7),FALSE),0)/IF(LEN($G$6)&gt;4,10000,1)</f>
        <v>0</v>
      </c>
      <c r="E2" s="90">
        <f>ROUND(HLOOKUP(E1,bs!$D$1:$AE$110,ROW(bs!G7),FALSE),0)/IF(LEN($G$6)&gt;4,10000,1)</f>
        <v>0</v>
      </c>
    </row>
    <row r="3" spans="1:7">
      <c r="A3" s="89" t="s">
        <v>139</v>
      </c>
      <c r="B3" s="90">
        <f>ROUND(HLOOKUP(B1,bs!$D$1:$AE$110,ROW(bs!D5),FALSE),0)/IF(LEN($G$6)&gt;4,10000,1)</f>
        <v>0</v>
      </c>
      <c r="C3" s="90" t="e">
        <f>ROUND(HLOOKUP(C1,bs!$D$1:$AE$110,ROW(bs!E5),FALSE),0)/IF(LEN($G$6)&gt;4,10000,1)</f>
        <v>#N/A</v>
      </c>
      <c r="D3" s="90">
        <f>ROUND(HLOOKUP(D1,bs!$D$1:$AE$110,ROW(bs!F5),FALSE),0)/IF(LEN($G$6)&gt;4,10000,1)</f>
        <v>0</v>
      </c>
      <c r="E3" s="90">
        <f>ROUND(HLOOKUP(E1,bs!$D$1:$AE$110,ROW(bs!G5),FALSE),0)/IF(LEN($G$6)&gt;4,10000,1)</f>
        <v>0</v>
      </c>
    </row>
    <row r="4" spans="1:7">
      <c r="A4" s="89" t="s">
        <v>140</v>
      </c>
      <c r="B4" s="90">
        <f>ROUND(HLOOKUP(B1,bs!$D$1:$AE$110,ROW(bs!D24),FALSE),0)/IF(LEN($G$6)&gt;4,10000,1)</f>
        <v>0</v>
      </c>
      <c r="C4" s="90" t="e">
        <f>ROUND(HLOOKUP(C1,bs!$D$1:$AE$110,ROW(bs!E24),FALSE),0)/IF(LEN($G$6)&gt;4,10000,1)</f>
        <v>#N/A</v>
      </c>
      <c r="D4" s="90">
        <f>ROUND(HLOOKUP(D1,bs!$D$1:$AE$110,ROW(bs!F24),FALSE),0)/IF(LEN($G$6)&gt;4,10000,1)</f>
        <v>0</v>
      </c>
      <c r="E4" s="90">
        <f>ROUND(HLOOKUP(E1,bs!$D$1:$AE$110,ROW(bs!G24),FALSE),0)/IF(LEN($G$6)&gt;4,10000,1)</f>
        <v>0</v>
      </c>
    </row>
    <row r="5" spans="1:7">
      <c r="A5" s="89" t="s">
        <v>20</v>
      </c>
      <c r="B5" s="90">
        <f>ROUND(HLOOKUP(B1,bs!$D$1:$AE$110,ROW(bs!D33),FALSE),0)/IF(LEN($G$6)&gt;4,10000,1)</f>
        <v>0</v>
      </c>
      <c r="C5" s="90" t="e">
        <f>ROUND(HLOOKUP(C1,bs!$D$1:$AE$110,ROW(bs!E33),FALSE),0)/IF(LEN($G$6)&gt;4,10000,1)</f>
        <v>#N/A</v>
      </c>
      <c r="D5" s="90">
        <f>ROUND(HLOOKUP(D1,bs!$D$1:$AE$110,ROW(bs!F33),FALSE),0)/IF(LEN($G$6)&gt;4,10000,1)</f>
        <v>0</v>
      </c>
      <c r="E5" s="90">
        <f>ROUND(HLOOKUP(E1,bs!$D$1:$AE$110,ROW(bs!G33),FALSE),0)/IF(LEN($G$6)&gt;4,10000,1)</f>
        <v>0</v>
      </c>
    </row>
    <row r="6" spans="1:7">
      <c r="A6" s="89" t="s">
        <v>25</v>
      </c>
      <c r="B6" s="90">
        <f>ROUND(HLOOKUP(B1,bs!$D$1:$AE$110,ROW(bs!D35),FALSE),0)/IF(LEN($G$6)&gt;4,10000,1)</f>
        <v>0</v>
      </c>
      <c r="C6" s="90" t="e">
        <f>ROUND(HLOOKUP(C1,bs!$D$1:$AE$110,ROW(bs!E35),FALSE),0)/IF(LEN($G$6)&gt;4,10000,1)</f>
        <v>#N/A</v>
      </c>
      <c r="D6" s="90">
        <f>ROUND(HLOOKUP(D1,bs!$D$1:$AE$110,ROW(bs!F35),FALSE),0)/IF(LEN($G$6)&gt;4,10000,1)</f>
        <v>0</v>
      </c>
      <c r="E6" s="90">
        <f>ROUND(HLOOKUP(E1,bs!$D$1:$AE$110,ROW(bs!G35),FALSE),0)/IF(LEN($G$6)&gt;4,10000,1)</f>
        <v>0</v>
      </c>
      <c r="G6" s="91" t="s">
        <v>103</v>
      </c>
    </row>
    <row r="7" spans="1:7">
      <c r="A7" s="89" t="s">
        <v>141</v>
      </c>
      <c r="B7" s="90">
        <f>ROUND(HLOOKUP(B1,bs!$D$1:$AE$110,ROW(bs!D53),FALSE),0)/IF(LEN($G$6)&gt;4,10000,1)</f>
        <v>0</v>
      </c>
      <c r="C7" s="90" t="e">
        <f>ROUND(HLOOKUP(C1,bs!$D$1:$AE$110,ROW(bs!E53),FALSE),0)/IF(LEN($G$6)&gt;4,10000,1)</f>
        <v>#N/A</v>
      </c>
      <c r="D7" s="90">
        <f>ROUND(HLOOKUP(D1,bs!$D$1:$AE$110,ROW(bs!F53),FALSE),0)/IF(LEN($G$6)&gt;4,10000,1)</f>
        <v>0</v>
      </c>
      <c r="E7" s="90">
        <f>ROUND(HLOOKUP(E1,bs!$D$1:$AE$110,ROW(bs!G53),FALSE),0)/IF(LEN($G$6)&gt;4,10000,1)</f>
        <v>0</v>
      </c>
    </row>
    <row r="8" spans="1:7">
      <c r="A8" s="89" t="s">
        <v>37</v>
      </c>
      <c r="B8" s="90">
        <f>ROUND(HLOOKUP(B1,bs!$D$1:$AE$110,ROW(bs!D54),FALSE),0)/IF(LEN($G$6)&gt;4,10000,1)</f>
        <v>0</v>
      </c>
      <c r="C8" s="90" t="e">
        <f>ROUND(HLOOKUP(C1,bs!$D$1:$AE$110,ROW(bs!E54),FALSE),0)/IF(LEN($G$6)&gt;4,10000,1)</f>
        <v>#N/A</v>
      </c>
      <c r="D8" s="90">
        <f>ROUND(HLOOKUP(D1,bs!$D$1:$AE$110,ROW(bs!F54),FALSE),0)/IF(LEN($G$6)&gt;4,10000,1)</f>
        <v>0</v>
      </c>
      <c r="E8" s="90">
        <f>ROUND(HLOOKUP(E1,bs!$D$1:$AE$110,ROW(bs!G54),FALSE),0)/IF(LEN($G$6)&gt;4,10000,1)</f>
        <v>0</v>
      </c>
    </row>
    <row r="9" spans="1:7">
      <c r="A9" s="89" t="s">
        <v>46</v>
      </c>
      <c r="B9" s="90">
        <f>ROUND(HLOOKUP(B1,bs!$D$1:$AE$110,ROW(bs!D63),FALSE),0)/IF(LEN($G$6)&gt;4,10000,1)</f>
        <v>0</v>
      </c>
      <c r="C9" s="90" t="e">
        <f>ROUND(HLOOKUP(C1,bs!$D$1:$AE$110,ROW(bs!E63),FALSE),0)/IF(LEN($G$6)&gt;4,10000,1)</f>
        <v>#N/A</v>
      </c>
      <c r="D9" s="90">
        <f>ROUND(HLOOKUP(D1,bs!$D$1:$AE$110,ROW(bs!F63),FALSE),0)/IF(LEN($G$6)&gt;4,10000,1)</f>
        <v>0</v>
      </c>
      <c r="E9" s="90">
        <f>ROUND(HLOOKUP(E1,bs!$D$1:$AE$110,ROW(bs!G63),FALSE),0)/IF(LEN($G$6)&gt;4,10000,1)</f>
        <v>0</v>
      </c>
    </row>
    <row r="10" spans="1:7">
      <c r="A10" s="89" t="s">
        <v>142</v>
      </c>
      <c r="B10" s="90">
        <f>ROUND(HLOOKUP(B1,bs!$D$1:$AE$110,ROW(bs!D78),FALSE),0)/IF(LEN($G$6)&gt;4,10000,1)</f>
        <v>0</v>
      </c>
      <c r="C10" s="90" t="e">
        <f>ROUND(HLOOKUP(C1,bs!$D$1:$AE$110,ROW(bs!E78),FALSE),0)/IF(LEN($G$6)&gt;4,10000,1)</f>
        <v>#N/A</v>
      </c>
      <c r="D10" s="90">
        <f>ROUND(HLOOKUP(D1,bs!$D$1:$AE$110,ROW(bs!F78),FALSE),0)/IF(LEN($G$6)&gt;4,10000,1)</f>
        <v>0</v>
      </c>
      <c r="E10" s="90">
        <f>ROUND(HLOOKUP(E1,bs!$D$1:$AE$110,ROW(bs!G78),FALSE),0)/IF(LEN($G$6)&gt;4,10000,1)</f>
        <v>0</v>
      </c>
    </row>
    <row r="11" spans="1:7">
      <c r="A11" s="89" t="s">
        <v>50</v>
      </c>
      <c r="B11" s="90">
        <f>ROUND(HLOOKUP(B1,bs!$D$1:$AE$110,ROW(bs!D79),FALSE),0)/IF(LEN($G$6)&gt;4,10000,1)</f>
        <v>0</v>
      </c>
      <c r="C11" s="90" t="e">
        <f>ROUND(HLOOKUP(C1,bs!$D$1:$AE$110,ROW(bs!E79),FALSE),0)/IF(LEN($G$6)&gt;4,10000,1)</f>
        <v>#N/A</v>
      </c>
      <c r="D11" s="90">
        <f>ROUND(HLOOKUP(D1,bs!$D$1:$AE$110,ROW(bs!F79),FALSE),0)/IF(LEN($G$6)&gt;4,10000,1)</f>
        <v>0</v>
      </c>
      <c r="E11" s="90">
        <f>ROUND(HLOOKUP(E1,bs!$D$1:$AE$110,ROW(bs!G79),FALSE),0)/IF(LEN($G$6)&gt;4,10000,1)</f>
        <v>0</v>
      </c>
    </row>
    <row r="12" spans="1:7">
      <c r="A12" s="89" t="s">
        <v>52</v>
      </c>
      <c r="B12" s="90">
        <f>ROUND(HLOOKUP(B1,bs!$D$1:$AE$110,ROW(bs!D81),FALSE),0)/IF(LEN($G$6)&gt;4,10000,1)</f>
        <v>0</v>
      </c>
      <c r="C12" s="90" t="e">
        <f>ROUND(HLOOKUP(C1,bs!$D$1:$AE$110,ROW(bs!E81),FALSE),0)/IF(LEN($G$6)&gt;4,10000,1)</f>
        <v>#N/A</v>
      </c>
      <c r="D12" s="90">
        <f>ROUND(HLOOKUP(D1,bs!$D$1:$AE$110,ROW(bs!F81),FALSE),0)/IF(LEN($G$6)&gt;4,10000,1)</f>
        <v>0</v>
      </c>
      <c r="E12" s="90">
        <f>ROUND(HLOOKUP(E1,bs!$D$1:$AE$110,ROW(bs!G81),FALSE),0)/IF(LEN($G$6)&gt;4,10000,1)</f>
        <v>0</v>
      </c>
    </row>
    <row r="13" spans="1:7">
      <c r="A13" s="89" t="s">
        <v>143</v>
      </c>
      <c r="B13" s="90">
        <f>ROUND(HLOOKUP(B1,bs!$D$1:$AE$110,ROW(bs!D93),FALSE),0)/IF(LEN($G$6)&gt;4,10000,1)</f>
        <v>0</v>
      </c>
      <c r="C13" s="90" t="e">
        <f>ROUND(HLOOKUP(C1,bs!$D$1:$AE$110,ROW(bs!E93),FALSE),0)/IF(LEN($G$6)&gt;4,10000,1)</f>
        <v>#N/A</v>
      </c>
      <c r="D13" s="90">
        <f>ROUND(HLOOKUP(D1,bs!$D$1:$AE$110,ROW(bs!F93),FALSE),0)/IF(LEN($G$6)&gt;4,10000,1)</f>
        <v>0</v>
      </c>
      <c r="E13" s="90">
        <f>ROUND(HLOOKUP(E1,bs!$D$1:$AE$110,ROW(bs!G93),FALSE),0)/IF(LEN($G$6)&gt;4,10000,1)</f>
        <v>0</v>
      </c>
    </row>
    <row r="14" spans="1:7">
      <c r="A14" s="89" t="s">
        <v>144</v>
      </c>
      <c r="B14" s="90">
        <f>ROUND(HLOOKUP(B1,bs!$D$1:$AE$110,ROW(bs!D94),FALSE),0)/IF(LEN($G$6)&gt;4,10000,1)</f>
        <v>0</v>
      </c>
      <c r="C14" s="90" t="e">
        <f>ROUND(HLOOKUP(C1,bs!$D$1:$AE$110,ROW(bs!E94),FALSE),0)/IF(LEN($G$6)&gt;4,10000,1)</f>
        <v>#N/A</v>
      </c>
      <c r="D14" s="90">
        <f>ROUND(HLOOKUP(D1,bs!$D$1:$AE$110,ROW(bs!F94),FALSE),0)/IF(LEN($G$6)&gt;4,10000,1)</f>
        <v>0</v>
      </c>
      <c r="E14" s="90">
        <f>ROUND(HLOOKUP(E1,bs!$D$1:$AE$110,ROW(bs!G94),FALSE),0)/IF(LEN($G$6)&gt;4,10000,1)</f>
        <v>0</v>
      </c>
    </row>
    <row r="15" spans="1:7">
      <c r="A15" s="89" t="s">
        <v>145</v>
      </c>
      <c r="B15" s="90">
        <f>ROUND(HLOOKUP(B1,bs!$D$1:$AE$110,ROW(bs!D109),FALSE),0)/IF(LEN($G$6)&gt;4,10000,1)</f>
        <v>0</v>
      </c>
      <c r="C15" s="90" t="e">
        <f>ROUND(HLOOKUP(C1,bs!$D$1:$AE$110,ROW(bs!E109),FALSE),0)/IF(LEN($G$6)&gt;4,10000,1)</f>
        <v>#N/A</v>
      </c>
      <c r="D15" s="90">
        <f>ROUND(HLOOKUP(D1,bs!$D$1:$AE$110,ROW(bs!F109),FALSE),0)/IF(LEN($G$6)&gt;4,10000,1)</f>
        <v>0</v>
      </c>
      <c r="E15" s="90">
        <f>ROUND(HLOOKUP(E1,bs!$D$1:$AE$110,ROW(bs!G109),FALSE),0)/IF(LEN($G$6)&gt;4,10000,1)</f>
        <v>0</v>
      </c>
    </row>
    <row r="16" spans="1:7">
      <c r="A16" s="89" t="s">
        <v>71</v>
      </c>
      <c r="B16" s="90">
        <f>ROUND(HLOOKUP(B1,pl!$D$1:$CL$46,ROW(pl!D2),FALSE),0)/IF(LEN($G$6)&gt;4,10000,1)</f>
        <v>0</v>
      </c>
      <c r="C16" s="90" t="e">
        <f>ROUND(HLOOKUP(C1,pl!$D$1:$CL$46,ROW(pl!E2),FALSE),0)/IF(LEN($G$6)&gt;4,10000,1)</f>
        <v>#N/A</v>
      </c>
      <c r="D16" s="90">
        <f>ROUND(HLOOKUP(D1,pl!$D$1:$CL$46,ROW(pl!F2),FALSE),0)/IF(LEN($G$6)&gt;4,10000,1)</f>
        <v>0</v>
      </c>
      <c r="E16" s="90">
        <f>ROUND(HLOOKUP(E1,pl!$D$1:$CL$46,ROW(pl!G2),FALSE),0)/IF(LEN($G$6)&gt;4,10000,1)</f>
        <v>0</v>
      </c>
    </row>
    <row r="17" spans="1:7">
      <c r="A17" s="89" t="s">
        <v>73</v>
      </c>
      <c r="B17" s="90">
        <f>ROUND(HLOOKUP(B1,pl!$D$1:$CL$46,ROW(pl!D8),FALSE),0)/IF(LEN($G$6)&gt;4,10000,1)</f>
        <v>0</v>
      </c>
      <c r="C17" s="90" t="e">
        <f>ROUND(HLOOKUP(C1,pl!$D$1:$CL$46,ROW(pl!E8),FALSE),0)/IF(LEN($G$6)&gt;4,10000,1)</f>
        <v>#N/A</v>
      </c>
      <c r="D17" s="90">
        <f>ROUND(HLOOKUP(D1,pl!$D$1:$CL$46,ROW(pl!F8),FALSE),0)/IF(LEN($G$6)&gt;4,10000,1)</f>
        <v>0</v>
      </c>
      <c r="E17" s="90">
        <f>ROUND(HLOOKUP(E1,pl!$D$1:$CL$46,ROW(pl!G8),FALSE),0)/IF(LEN($G$6)&gt;4,10000,1)</f>
        <v>0</v>
      </c>
    </row>
    <row r="18" spans="1:7">
      <c r="A18" s="89" t="s">
        <v>146</v>
      </c>
      <c r="B18" s="90">
        <f>ROUND(HLOOKUP(B1,pl!$D$1:$CL$46,ROW(pl!D12),FALSE),0)/IF(LEN($G$6)&gt;4,10000,1)</f>
        <v>0</v>
      </c>
      <c r="C18" s="90" t="e">
        <f>ROUND(HLOOKUP(C1,pl!$D$1:$CL$46,ROW(pl!E12),FALSE),0)/IF(LEN($G$6)&gt;4,10000,1)</f>
        <v>#N/A</v>
      </c>
      <c r="D18" s="90">
        <f>ROUND(HLOOKUP(D1,pl!$D$1:$CL$46,ROW(pl!F12),FALSE),0)/IF(LEN($G$6)&gt;4,10000,1)</f>
        <v>0</v>
      </c>
      <c r="E18" s="90">
        <f>ROUND(HLOOKUP(E1,pl!$D$1:$CL$46,ROW(pl!G12),FALSE),0)/IF(LEN($G$6)&gt;4,10000,1)</f>
        <v>0</v>
      </c>
    </row>
    <row r="19" spans="1:7">
      <c r="A19" s="89" t="s">
        <v>76</v>
      </c>
      <c r="B19" s="90">
        <f>ROUND(HLOOKUP(B1,pl!$D$1:$CL$46,ROW(pl!D13),FALSE),0)/IF(LEN($G$6)&gt;4,10000,1)</f>
        <v>0</v>
      </c>
      <c r="C19" s="90" t="e">
        <f>ROUND(HLOOKUP(C1,pl!$D$1:$CL$46,ROW(pl!E13),FALSE),0)/IF(LEN($G$6)&gt;4,10000,1)</f>
        <v>#N/A</v>
      </c>
      <c r="D19" s="90">
        <f>ROUND(HLOOKUP(D1,pl!$D$1:$CL$46,ROW(pl!F13),FALSE),0)/IF(LEN($G$6)&gt;4,10000,1)</f>
        <v>0</v>
      </c>
      <c r="E19" s="90">
        <f>ROUND(HLOOKUP(E1,pl!$D$1:$CL$46,ROW(pl!G13),FALSE),0)/IF(LEN($G$6)&gt;4,10000,1)</f>
        <v>0</v>
      </c>
    </row>
    <row r="20" spans="1:7">
      <c r="A20" s="89" t="s">
        <v>77</v>
      </c>
      <c r="B20" s="90">
        <f>ROUND(HLOOKUP(B1,pl!$D$1:$CL$46,ROW(pl!D14),FALSE),0)/IF(LEN($G$6)&gt;4,10000,1)</f>
        <v>0</v>
      </c>
      <c r="C20" s="90" t="e">
        <f>ROUND(HLOOKUP(C1,pl!$D$1:$CL$46,ROW(pl!E14),FALSE),0)/IF(LEN($G$6)&gt;4,10000,1)</f>
        <v>#N/A</v>
      </c>
      <c r="D20" s="90">
        <f>ROUND(HLOOKUP(D1,pl!$D$1:$CL$46,ROW(pl!F14),FALSE),0)/IF(LEN($G$6)&gt;4,10000,1)</f>
        <v>0</v>
      </c>
      <c r="E20" s="90">
        <f>ROUND(HLOOKUP(E1,pl!$D$1:$CL$46,ROW(pl!G14),FALSE),0)/IF(LEN($G$6)&gt;4,10000,1)</f>
        <v>0</v>
      </c>
      <c r="F20" s="92"/>
      <c r="G20" s="92"/>
    </row>
    <row r="21" spans="1:7">
      <c r="A21" s="89" t="s">
        <v>79</v>
      </c>
      <c r="B21" s="90">
        <f>ROUND(HLOOKUP(B1,pl!$D$1:$CL$46,ROW(pl!D18),FALSE),0)/IF(LEN($G$6)&gt;4,10000,1)</f>
        <v>0</v>
      </c>
      <c r="C21" s="90" t="e">
        <f>ROUND(HLOOKUP(C1,pl!$D$1:$CL$46,ROW(pl!E18),FALSE),0)/IF(LEN($G$6)&gt;4,10000,1)</f>
        <v>#N/A</v>
      </c>
      <c r="D21" s="90">
        <f>ROUND(HLOOKUP(D1,pl!$D$1:$CL$46,ROW(pl!F18),FALSE),0)/IF(LEN($G$6)&gt;4,10000,1)</f>
        <v>0</v>
      </c>
      <c r="E21" s="90">
        <f>ROUND(HLOOKUP(E1,pl!$D$1:$CL$46,ROW(pl!G18),FALSE),0)/IF(LEN($G$6)&gt;4,10000,1)</f>
        <v>0</v>
      </c>
    </row>
    <row r="22" spans="1:7">
      <c r="A22" s="89" t="s">
        <v>80</v>
      </c>
      <c r="B22" s="90">
        <f>ROUND(HLOOKUP(B1,pl!$D$1:$CL$46,ROW(pl!D21),FALSE),0)/IF(LEN($G$6)&gt;4,10000,1)</f>
        <v>0</v>
      </c>
      <c r="C22" s="90" t="e">
        <f>ROUND(HLOOKUP(C1,pl!$D$1:$CL$46,ROW(pl!E21),FALSE),0)/IF(LEN($G$6)&gt;4,10000,1)</f>
        <v>#N/A</v>
      </c>
      <c r="D22" s="90">
        <f>ROUND(HLOOKUP(D1,pl!$D$1:$CL$46,ROW(pl!F21),FALSE),0)/IF(LEN($G$6)&gt;4,10000,1)</f>
        <v>0</v>
      </c>
      <c r="E22" s="90">
        <f>ROUND(HLOOKUP(E1,pl!$D$1:$CL$46,ROW(pl!G21),FALSE),0)/IF(LEN($G$6)&gt;4,10000,1)</f>
        <v>0</v>
      </c>
    </row>
    <row r="23" spans="1:7">
      <c r="A23" s="89" t="s">
        <v>82</v>
      </c>
      <c r="B23" s="90">
        <f>ROUND(HLOOKUP(B1,pl!$D$1:$CL$46,ROW(pl!D23),FALSE),0)/IF(LEN($G$6)&gt;4,10000,1)</f>
        <v>0</v>
      </c>
      <c r="C23" s="90" t="e">
        <f>ROUND(HLOOKUP(C1,pl!$D$1:$CL$46,ROW(pl!E23),FALSE),0)/IF(LEN($G$6)&gt;4,10000,1)</f>
        <v>#N/A</v>
      </c>
      <c r="D23" s="90">
        <f>ROUND(HLOOKUP(D1,pl!$D$1:$CL$46,ROW(pl!F23),FALSE),0)/IF(LEN($G$6)&gt;4,10000,1)</f>
        <v>0</v>
      </c>
      <c r="E23" s="90">
        <f>ROUND(HLOOKUP(E1,pl!$D$1:$CL$46,ROW(pl!G23),FALSE),0)/IF(LEN($G$6)&gt;4,10000,1)</f>
        <v>0</v>
      </c>
    </row>
    <row r="24" spans="1:7">
      <c r="A24" s="89" t="s">
        <v>147</v>
      </c>
      <c r="B24" s="90">
        <f>ROUND(HLOOKUP(B1,cf!$C$1:$CL$39,ROW(pl!C38),FALSE),0)/IF(LEN($G$6)&gt;4,10000,1)</f>
        <v>0</v>
      </c>
      <c r="C24" s="90" t="e">
        <f>ROUND(HLOOKUP(C1,cf!$C$1:$CL$39,ROW(pl!D38),FALSE),0)/IF(LEN($G$6)&gt;4,10000,1)</f>
        <v>#N/A</v>
      </c>
      <c r="D24" s="90">
        <f>ROUND(HLOOKUP(D1,cf!$C$1:$CL$39,ROW(pl!E38),FALSE),0)/IF(LEN($G$6)&gt;4,10000,1)</f>
        <v>0</v>
      </c>
      <c r="E24" s="90">
        <f>ROUND(HLOOKUP(E1,cf!$C$1:$CL$39,ROW(pl!F38),FALSE),0)/IF(LEN($G$6)&gt;4,10000,1)</f>
        <v>0</v>
      </c>
    </row>
    <row r="25" spans="1:7">
      <c r="A25" s="89" t="s">
        <v>148</v>
      </c>
      <c r="B25" s="90">
        <f>ROUND(HLOOKUP(B1,cf!$C$1:$CL$39,ROW(pl!C15),FALSE),0)/IF(LEN($G$6)&gt;4,10000,1)</f>
        <v>0</v>
      </c>
      <c r="C25" s="90" t="e">
        <f>ROUND(HLOOKUP(C1,cf!$C$1:$CL$39,ROW(pl!D15),FALSE),0)/IF(LEN($G$6)&gt;4,10000,1)</f>
        <v>#N/A</v>
      </c>
      <c r="D25" s="90">
        <f>ROUND(HLOOKUP(D1,cf!$C$1:$CL$39,ROW(pl!E15),FALSE),0)/IF(LEN($G$6)&gt;4,10000,1)</f>
        <v>0</v>
      </c>
      <c r="E25" s="90">
        <f>ROUND(HLOOKUP(E1,cf!$C$1:$CL$39,ROW(pl!F15),FALSE),0)/IF(LEN($G$6)&gt;4,10000,1)</f>
        <v>0</v>
      </c>
    </row>
    <row r="26" spans="1:7">
      <c r="A26" s="146" t="s">
        <v>110</v>
      </c>
      <c r="B26" s="147"/>
      <c r="C26" s="147"/>
      <c r="D26" s="147"/>
      <c r="E26" s="147"/>
    </row>
    <row r="27" spans="1:7">
      <c r="A27" s="89" t="s">
        <v>111</v>
      </c>
      <c r="B27" s="93" t="e">
        <f>B4/B10</f>
        <v>#DIV/0!</v>
      </c>
      <c r="C27" s="93" t="e">
        <f>C4/C10</f>
        <v>#N/A</v>
      </c>
      <c r="D27" s="93" t="e">
        <f>D4/D10</f>
        <v>#DIV/0!</v>
      </c>
      <c r="E27" s="93" t="e">
        <f>E4/E10</f>
        <v>#DIV/0!</v>
      </c>
    </row>
    <row r="28" spans="1:7">
      <c r="A28" s="89" t="s">
        <v>112</v>
      </c>
      <c r="B28" s="93" t="e">
        <f>(B4-B2)/B10</f>
        <v>#DIV/0!</v>
      </c>
      <c r="C28" s="93" t="e">
        <f>(C4-C2)/C10</f>
        <v>#N/A</v>
      </c>
      <c r="D28" s="93" t="e">
        <f>(D4-D2)/D10</f>
        <v>#DIV/0!</v>
      </c>
      <c r="E28" s="93" t="e">
        <f>(E4-E2)/E10</f>
        <v>#DIV/0!</v>
      </c>
    </row>
    <row r="29" spans="1:7">
      <c r="A29" s="89" t="s">
        <v>131</v>
      </c>
      <c r="B29" s="94" t="e">
        <f>B15/B7</f>
        <v>#DIV/0!</v>
      </c>
      <c r="C29" s="95" t="e">
        <f>C15/C7</f>
        <v>#N/A</v>
      </c>
      <c r="D29" s="96" t="e">
        <f>D15/D7</f>
        <v>#DIV/0!</v>
      </c>
      <c r="E29" s="96" t="e">
        <f>E15/E7</f>
        <v>#DIV/0!</v>
      </c>
    </row>
    <row r="30" spans="1:7">
      <c r="A30" s="89" t="s">
        <v>113</v>
      </c>
      <c r="B30" s="94" t="e">
        <f>B14/B7</f>
        <v>#DIV/0!</v>
      </c>
      <c r="C30" s="95" t="e">
        <f>C14/C7</f>
        <v>#N/A</v>
      </c>
      <c r="D30" s="96" t="e">
        <f>D14/D7</f>
        <v>#DIV/0!</v>
      </c>
      <c r="E30" s="96" t="e">
        <f>E14/E7</f>
        <v>#DIV/0!</v>
      </c>
    </row>
    <row r="31" spans="1:7">
      <c r="A31" s="89" t="s">
        <v>115</v>
      </c>
      <c r="B31" s="94" t="e">
        <f>B10/B14</f>
        <v>#DIV/0!</v>
      </c>
      <c r="C31" s="95" t="e">
        <f>C10/C14</f>
        <v>#N/A</v>
      </c>
      <c r="D31" s="96" t="e">
        <f>D10/D14</f>
        <v>#DIV/0!</v>
      </c>
      <c r="E31" s="96" t="e">
        <f>E10/E14</f>
        <v>#DIV/0!</v>
      </c>
    </row>
    <row r="32" spans="1:7">
      <c r="A32" s="89" t="s">
        <v>149</v>
      </c>
      <c r="B32" s="93" t="e">
        <f>(B22+B20)/B20</f>
        <v>#DIV/0!</v>
      </c>
      <c r="C32" s="93" t="e">
        <f>(C22+C20)/C20</f>
        <v>#N/A</v>
      </c>
      <c r="D32" s="93" t="e">
        <f>(D22+D20)/D20</f>
        <v>#DIV/0!</v>
      </c>
      <c r="E32" s="93" t="e">
        <f>(E22+E20)/E20</f>
        <v>#DIV/0!</v>
      </c>
    </row>
    <row r="33" spans="1:5">
      <c r="A33" s="143" t="s">
        <v>116</v>
      </c>
      <c r="B33" s="144"/>
      <c r="C33" s="144"/>
      <c r="D33" s="144"/>
      <c r="E33" s="144"/>
    </row>
    <row r="34" spans="1:5">
      <c r="A34" s="89" t="s">
        <v>117</v>
      </c>
      <c r="B34" s="93" t="e">
        <f>0+(B17/(B2+C2)*2)</f>
        <v>#N/A</v>
      </c>
      <c r="C34" s="93" t="e">
        <f>C17/(C2+D2)*2</f>
        <v>#N/A</v>
      </c>
      <c r="D34" s="93" t="e">
        <f>D17/(D2+E2)*2</f>
        <v>#DIV/0!</v>
      </c>
      <c r="E34" s="93" t="e">
        <f>E17/E2</f>
        <v>#DIV/0!</v>
      </c>
    </row>
    <row r="35" spans="1:5">
      <c r="A35" s="89" t="s">
        <v>118</v>
      </c>
      <c r="B35" s="93" t="e">
        <f>0+(B16/(B7+C7)*2)</f>
        <v>#N/A</v>
      </c>
      <c r="C35" s="93" t="e">
        <f>C16/(C7+D7)*2</f>
        <v>#N/A</v>
      </c>
      <c r="D35" s="93" t="e">
        <f>D16/(D7+E7)*2</f>
        <v>#DIV/0!</v>
      </c>
      <c r="E35" s="93" t="e">
        <f>E16/E7</f>
        <v>#DIV/0!</v>
      </c>
    </row>
    <row r="36" spans="1:5">
      <c r="A36" s="89" t="s">
        <v>150</v>
      </c>
      <c r="B36" s="93" t="e">
        <f>0+(B16/(B3+C3)*2)</f>
        <v>#N/A</v>
      </c>
      <c r="C36" s="93" t="e">
        <f>C16/(C3+D3)*2</f>
        <v>#N/A</v>
      </c>
      <c r="D36" s="93" t="e">
        <f>D16/(D3+E3)*2</f>
        <v>#DIV/0!</v>
      </c>
      <c r="E36" s="93" t="e">
        <f>E16/E3</f>
        <v>#DIV/0!</v>
      </c>
    </row>
    <row r="37" spans="1:5">
      <c r="A37" s="89" t="s">
        <v>120</v>
      </c>
      <c r="B37" s="94" t="e">
        <f>0+(B17/B16)</f>
        <v>#DIV/0!</v>
      </c>
      <c r="C37" s="95" t="e">
        <f>C17/C16</f>
        <v>#N/A</v>
      </c>
      <c r="D37" s="96" t="e">
        <f>D17/D16</f>
        <v>#DIV/0!</v>
      </c>
      <c r="E37" s="96" t="e">
        <f>E17/E16</f>
        <v>#DIV/0!</v>
      </c>
    </row>
    <row r="38" spans="1:5">
      <c r="A38" s="89" t="s">
        <v>121</v>
      </c>
      <c r="B38" s="94" t="e">
        <f>0+(B18/B16)</f>
        <v>#DIV/0!</v>
      </c>
      <c r="C38" s="95" t="e">
        <f>C18/C16</f>
        <v>#N/A</v>
      </c>
      <c r="D38" s="96" t="e">
        <f>D18/D16</f>
        <v>#DIV/0!</v>
      </c>
      <c r="E38" s="96" t="e">
        <f>E18/E16</f>
        <v>#DIV/0!</v>
      </c>
    </row>
    <row r="39" spans="1:5">
      <c r="A39" s="89" t="s">
        <v>122</v>
      </c>
      <c r="B39" s="94" t="e">
        <f>0+(B19/B16)</f>
        <v>#DIV/0!</v>
      </c>
      <c r="C39" s="95" t="e">
        <f>C19/C16</f>
        <v>#N/A</v>
      </c>
      <c r="D39" s="96" t="e">
        <f>D19/D16</f>
        <v>#DIV/0!</v>
      </c>
      <c r="E39" s="96" t="e">
        <f>E19/E16</f>
        <v>#DIV/0!</v>
      </c>
    </row>
    <row r="40" spans="1:5">
      <c r="A40" s="89" t="s">
        <v>123</v>
      </c>
      <c r="B40" s="94" t="e">
        <f>0+(B20/B16)</f>
        <v>#DIV/0!</v>
      </c>
      <c r="C40" s="95" t="e">
        <f>C20/C16</f>
        <v>#N/A</v>
      </c>
      <c r="D40" s="96" t="e">
        <f>D20/D16</f>
        <v>#DIV/0!</v>
      </c>
      <c r="E40" s="96" t="e">
        <f>E20/E16</f>
        <v>#DIV/0!</v>
      </c>
    </row>
    <row r="41" spans="1:5">
      <c r="A41" s="143" t="s">
        <v>124</v>
      </c>
      <c r="B41" s="144"/>
      <c r="C41" s="144"/>
      <c r="D41" s="144"/>
      <c r="E41" s="144"/>
    </row>
    <row r="42" spans="1:5">
      <c r="A42" s="89" t="s">
        <v>125</v>
      </c>
      <c r="B42" s="94" t="e">
        <f>B23/B16</f>
        <v>#DIV/0!</v>
      </c>
      <c r="C42" s="95" t="e">
        <f>C23/C16</f>
        <v>#N/A</v>
      </c>
      <c r="D42" s="96" t="e">
        <f>D23/D16</f>
        <v>#DIV/0!</v>
      </c>
      <c r="E42" s="96" t="e">
        <f>E23/E16</f>
        <v>#DIV/0!</v>
      </c>
    </row>
    <row r="43" spans="1:5">
      <c r="A43" s="89" t="s">
        <v>151</v>
      </c>
      <c r="B43" s="94" t="e">
        <f>B21/B16</f>
        <v>#DIV/0!</v>
      </c>
      <c r="C43" s="95" t="e">
        <f>C21/C16</f>
        <v>#N/A</v>
      </c>
      <c r="D43" s="96" t="e">
        <f>D21/D16</f>
        <v>#DIV/0!</v>
      </c>
      <c r="E43" s="96" t="e">
        <f>E21/E16</f>
        <v>#DIV/0!</v>
      </c>
    </row>
    <row r="44" spans="1:5">
      <c r="A44" s="89" t="s">
        <v>127</v>
      </c>
      <c r="B44" s="94" t="e">
        <f>B22/(B7+C7)*2</f>
        <v>#N/A</v>
      </c>
      <c r="C44" s="95" t="e">
        <f>C22/(C7+D7)*2</f>
        <v>#N/A</v>
      </c>
      <c r="D44" s="96" t="e">
        <f>D22/(D7+E7)*2</f>
        <v>#DIV/0!</v>
      </c>
      <c r="E44" s="96" t="e">
        <f>E22/E7</f>
        <v>#DIV/0!</v>
      </c>
    </row>
    <row r="45" spans="1:5">
      <c r="A45" s="89" t="s">
        <v>128</v>
      </c>
      <c r="B45" s="94" t="e">
        <f>B23/(B7+C7)*2</f>
        <v>#N/A</v>
      </c>
      <c r="C45" s="95" t="e">
        <f>C23/(C7+D7)*2</f>
        <v>#N/A</v>
      </c>
      <c r="D45" s="96" t="e">
        <f>D23/(D7+E7)*2</f>
        <v>#DIV/0!</v>
      </c>
      <c r="E45" s="96" t="e">
        <f>E23/E7</f>
        <v>#DIV/0!</v>
      </c>
    </row>
    <row r="46" spans="1:5">
      <c r="A46" s="89" t="s">
        <v>129</v>
      </c>
      <c r="B46" s="94" t="e">
        <f>B23/(B15+C15)*2</f>
        <v>#N/A</v>
      </c>
      <c r="C46" s="95" t="e">
        <f>C23/(C15+D15)*2</f>
        <v>#N/A</v>
      </c>
      <c r="D46" s="96" t="e">
        <f>D23/(D15+E15)*2</f>
        <v>#DIV/0!</v>
      </c>
      <c r="E46" s="96" t="e">
        <f>E23/E15</f>
        <v>#DIV/0!</v>
      </c>
    </row>
    <row r="47" spans="1:5">
      <c r="A47" s="143" t="s">
        <v>152</v>
      </c>
      <c r="B47" s="144"/>
      <c r="C47" s="144"/>
      <c r="D47" s="144"/>
      <c r="E47" s="144"/>
    </row>
    <row r="48" spans="1:5">
      <c r="A48" s="89" t="s">
        <v>153</v>
      </c>
      <c r="B48" s="94" t="e">
        <f>(B16-C16)/C16</f>
        <v>#N/A</v>
      </c>
      <c r="C48" s="96" t="e">
        <f>(C16-D16)/D16</f>
        <v>#N/A</v>
      </c>
      <c r="D48" s="96" t="e">
        <f>(D16-E16)/E16</f>
        <v>#DIV/0!</v>
      </c>
      <c r="E48" s="96" t="str">
        <f>IFERROR((E16-F16)/F16,"-")</f>
        <v>-</v>
      </c>
    </row>
    <row r="49" spans="1:5">
      <c r="A49" s="89" t="s">
        <v>154</v>
      </c>
      <c r="B49" s="94" t="e">
        <f>(B23-C23)/C23</f>
        <v>#N/A</v>
      </c>
      <c r="C49" s="96" t="e">
        <f>(C23-D23)/D23</f>
        <v>#N/A</v>
      </c>
      <c r="D49" s="96" t="e">
        <f>(D23-E23)/E23</f>
        <v>#DIV/0!</v>
      </c>
      <c r="E49" s="96" t="str">
        <f>IFERROR((E23-F23)/F23,"-")</f>
        <v>-</v>
      </c>
    </row>
    <row r="50" spans="1:5">
      <c r="A50" s="89" t="s">
        <v>155</v>
      </c>
      <c r="B50" s="94" t="e">
        <f>(B7-C7)/C7</f>
        <v>#N/A</v>
      </c>
      <c r="C50" s="96" t="e">
        <f>(C7-D7)/D7</f>
        <v>#N/A</v>
      </c>
      <c r="D50" s="96" t="e">
        <f>(D7-E7)/E7</f>
        <v>#DIV/0!</v>
      </c>
      <c r="E50" s="96" t="str">
        <f>IFERROR((E7-F7)/F7,"-")</f>
        <v>-</v>
      </c>
    </row>
    <row r="51" spans="1:5">
      <c r="A51" s="89" t="s">
        <v>156</v>
      </c>
      <c r="B51" s="94" t="e">
        <f>(B15-C15)/C15</f>
        <v>#N/A</v>
      </c>
      <c r="C51" s="96" t="e">
        <f>(C15-D15)/D15</f>
        <v>#N/A</v>
      </c>
      <c r="D51" s="96" t="e">
        <f>(D15-E15)/E15</f>
        <v>#DIV/0!</v>
      </c>
      <c r="E51" s="96" t="str">
        <f>IFERROR((E15-F15)/F15,"-")</f>
        <v>-</v>
      </c>
    </row>
    <row r="52" spans="1:5">
      <c r="A52" s="89" t="s">
        <v>157</v>
      </c>
      <c r="B52" s="94" t="e">
        <f t="shared" ref="B52:D53" si="0">(B21-C21)/C21</f>
        <v>#N/A</v>
      </c>
      <c r="C52" s="96" t="e">
        <f t="shared" si="0"/>
        <v>#N/A</v>
      </c>
      <c r="D52" s="96" t="e">
        <f t="shared" si="0"/>
        <v>#DIV/0!</v>
      </c>
      <c r="E52" s="96" t="str">
        <f>IFERROR((E21-F21)/F21,"-")</f>
        <v>-</v>
      </c>
    </row>
    <row r="53" spans="1:5">
      <c r="A53" s="89" t="s">
        <v>158</v>
      </c>
      <c r="B53" s="94" t="e">
        <f t="shared" si="0"/>
        <v>#N/A</v>
      </c>
      <c r="C53" s="96" t="e">
        <f t="shared" si="0"/>
        <v>#N/A</v>
      </c>
      <c r="D53" s="96" t="e">
        <f t="shared" si="0"/>
        <v>#DIV/0!</v>
      </c>
      <c r="E53" s="96" t="str">
        <f>IFERROR((E22-F22)/F22,"-")</f>
        <v>-</v>
      </c>
    </row>
    <row r="54" spans="1:5">
      <c r="A54" s="143" t="s">
        <v>130</v>
      </c>
      <c r="B54" s="144"/>
      <c r="C54" s="144"/>
      <c r="D54" s="144"/>
      <c r="E54" s="144"/>
    </row>
    <row r="55" spans="1:5">
      <c r="A55" s="89" t="s">
        <v>113</v>
      </c>
      <c r="B55" s="94" t="e">
        <f>B14/B7</f>
        <v>#DIV/0!</v>
      </c>
      <c r="C55" s="96" t="e">
        <f>C14/C7</f>
        <v>#N/A</v>
      </c>
      <c r="D55" s="96" t="e">
        <f>D14/D7</f>
        <v>#DIV/0!</v>
      </c>
      <c r="E55" s="96" t="e">
        <f>E14/E7</f>
        <v>#DIV/0!</v>
      </c>
    </row>
    <row r="56" spans="1:5">
      <c r="A56" s="89" t="s">
        <v>132</v>
      </c>
      <c r="B56" s="94" t="e">
        <f>B13/B7</f>
        <v>#DIV/0!</v>
      </c>
      <c r="C56" s="96" t="e">
        <f>C13/C7</f>
        <v>#N/A</v>
      </c>
      <c r="D56" s="96" t="e">
        <f>D13/D7</f>
        <v>#DIV/0!</v>
      </c>
      <c r="E56" s="96" t="e">
        <f>E13/E7</f>
        <v>#DIV/0!</v>
      </c>
    </row>
    <row r="57" spans="1:5">
      <c r="A57" s="143" t="s">
        <v>133</v>
      </c>
      <c r="B57" s="144"/>
      <c r="C57" s="144"/>
      <c r="D57" s="144"/>
      <c r="E57" s="144"/>
    </row>
    <row r="58" spans="1:5" ht="25.5">
      <c r="A58" s="89" t="s">
        <v>159</v>
      </c>
      <c r="B58" s="93" t="e">
        <f>B25/B23</f>
        <v>#DIV/0!</v>
      </c>
      <c r="C58" s="93" t="e">
        <f>C25/C23</f>
        <v>#N/A</v>
      </c>
      <c r="D58" s="93" t="e">
        <f>D25/D23</f>
        <v>#DIV/0!</v>
      </c>
      <c r="E58" s="93" t="e">
        <f>E25/E23</f>
        <v>#DIV/0!</v>
      </c>
    </row>
    <row r="60" spans="1:5">
      <c r="A60" s="145" t="str">
        <f>A41</f>
        <v>盈利能力分析</v>
      </c>
      <c r="B60" s="145"/>
      <c r="C60" s="145"/>
      <c r="D60" s="145"/>
      <c r="E60" s="145"/>
    </row>
    <row r="61" spans="1:5">
      <c r="A61" s="97" t="str">
        <f>A1</f>
        <v>项目</v>
      </c>
      <c r="B61" s="98">
        <f>B1</f>
        <v>43465</v>
      </c>
      <c r="C61" s="98">
        <f>C1</f>
        <v>43830</v>
      </c>
      <c r="D61" s="98">
        <f t="shared" ref="D61:E61" si="1">D1</f>
        <v>44196</v>
      </c>
      <c r="E61" s="98">
        <f t="shared" si="1"/>
        <v>44530</v>
      </c>
    </row>
    <row r="62" spans="1:5">
      <c r="A62" s="89" t="s">
        <v>125</v>
      </c>
      <c r="B62" s="94" t="e">
        <f>B42</f>
        <v>#DIV/0!</v>
      </c>
      <c r="C62" s="94" t="e">
        <f t="shared" ref="C62:E62" si="2">C42</f>
        <v>#N/A</v>
      </c>
      <c r="D62" s="94" t="e">
        <f t="shared" si="2"/>
        <v>#DIV/0!</v>
      </c>
      <c r="E62" s="94" t="e">
        <f t="shared" si="2"/>
        <v>#DIV/0!</v>
      </c>
    </row>
    <row r="63" spans="1:5">
      <c r="A63" s="89" t="s">
        <v>151</v>
      </c>
      <c r="B63" s="94" t="e">
        <f t="shared" ref="B63:E66" si="3">B43</f>
        <v>#DIV/0!</v>
      </c>
      <c r="C63" s="94" t="e">
        <f t="shared" si="3"/>
        <v>#N/A</v>
      </c>
      <c r="D63" s="94" t="e">
        <f t="shared" si="3"/>
        <v>#DIV/0!</v>
      </c>
      <c r="E63" s="94" t="e">
        <f t="shared" si="3"/>
        <v>#DIV/0!</v>
      </c>
    </row>
    <row r="64" spans="1:5">
      <c r="A64" s="89" t="s">
        <v>127</v>
      </c>
      <c r="B64" s="94" t="e">
        <f t="shared" si="3"/>
        <v>#N/A</v>
      </c>
      <c r="C64" s="94" t="e">
        <f t="shared" si="3"/>
        <v>#N/A</v>
      </c>
      <c r="D64" s="94" t="e">
        <f t="shared" si="3"/>
        <v>#DIV/0!</v>
      </c>
      <c r="E64" s="94" t="e">
        <f t="shared" si="3"/>
        <v>#DIV/0!</v>
      </c>
    </row>
    <row r="65" spans="1:5">
      <c r="A65" s="89" t="s">
        <v>128</v>
      </c>
      <c r="B65" s="94" t="e">
        <f t="shared" si="3"/>
        <v>#N/A</v>
      </c>
      <c r="C65" s="94" t="e">
        <f t="shared" si="3"/>
        <v>#N/A</v>
      </c>
      <c r="D65" s="94" t="e">
        <f t="shared" si="3"/>
        <v>#DIV/0!</v>
      </c>
      <c r="E65" s="94" t="e">
        <f t="shared" si="3"/>
        <v>#DIV/0!</v>
      </c>
    </row>
    <row r="66" spans="1:5">
      <c r="A66" s="89" t="s">
        <v>129</v>
      </c>
      <c r="B66" s="94" t="e">
        <f t="shared" si="3"/>
        <v>#N/A</v>
      </c>
      <c r="C66" s="94" t="e">
        <f t="shared" si="3"/>
        <v>#N/A</v>
      </c>
      <c r="D66" s="94" t="e">
        <f t="shared" si="3"/>
        <v>#DIV/0!</v>
      </c>
      <c r="E66" s="94" t="e">
        <f t="shared" si="3"/>
        <v>#DIV/0!</v>
      </c>
    </row>
    <row r="68" spans="1:5">
      <c r="A68" s="145" t="str">
        <f>A26</f>
        <v>偿债能力分析</v>
      </c>
      <c r="B68" s="145"/>
      <c r="C68" s="145"/>
      <c r="D68" s="145"/>
      <c r="E68" s="145"/>
    </row>
    <row r="69" spans="1:5">
      <c r="A69" s="97" t="str">
        <f>A1</f>
        <v>项目</v>
      </c>
      <c r="B69" s="98">
        <f t="shared" ref="B69:E69" si="4">B1</f>
        <v>43465</v>
      </c>
      <c r="C69" s="98">
        <f t="shared" si="4"/>
        <v>43830</v>
      </c>
      <c r="D69" s="98">
        <f t="shared" si="4"/>
        <v>44196</v>
      </c>
      <c r="E69" s="98">
        <f t="shared" si="4"/>
        <v>44530</v>
      </c>
    </row>
    <row r="70" spans="1:5">
      <c r="A70" s="89" t="str">
        <f>A27</f>
        <v>流动比率</v>
      </c>
      <c r="B70" s="93" t="e">
        <f t="shared" ref="B70:E75" si="5">B27</f>
        <v>#DIV/0!</v>
      </c>
      <c r="C70" s="93" t="e">
        <f t="shared" si="5"/>
        <v>#N/A</v>
      </c>
      <c r="D70" s="93" t="e">
        <f t="shared" si="5"/>
        <v>#DIV/0!</v>
      </c>
      <c r="E70" s="93" t="e">
        <f t="shared" si="5"/>
        <v>#DIV/0!</v>
      </c>
    </row>
    <row r="71" spans="1:5">
      <c r="A71" s="89" t="str">
        <f t="shared" ref="A71:A75" si="6">A28</f>
        <v>速动比率</v>
      </c>
      <c r="B71" s="93" t="e">
        <f t="shared" si="5"/>
        <v>#DIV/0!</v>
      </c>
      <c r="C71" s="93" t="e">
        <f t="shared" si="5"/>
        <v>#N/A</v>
      </c>
      <c r="D71" s="93" t="e">
        <f t="shared" si="5"/>
        <v>#DIV/0!</v>
      </c>
      <c r="E71" s="93" t="e">
        <f t="shared" si="5"/>
        <v>#DIV/0!</v>
      </c>
    </row>
    <row r="72" spans="1:5">
      <c r="A72" s="89" t="str">
        <f t="shared" si="6"/>
        <v>股东权益比(%)</v>
      </c>
      <c r="B72" s="94" t="e">
        <f t="shared" si="5"/>
        <v>#DIV/0!</v>
      </c>
      <c r="C72" s="95" t="e">
        <f t="shared" si="5"/>
        <v>#N/A</v>
      </c>
      <c r="D72" s="96" t="e">
        <f t="shared" si="5"/>
        <v>#DIV/0!</v>
      </c>
      <c r="E72" s="96" t="e">
        <f t="shared" si="5"/>
        <v>#DIV/0!</v>
      </c>
    </row>
    <row r="73" spans="1:5">
      <c r="A73" s="89" t="str">
        <f t="shared" si="6"/>
        <v>资产负债率(%)</v>
      </c>
      <c r="B73" s="94" t="e">
        <f t="shared" si="5"/>
        <v>#DIV/0!</v>
      </c>
      <c r="C73" s="95" t="e">
        <f t="shared" si="5"/>
        <v>#N/A</v>
      </c>
      <c r="D73" s="96" t="e">
        <f t="shared" si="5"/>
        <v>#DIV/0!</v>
      </c>
      <c r="E73" s="96" t="e">
        <f t="shared" si="5"/>
        <v>#DIV/0!</v>
      </c>
    </row>
    <row r="74" spans="1:5">
      <c r="A74" s="89" t="str">
        <f t="shared" si="6"/>
        <v>流动负债率(%)</v>
      </c>
      <c r="B74" s="94" t="e">
        <f t="shared" si="5"/>
        <v>#DIV/0!</v>
      </c>
      <c r="C74" s="95" t="e">
        <f t="shared" si="5"/>
        <v>#N/A</v>
      </c>
      <c r="D74" s="96" t="e">
        <f t="shared" si="5"/>
        <v>#DIV/0!</v>
      </c>
      <c r="E74" s="96" t="e">
        <f t="shared" si="5"/>
        <v>#DIV/0!</v>
      </c>
    </row>
    <row r="75" spans="1:5">
      <c r="A75" s="89" t="str">
        <f t="shared" si="6"/>
        <v>EBITDA利息倍数</v>
      </c>
      <c r="B75" s="93" t="e">
        <f t="shared" si="5"/>
        <v>#DIV/0!</v>
      </c>
      <c r="C75" s="93" t="e">
        <f t="shared" si="5"/>
        <v>#N/A</v>
      </c>
      <c r="D75" s="93" t="e">
        <f t="shared" si="5"/>
        <v>#DIV/0!</v>
      </c>
      <c r="E75" s="93" t="e">
        <f t="shared" si="5"/>
        <v>#DIV/0!</v>
      </c>
    </row>
  </sheetData>
  <customSheetViews>
    <customSheetView guid="{EFE5EB9F-962C-4232-9E60-22B2AE19D01B}">
      <pane xSplit="1" ySplit="1" topLeftCell="B2" state="frozen"/>
      <selection activeCell="C23" sqref="C23"/>
      <pageMargins left="0.75" right="0.75" top="1" bottom="1" header="0.5" footer="0.5"/>
      <pageSetup paperSize="9" orientation="portrait"/>
      <headerFooter alignWithMargins="0"/>
    </customSheetView>
  </customSheetViews>
  <mergeCells count="8">
    <mergeCell ref="A57:E57"/>
    <mergeCell ref="A60:E60"/>
    <mergeCell ref="A68:E68"/>
    <mergeCell ref="A26:E26"/>
    <mergeCell ref="A33:E33"/>
    <mergeCell ref="A41:E41"/>
    <mergeCell ref="A47:E47"/>
    <mergeCell ref="A54:E54"/>
  </mergeCells>
  <phoneticPr fontId="37" type="noConversion"/>
  <dataValidations count="1">
    <dataValidation type="list" allowBlank="1" showInputMessage="1" showErrorMessage="1" sqref="G6" xr:uid="{00000000-0002-0000-0400-000001000000}">
      <formula1>"单位：元,单位：万元"</formula1>
    </dataValidation>
  </dataValidations>
  <pageMargins left="0.75" right="0.75" top="1" bottom="1" header="0.5" footer="0.5"/>
  <pageSetup paperSize="9" orientation="portrait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bs!$D$1:$T$1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B1:J75"/>
  <sheetViews>
    <sheetView topLeftCell="B1" zoomScale="115" zoomScaleNormal="115" workbookViewId="0">
      <selection activeCell="B24" sqref="B24"/>
    </sheetView>
  </sheetViews>
  <sheetFormatPr defaultColWidth="9" defaultRowHeight="12.75"/>
  <cols>
    <col min="2" max="2" width="16.140625" style="68" customWidth="1"/>
    <col min="3" max="3" width="11.7109375" style="69" customWidth="1"/>
    <col min="4" max="4" width="8.5703125" style="69" customWidth="1"/>
    <col min="5" max="5" width="11.7109375" style="69" customWidth="1"/>
    <col min="6" max="6" width="8.5703125" style="69" customWidth="1"/>
    <col min="7" max="7" width="11.7109375" style="69" customWidth="1"/>
    <col min="8" max="8" width="8.5703125" style="69" customWidth="1"/>
    <col min="9" max="9" width="11.7109375" style="69" customWidth="1"/>
    <col min="10" max="10" width="8.5703125" style="69" customWidth="1"/>
  </cols>
  <sheetData>
    <row r="1" spans="2:10">
      <c r="B1" s="151" t="s">
        <v>103</v>
      </c>
      <c r="C1" s="151"/>
      <c r="D1" s="151"/>
      <c r="E1" s="151"/>
      <c r="F1" s="151"/>
      <c r="G1" s="151"/>
      <c r="H1" s="151"/>
      <c r="I1" s="151"/>
      <c r="J1" s="151"/>
    </row>
    <row r="2" spans="2:10">
      <c r="B2" s="154" t="s">
        <v>137</v>
      </c>
      <c r="C2" s="152">
        <f>'财务分析（2022）'!B3</f>
        <v>44957</v>
      </c>
      <c r="D2" s="153"/>
      <c r="E2" s="152">
        <f>DATE(YEAR(C2)-1,12,31)</f>
        <v>44926</v>
      </c>
      <c r="F2" s="153"/>
      <c r="G2" s="152">
        <f>DATE(YEAR(E2)-1,12,31)</f>
        <v>44561</v>
      </c>
      <c r="H2" s="153"/>
      <c r="I2" s="152">
        <f>DATE(YEAR(G2)-1,12,31)</f>
        <v>44196</v>
      </c>
      <c r="J2" s="153"/>
    </row>
    <row r="3" spans="2:10">
      <c r="B3" s="154"/>
      <c r="C3" s="70" t="s">
        <v>160</v>
      </c>
      <c r="D3" s="70" t="s">
        <v>161</v>
      </c>
      <c r="E3" s="70" t="s">
        <v>160</v>
      </c>
      <c r="F3" s="70" t="s">
        <v>161</v>
      </c>
      <c r="G3" s="70" t="s">
        <v>160</v>
      </c>
      <c r="H3" s="70" t="s">
        <v>161</v>
      </c>
      <c r="I3" s="70" t="s">
        <v>160</v>
      </c>
      <c r="J3" s="70" t="s">
        <v>161</v>
      </c>
    </row>
    <row r="4" spans="2:10">
      <c r="B4" s="71" t="s">
        <v>3</v>
      </c>
      <c r="C4" s="72">
        <f>ROUND(HLOOKUP($C$2,bs!$D$1:$AE$110,ROW(bs!D2),FALSE),0)/IF(LEN($B$1)&gt;4,10000,1)</f>
        <v>0</v>
      </c>
      <c r="D4" s="73" t="e">
        <f>C4/$C$37</f>
        <v>#DIV/0!</v>
      </c>
      <c r="E4" s="72">
        <f>ROUND(HLOOKUP($E$2,bs!$D$1:$AE$110,ROW(bs!F2),FALSE),0)/IF(LEN($B$1)&gt;4,10000,1)</f>
        <v>0</v>
      </c>
      <c r="F4" s="73" t="e">
        <f>E4/$E$37</f>
        <v>#DIV/0!</v>
      </c>
      <c r="G4" s="74">
        <f>ROUND(HLOOKUP($G$2,bs!$D$1:$AE$110,ROW(bs!H2),FALSE),0)/IF(LEN($B$1)&gt;4,10000,1)</f>
        <v>0</v>
      </c>
      <c r="H4" s="73" t="e">
        <f>G4/$G$37</f>
        <v>#DIV/0!</v>
      </c>
      <c r="I4" s="74">
        <f>ROUND(HLOOKUP($I$2,bs!$D$1:$AE$110,ROW(bs!K2),FALSE),0)/IF(LEN($B$1)&gt;4,10000,1)</f>
        <v>0</v>
      </c>
      <c r="J4" s="73" t="e">
        <f>I4/$I$37</f>
        <v>#DIV/0!</v>
      </c>
    </row>
    <row r="5" spans="2:10">
      <c r="B5" s="71" t="s">
        <v>4</v>
      </c>
      <c r="C5" s="72">
        <f>ROUND(HLOOKUP($C$2,bs!$D$1:$AE$110,ROW(bs!D3),FALSE),0)/IF(LEN($B$1)&gt;4,10000,1)</f>
        <v>0</v>
      </c>
      <c r="D5" s="73" t="e">
        <f t="shared" ref="D5:D37" si="0">C5/$C$37</f>
        <v>#DIV/0!</v>
      </c>
      <c r="E5" s="72">
        <f>ROUND(HLOOKUP($E$2,bs!$D$1:$AE$110,ROW(bs!F3),FALSE),0)/IF(LEN($B$1)&gt;4,10000,1)</f>
        <v>0</v>
      </c>
      <c r="F5" s="73" t="e">
        <f t="shared" ref="F5:F37" si="1">E5/$E$37</f>
        <v>#DIV/0!</v>
      </c>
      <c r="G5" s="74">
        <f>ROUND(HLOOKUP($G$2,bs!$D$1:$AE$110,ROW(bs!H3),FALSE),0)/IF(LEN($B$1)&gt;4,10000,1)</f>
        <v>0</v>
      </c>
      <c r="H5" s="73" t="e">
        <f t="shared" ref="H5:H37" si="2">G5/$G$37</f>
        <v>#DIV/0!</v>
      </c>
      <c r="I5" s="74">
        <f>ROUND(HLOOKUP($I$2,bs!$D$1:$AE$110,ROW(bs!K3),FALSE),0)/IF(LEN($B$1)&gt;4,10000,1)</f>
        <v>0</v>
      </c>
      <c r="J5" s="73" t="e">
        <f t="shared" ref="J5:J37" si="3">I5/$I$37</f>
        <v>#DIV/0!</v>
      </c>
    </row>
    <row r="6" spans="2:10">
      <c r="B6" s="71" t="s">
        <v>5</v>
      </c>
      <c r="C6" s="72">
        <f>ROUND(HLOOKUP($C$2,bs!$D$1:$AE$110,ROW(bs!D4),FALSE),0)/IF(LEN($B$1)&gt;4,10000,1)</f>
        <v>0</v>
      </c>
      <c r="D6" s="73" t="e">
        <f t="shared" si="0"/>
        <v>#DIV/0!</v>
      </c>
      <c r="E6" s="72">
        <f>ROUND(HLOOKUP($E$2,bs!$D$1:$AE$110,ROW(bs!F4),FALSE),0)/IF(LEN($B$1)&gt;4,10000,1)</f>
        <v>0</v>
      </c>
      <c r="F6" s="73" t="e">
        <f t="shared" si="1"/>
        <v>#DIV/0!</v>
      </c>
      <c r="G6" s="74">
        <f>ROUND(HLOOKUP($G$2,bs!$D$1:$AE$110,ROW(bs!H4),FALSE),0)/IF(LEN($B$1)&gt;4,10000,1)</f>
        <v>0</v>
      </c>
      <c r="H6" s="73" t="e">
        <f t="shared" si="2"/>
        <v>#DIV/0!</v>
      </c>
      <c r="I6" s="74">
        <f>ROUND(HLOOKUP($I$2,bs!$D$1:$AE$110,ROW(bs!K4),FALSE),0)/IF(LEN($B$1)&gt;4,10000,1)</f>
        <v>0</v>
      </c>
      <c r="J6" s="73" t="e">
        <f t="shared" si="3"/>
        <v>#DIV/0!</v>
      </c>
    </row>
    <row r="7" spans="2:10">
      <c r="B7" s="71" t="s">
        <v>6</v>
      </c>
      <c r="C7" s="72">
        <f>ROUND(HLOOKUP($C$2,bs!$D$1:$AE$110,ROW(bs!D5),FALSE),0)/IF(LEN($B$1)&gt;4,10000,1)</f>
        <v>0</v>
      </c>
      <c r="D7" s="73" t="e">
        <f t="shared" si="0"/>
        <v>#DIV/0!</v>
      </c>
      <c r="E7" s="72">
        <f>ROUND(HLOOKUP($E$2,bs!$D$1:$AE$110,ROW(bs!F5),FALSE),0)/IF(LEN($B$1)&gt;4,10000,1)</f>
        <v>0</v>
      </c>
      <c r="F7" s="73" t="e">
        <f t="shared" si="1"/>
        <v>#DIV/0!</v>
      </c>
      <c r="G7" s="74">
        <f>ROUND(HLOOKUP($G$2,bs!$D$1:$AE$110,ROW(bs!H5),FALSE),0)/IF(LEN($B$1)&gt;4,10000,1)</f>
        <v>0</v>
      </c>
      <c r="H7" s="73" t="e">
        <f t="shared" si="2"/>
        <v>#DIV/0!</v>
      </c>
      <c r="I7" s="74">
        <f>ROUND(HLOOKUP($I$2,bs!$D$1:$AE$110,ROW(bs!K5),FALSE),0)/IF(LEN($B$1)&gt;4,10000,1)</f>
        <v>0</v>
      </c>
      <c r="J7" s="73" t="e">
        <f t="shared" si="3"/>
        <v>#DIV/0!</v>
      </c>
    </row>
    <row r="8" spans="2:10">
      <c r="B8" s="71" t="s">
        <v>7</v>
      </c>
      <c r="C8" s="72">
        <f>ROUND(HLOOKUP($C$2,bs!$D$1:$AE$110,ROW(bs!D6),FALSE),0)/IF(LEN($B$1)&gt;4,10000,1)</f>
        <v>0</v>
      </c>
      <c r="D8" s="73" t="e">
        <f t="shared" si="0"/>
        <v>#DIV/0!</v>
      </c>
      <c r="E8" s="72">
        <f>ROUND(HLOOKUP($E$2,bs!$D$1:$AE$110,ROW(bs!F6),FALSE),0)/IF(LEN($B$1)&gt;4,10000,1)</f>
        <v>0</v>
      </c>
      <c r="F8" s="73" t="e">
        <f t="shared" si="1"/>
        <v>#DIV/0!</v>
      </c>
      <c r="G8" s="74">
        <f>ROUND(HLOOKUP($G$2,bs!$D$1:$AE$110,ROW(bs!H6),FALSE),0)/IF(LEN($B$1)&gt;4,10000,1)</f>
        <v>0</v>
      </c>
      <c r="H8" s="73" t="e">
        <f t="shared" si="2"/>
        <v>#DIV/0!</v>
      </c>
      <c r="I8" s="74">
        <f>ROUND(HLOOKUP($I$2,bs!$D$1:$AE$110,ROW(bs!K6),FALSE),0)/IF(LEN($B$1)&gt;4,10000,1)</f>
        <v>0</v>
      </c>
      <c r="J8" s="73" t="e">
        <f t="shared" si="3"/>
        <v>#DIV/0!</v>
      </c>
    </row>
    <row r="9" spans="2:10">
      <c r="B9" s="71" t="s">
        <v>8</v>
      </c>
      <c r="C9" s="72">
        <f>ROUND(HLOOKUP($C$2,bs!$D$1:$AE$110,ROW(bs!D7),FALSE),0)/IF(LEN($B$1)&gt;4,10000,1)</f>
        <v>0</v>
      </c>
      <c r="D9" s="73" t="e">
        <f t="shared" si="0"/>
        <v>#DIV/0!</v>
      </c>
      <c r="E9" s="72">
        <f>ROUND(HLOOKUP($E$2,bs!$D$1:$AE$110,ROW(bs!F7),FALSE),0)/IF(LEN($B$1)&gt;4,10000,1)</f>
        <v>0</v>
      </c>
      <c r="F9" s="73" t="e">
        <f t="shared" si="1"/>
        <v>#DIV/0!</v>
      </c>
      <c r="G9" s="74">
        <f>ROUND(HLOOKUP($G$2,bs!$D$1:$AE$110,ROW(bs!H7),FALSE),0)/IF(LEN($B$1)&gt;4,10000,1)</f>
        <v>0</v>
      </c>
      <c r="H9" s="73" t="e">
        <f t="shared" si="2"/>
        <v>#DIV/0!</v>
      </c>
      <c r="I9" s="74">
        <f>ROUND(HLOOKUP($I$2,bs!$D$1:$AE$110,ROW(bs!K7),FALSE),0)/IF(LEN($B$1)&gt;4,10000,1)</f>
        <v>0</v>
      </c>
      <c r="J9" s="73" t="e">
        <f t="shared" si="3"/>
        <v>#DIV/0!</v>
      </c>
    </row>
    <row r="10" spans="2:10">
      <c r="B10" s="71" t="s">
        <v>9</v>
      </c>
      <c r="C10" s="72">
        <f>ROUND(HLOOKUP($C$2,bs!$D$1:$AE$110,ROW(bs!D8),FALSE),0)/IF(LEN($B$1)&gt;4,10000,1)</f>
        <v>0</v>
      </c>
      <c r="D10" s="73" t="e">
        <f t="shared" si="0"/>
        <v>#DIV/0!</v>
      </c>
      <c r="E10" s="72">
        <f>ROUND(HLOOKUP($E$2,bs!$D$1:$AE$110,ROW(bs!F8),FALSE),0)/IF(LEN($B$1)&gt;4,10000,1)</f>
        <v>0</v>
      </c>
      <c r="F10" s="73" t="e">
        <f t="shared" si="1"/>
        <v>#DIV/0!</v>
      </c>
      <c r="G10" s="74">
        <f>ROUND(HLOOKUP($G$2,bs!$D$1:$AE$110,ROW(bs!H8),FALSE),0)/IF(LEN($B$1)&gt;4,10000,1)</f>
        <v>0</v>
      </c>
      <c r="H10" s="73" t="e">
        <f t="shared" si="2"/>
        <v>#DIV/0!</v>
      </c>
      <c r="I10" s="74">
        <f>ROUND(HLOOKUP($I$2,bs!$D$1:$AE$110,ROW(bs!K8),FALSE),0)/IF(LEN($B$1)&gt;4,10000,1)</f>
        <v>0</v>
      </c>
      <c r="J10" s="73" t="e">
        <f t="shared" si="3"/>
        <v>#DIV/0!</v>
      </c>
    </row>
    <row r="11" spans="2:10">
      <c r="B11" s="71" t="s">
        <v>10</v>
      </c>
      <c r="C11" s="72">
        <f>ROUND(HLOOKUP($C$2,bs!$D$1:$AE$110,ROW(bs!D9),FALSE),0)/IF(LEN($B$1)&gt;4,10000,1)</f>
        <v>0</v>
      </c>
      <c r="D11" s="73" t="e">
        <f t="shared" si="0"/>
        <v>#DIV/0!</v>
      </c>
      <c r="E11" s="72">
        <f>ROUND(HLOOKUP($E$2,bs!$D$1:$AE$110,ROW(bs!F9),FALSE),0)/IF(LEN($B$1)&gt;4,10000,1)</f>
        <v>0</v>
      </c>
      <c r="F11" s="73" t="e">
        <f t="shared" si="1"/>
        <v>#DIV/0!</v>
      </c>
      <c r="G11" s="74">
        <f>ROUND(HLOOKUP($G$2,bs!$D$1:$AE$110,ROW(bs!H9),FALSE),0)/IF(LEN($B$1)&gt;4,10000,1)</f>
        <v>0</v>
      </c>
      <c r="H11" s="73" t="e">
        <f t="shared" si="2"/>
        <v>#DIV/0!</v>
      </c>
      <c r="I11" s="74">
        <f>ROUND(HLOOKUP($I$2,bs!$D$1:$AE$110,ROW(bs!K9),FALSE),0)/IF(LEN($B$1)&gt;4,10000,1)</f>
        <v>0</v>
      </c>
      <c r="J11" s="73" t="e">
        <f t="shared" si="3"/>
        <v>#DIV/0!</v>
      </c>
    </row>
    <row r="12" spans="2:10">
      <c r="B12" s="71" t="s">
        <v>11</v>
      </c>
      <c r="C12" s="72">
        <f>ROUND(HLOOKUP($C$2,bs!$D$1:$AE$110,ROW(bs!D10),FALSE),0)/IF(LEN($B$1)&gt;4,10000,1)</f>
        <v>0</v>
      </c>
      <c r="D12" s="73" t="e">
        <f t="shared" si="0"/>
        <v>#DIV/0!</v>
      </c>
      <c r="E12" s="72">
        <f>ROUND(HLOOKUP($E$2,bs!$D$1:$AE$110,ROW(bs!F10),FALSE),0)/IF(LEN($B$1)&gt;4,10000,1)</f>
        <v>0</v>
      </c>
      <c r="F12" s="73" t="e">
        <f t="shared" si="1"/>
        <v>#DIV/0!</v>
      </c>
      <c r="G12" s="74">
        <f>ROUND(HLOOKUP($G$2,bs!$D$1:$AE$110,ROW(bs!H10),FALSE),0)/IF(LEN($B$1)&gt;4,10000,1)</f>
        <v>0</v>
      </c>
      <c r="H12" s="73" t="e">
        <f t="shared" si="2"/>
        <v>#DIV/0!</v>
      </c>
      <c r="I12" s="74">
        <f>ROUND(HLOOKUP($I$2,bs!$D$1:$AE$110,ROW(bs!K10),FALSE),0)/IF(LEN($B$1)&gt;4,10000,1)</f>
        <v>0</v>
      </c>
      <c r="J12" s="73" t="e">
        <f t="shared" si="3"/>
        <v>#DIV/0!</v>
      </c>
    </row>
    <row r="13" spans="2:10" ht="22.5">
      <c r="B13" s="71" t="s">
        <v>12</v>
      </c>
      <c r="C13" s="72">
        <f>ROUND(HLOOKUP($C$2,bs!$D$1:$AE$110,ROW(bs!D11),FALSE),0)/IF(LEN($B$1)&gt;4,10000,1)</f>
        <v>0</v>
      </c>
      <c r="D13" s="73" t="e">
        <f t="shared" si="0"/>
        <v>#DIV/0!</v>
      </c>
      <c r="E13" s="72">
        <f>ROUND(HLOOKUP($E$2,bs!$D$1:$AE$110,ROW(bs!F11),FALSE),0)/IF(LEN($B$1)&gt;4,10000,1)</f>
        <v>0</v>
      </c>
      <c r="F13" s="73" t="e">
        <f t="shared" si="1"/>
        <v>#DIV/0!</v>
      </c>
      <c r="G13" s="74">
        <f>ROUND(HLOOKUP($G$2,bs!$D$1:$AE$110,ROW(bs!H11),FALSE),0)/IF(LEN($B$1)&gt;4,10000,1)</f>
        <v>0</v>
      </c>
      <c r="H13" s="73" t="e">
        <f t="shared" si="2"/>
        <v>#DIV/0!</v>
      </c>
      <c r="I13" s="74">
        <f>ROUND(HLOOKUP($I$2,bs!$D$1:$AE$110,ROW(bs!K11),FALSE),0)/IF(LEN($B$1)&gt;4,10000,1)</f>
        <v>0</v>
      </c>
      <c r="J13" s="73" t="e">
        <f t="shared" si="3"/>
        <v>#DIV/0!</v>
      </c>
    </row>
    <row r="14" spans="2:10">
      <c r="B14" s="71" t="s">
        <v>13</v>
      </c>
      <c r="C14" s="72">
        <f>ROUND(HLOOKUP($C$2,bs!$D$1:$AE$110,ROW(bs!D12),FALSE),0)/IF(LEN($B$1)&gt;4,10000,1)</f>
        <v>0</v>
      </c>
      <c r="D14" s="73" t="e">
        <f t="shared" si="0"/>
        <v>#DIV/0!</v>
      </c>
      <c r="E14" s="72">
        <f>ROUND(HLOOKUP($E$2,bs!$D$1:$AE$110,ROW(bs!F12),FALSE),0)/IF(LEN($B$1)&gt;4,10000,1)</f>
        <v>0</v>
      </c>
      <c r="F14" s="73" t="e">
        <f t="shared" si="1"/>
        <v>#DIV/0!</v>
      </c>
      <c r="G14" s="74">
        <f>ROUND(HLOOKUP($G$2,bs!$D$1:$AE$110,ROW(bs!H12),FALSE),0)/IF(LEN($B$1)&gt;4,10000,1)</f>
        <v>0</v>
      </c>
      <c r="H14" s="73" t="e">
        <f t="shared" si="2"/>
        <v>#DIV/0!</v>
      </c>
      <c r="I14" s="74">
        <f>ROUND(HLOOKUP($I$2,bs!$D$1:$AE$110,ROW(bs!K12),FALSE),0)/IF(LEN($B$1)&gt;4,10000,1)</f>
        <v>0</v>
      </c>
      <c r="J14" s="73" t="e">
        <f t="shared" si="3"/>
        <v>#DIV/0!</v>
      </c>
    </row>
    <row r="15" spans="2:10">
      <c r="B15" s="75" t="s">
        <v>14</v>
      </c>
      <c r="C15" s="76">
        <f>ROUND(HLOOKUP($C$2,bs!$D$1:$AE$110,ROW(bs!D24),FALSE),0)/IF(LEN($B$1)&gt;4,10000,1)</f>
        <v>0</v>
      </c>
      <c r="D15" s="77" t="e">
        <f t="shared" si="0"/>
        <v>#DIV/0!</v>
      </c>
      <c r="E15" s="76">
        <f>ROUND(HLOOKUP($E$2,bs!$D$1:$AE$110,ROW(bs!F24),FALSE),0)/IF(LEN($B$1)&gt;4,10000,1)</f>
        <v>0</v>
      </c>
      <c r="F15" s="77" t="e">
        <f t="shared" si="1"/>
        <v>#DIV/0!</v>
      </c>
      <c r="G15" s="78">
        <f>ROUND(HLOOKUP($G$2,bs!$D$1:$AE$110,ROW(bs!H24),FALSE),0)/IF(LEN($B$1)&gt;4,10000,1)</f>
        <v>0</v>
      </c>
      <c r="H15" s="77" t="e">
        <f t="shared" si="2"/>
        <v>#DIV/0!</v>
      </c>
      <c r="I15" s="78">
        <f>ROUND(HLOOKUP($I$2,bs!$D$1:$AE$110,ROW(bs!K24),FALSE),0)/IF(LEN($B$1)&gt;4,10000,1)</f>
        <v>0</v>
      </c>
      <c r="J15" s="77" t="e">
        <f t="shared" si="3"/>
        <v>#DIV/0!</v>
      </c>
    </row>
    <row r="16" spans="2:10">
      <c r="B16" s="71" t="s">
        <v>15</v>
      </c>
      <c r="C16" s="72">
        <f>ROUND(HLOOKUP($C$2,bs!$D$1:$AE$110,ROW(bs!D25),FALSE),0)/IF(LEN($B$1)&gt;4,10000,1)</f>
        <v>0</v>
      </c>
      <c r="D16" s="73" t="e">
        <f t="shared" si="0"/>
        <v>#DIV/0!</v>
      </c>
      <c r="E16" s="72">
        <f>ROUND(HLOOKUP($E$2,bs!$D$1:$AE$110,ROW(bs!F25),FALSE),0)/IF(LEN($B$1)&gt;4,10000,1)</f>
        <v>0</v>
      </c>
      <c r="F16" s="73" t="e">
        <f t="shared" si="1"/>
        <v>#DIV/0!</v>
      </c>
      <c r="G16" s="74">
        <f>ROUND(HLOOKUP($G$2,bs!$D$1:$AE$110,ROW(bs!H25),FALSE),0)/IF(LEN($B$1)&gt;4,10000,1)</f>
        <v>0</v>
      </c>
      <c r="H16" s="73" t="e">
        <f t="shared" si="2"/>
        <v>#DIV/0!</v>
      </c>
      <c r="I16" s="74">
        <f>ROUND(HLOOKUP($I$2,bs!$D$1:$AE$110,ROW(bs!K25),FALSE),0)/IF(LEN($B$1)&gt;4,10000,1)</f>
        <v>0</v>
      </c>
      <c r="J16" s="73" t="e">
        <f t="shared" si="3"/>
        <v>#DIV/0!</v>
      </c>
    </row>
    <row r="17" spans="2:10">
      <c r="B17" s="71" t="s">
        <v>16</v>
      </c>
      <c r="C17" s="72">
        <f>ROUND(HLOOKUP($C$2,bs!$D$1:$AE$110,ROW(bs!D26),FALSE),0)/IF(LEN($B$1)&gt;4,10000,1)</f>
        <v>0</v>
      </c>
      <c r="D17" s="73" t="e">
        <f t="shared" si="0"/>
        <v>#DIV/0!</v>
      </c>
      <c r="E17" s="72">
        <f>ROUND(HLOOKUP($E$2,bs!$D$1:$AE$110,ROW(bs!F26),FALSE),0)/IF(LEN($B$1)&gt;4,10000,1)</f>
        <v>0</v>
      </c>
      <c r="F17" s="73" t="e">
        <f t="shared" si="1"/>
        <v>#DIV/0!</v>
      </c>
      <c r="G17" s="74">
        <f>ROUND(HLOOKUP($G$2,bs!$D$1:$AE$110,ROW(bs!H26),FALSE),0)/IF(LEN($B$1)&gt;4,10000,1)</f>
        <v>0</v>
      </c>
      <c r="H17" s="73" t="e">
        <f t="shared" si="2"/>
        <v>#DIV/0!</v>
      </c>
      <c r="I17" s="74">
        <f>ROUND(HLOOKUP($I$2,bs!$D$1:$AE$110,ROW(bs!K26),FALSE),0)/IF(LEN($B$1)&gt;4,10000,1)</f>
        <v>0</v>
      </c>
      <c r="J17" s="73" t="e">
        <f t="shared" si="3"/>
        <v>#DIV/0!</v>
      </c>
    </row>
    <row r="18" spans="2:10">
      <c r="B18" s="71" t="s">
        <v>17</v>
      </c>
      <c r="C18" s="72">
        <f>ROUND(HLOOKUP($C$2,bs!$D$1:$AE$110,ROW(bs!D27),FALSE),0)/IF(LEN($B$1)&gt;4,10000,1)</f>
        <v>0</v>
      </c>
      <c r="D18" s="73" t="e">
        <f t="shared" si="0"/>
        <v>#DIV/0!</v>
      </c>
      <c r="E18" s="72">
        <f>ROUND(HLOOKUP($E$2,bs!$D$1:$AE$110,ROW(bs!F27),FALSE),0)/IF(LEN($B$1)&gt;4,10000,1)</f>
        <v>0</v>
      </c>
      <c r="F18" s="73" t="e">
        <f t="shared" si="1"/>
        <v>#DIV/0!</v>
      </c>
      <c r="G18" s="74">
        <f>ROUND(HLOOKUP($G$2,bs!$D$1:$AE$110,ROW(bs!H27),FALSE),0)/IF(LEN($B$1)&gt;4,10000,1)</f>
        <v>0</v>
      </c>
      <c r="H18" s="73" t="e">
        <f t="shared" si="2"/>
        <v>#DIV/0!</v>
      </c>
      <c r="I18" s="74">
        <f>ROUND(HLOOKUP($I$2,bs!$D$1:$AE$110,ROW(bs!K27),FALSE),0)/IF(LEN($B$1)&gt;4,10000,1)</f>
        <v>0</v>
      </c>
      <c r="J18" s="73" t="e">
        <f t="shared" si="3"/>
        <v>#DIV/0!</v>
      </c>
    </row>
    <row r="19" spans="2:10">
      <c r="B19" s="71" t="s">
        <v>18</v>
      </c>
      <c r="C19" s="72">
        <f>ROUND(HLOOKUP($C$2,bs!$D$1:$AE$110,ROW(bs!D28),FALSE),0)/IF(LEN($B$1)&gt;4,10000,1)</f>
        <v>0</v>
      </c>
      <c r="D19" s="73" t="e">
        <f t="shared" si="0"/>
        <v>#DIV/0!</v>
      </c>
      <c r="E19" s="72">
        <f>ROUND(HLOOKUP($E$2,bs!$D$1:$AE$110,ROW(bs!F28),FALSE),0)/IF(LEN($B$1)&gt;4,10000,1)</f>
        <v>0</v>
      </c>
      <c r="F19" s="73" t="e">
        <f t="shared" si="1"/>
        <v>#DIV/0!</v>
      </c>
      <c r="G19" s="74">
        <f>ROUND(HLOOKUP($G$2,bs!$D$1:$AE$110,ROW(bs!H28),FALSE),0)/IF(LEN($B$1)&gt;4,10000,1)</f>
        <v>0</v>
      </c>
      <c r="H19" s="73" t="e">
        <f t="shared" si="2"/>
        <v>#DIV/0!</v>
      </c>
      <c r="I19" s="74">
        <f>ROUND(HLOOKUP($I$2,bs!$D$1:$AE$110,ROW(bs!K28),FALSE),0)/IF(LEN($B$1)&gt;4,10000,1)</f>
        <v>0</v>
      </c>
      <c r="J19" s="73" t="e">
        <f t="shared" si="3"/>
        <v>#DIV/0!</v>
      </c>
    </row>
    <row r="20" spans="2:10">
      <c r="B20" s="71" t="s">
        <v>19</v>
      </c>
      <c r="C20" s="72">
        <f>ROUND(HLOOKUP($C$2,bs!$D$1:$AE$110,ROW(bs!D29),FALSE),0)/IF(LEN($B$1)&gt;4,10000,1)</f>
        <v>0</v>
      </c>
      <c r="D20" s="73" t="e">
        <f t="shared" si="0"/>
        <v>#DIV/0!</v>
      </c>
      <c r="E20" s="72">
        <f>ROUND(HLOOKUP($E$2,bs!$D$1:$AE$110,ROW(bs!F29),FALSE),0)/IF(LEN($B$1)&gt;4,10000,1)</f>
        <v>0</v>
      </c>
      <c r="F20" s="73" t="e">
        <f t="shared" si="1"/>
        <v>#DIV/0!</v>
      </c>
      <c r="G20" s="74">
        <f>ROUND(HLOOKUP($G$2,bs!$D$1:$AE$110,ROW(bs!H29),FALSE),0)/IF(LEN($B$1)&gt;4,10000,1)</f>
        <v>0</v>
      </c>
      <c r="H20" s="73" t="e">
        <f t="shared" si="2"/>
        <v>#DIV/0!</v>
      </c>
      <c r="I20" s="74">
        <f>ROUND(HLOOKUP($I$2,bs!$D$1:$AE$110,ROW(bs!K29),FALSE),0)/IF(LEN($B$1)&gt;4,10000,1)</f>
        <v>0</v>
      </c>
      <c r="J20" s="73" t="e">
        <f t="shared" si="3"/>
        <v>#DIV/0!</v>
      </c>
    </row>
    <row r="21" spans="2:10">
      <c r="B21" s="71" t="s">
        <v>20</v>
      </c>
      <c r="C21" s="72">
        <f>ROUND(HLOOKUP($C$2,bs!$D$1:$AE$110,ROW(bs!D30),FALSE),0)/IF(LEN($B$1)&gt;4,10000,1)</f>
        <v>0</v>
      </c>
      <c r="D21" s="73" t="e">
        <f t="shared" si="0"/>
        <v>#DIV/0!</v>
      </c>
      <c r="E21" s="72">
        <f>ROUND(HLOOKUP($E$2,bs!$D$1:$AE$110,ROW(bs!F30),FALSE),0)/IF(LEN($B$1)&gt;4,10000,1)</f>
        <v>0</v>
      </c>
      <c r="F21" s="73" t="e">
        <f t="shared" si="1"/>
        <v>#DIV/0!</v>
      </c>
      <c r="G21" s="74">
        <f>ROUND(HLOOKUP($G$2,bs!$D$1:$AE$110,ROW(bs!H30),FALSE),0)/IF(LEN($B$1)&gt;4,10000,1)</f>
        <v>0</v>
      </c>
      <c r="H21" s="73" t="e">
        <f t="shared" si="2"/>
        <v>#DIV/0!</v>
      </c>
      <c r="I21" s="74">
        <f>ROUND(HLOOKUP($I$2,bs!$D$1:$AE$110,ROW(bs!K30),FALSE),0)/IF(LEN($B$1)&gt;4,10000,1)</f>
        <v>0</v>
      </c>
      <c r="J21" s="73" t="e">
        <f t="shared" si="3"/>
        <v>#DIV/0!</v>
      </c>
    </row>
    <row r="22" spans="2:10">
      <c r="B22" s="71" t="s">
        <v>21</v>
      </c>
      <c r="C22" s="72">
        <f>ROUND(HLOOKUP($C$2,bs!$D$1:$AE$110,ROW(bs!D31),FALSE),0)/IF(LEN($B$1)&gt;4,10000,1)</f>
        <v>0</v>
      </c>
      <c r="D22" s="73" t="e">
        <f t="shared" si="0"/>
        <v>#DIV/0!</v>
      </c>
      <c r="E22" s="72">
        <f>ROUND(HLOOKUP($E$2,bs!$D$1:$AE$110,ROW(bs!F31),FALSE),0)/IF(LEN($B$1)&gt;4,10000,1)</f>
        <v>0</v>
      </c>
      <c r="F22" s="73" t="e">
        <f t="shared" si="1"/>
        <v>#DIV/0!</v>
      </c>
      <c r="G22" s="74">
        <f>ROUND(HLOOKUP($G$2,bs!$D$1:$AE$110,ROW(bs!H31),FALSE),0)/IF(LEN($B$1)&gt;4,10000,1)</f>
        <v>0</v>
      </c>
      <c r="H22" s="73" t="e">
        <f t="shared" si="2"/>
        <v>#DIV/0!</v>
      </c>
      <c r="I22" s="74">
        <f>ROUND(HLOOKUP($I$2,bs!$D$1:$AE$110,ROW(bs!K31),FALSE),0)/IF(LEN($B$1)&gt;4,10000,1)</f>
        <v>0</v>
      </c>
      <c r="J22" s="73" t="e">
        <f t="shared" si="3"/>
        <v>#DIV/0!</v>
      </c>
    </row>
    <row r="23" spans="2:10">
      <c r="B23" s="71" t="s">
        <v>22</v>
      </c>
      <c r="C23" s="72">
        <f>ROUND(HLOOKUP($C$2,bs!$D$1:$AE$110,ROW(bs!D32),FALSE),0)/IF(LEN($B$1)&gt;4,10000,1)</f>
        <v>0</v>
      </c>
      <c r="D23" s="73" t="e">
        <f t="shared" si="0"/>
        <v>#DIV/0!</v>
      </c>
      <c r="E23" s="72">
        <f>ROUND(HLOOKUP($E$2,bs!$D$1:$AE$110,ROW(bs!F32),FALSE),0)/IF(LEN($B$1)&gt;4,10000,1)</f>
        <v>0</v>
      </c>
      <c r="F23" s="73" t="e">
        <f t="shared" si="1"/>
        <v>#DIV/0!</v>
      </c>
      <c r="G23" s="74">
        <f>ROUND(HLOOKUP($G$2,bs!$D$1:$AE$110,ROW(bs!H32),FALSE),0)/IF(LEN($B$1)&gt;4,10000,1)</f>
        <v>0</v>
      </c>
      <c r="H23" s="73" t="e">
        <f t="shared" si="2"/>
        <v>#DIV/0!</v>
      </c>
      <c r="I23" s="74">
        <f>ROUND(HLOOKUP($I$2,bs!$D$1:$AE$110,ROW(bs!K32),FALSE),0)/IF(LEN($B$1)&gt;4,10000,1)</f>
        <v>0</v>
      </c>
      <c r="J23" s="73" t="e">
        <f t="shared" si="3"/>
        <v>#DIV/0!</v>
      </c>
    </row>
    <row r="24" spans="2:10">
      <c r="B24" s="71" t="s">
        <v>23</v>
      </c>
      <c r="C24" s="72">
        <f>ROUND(HLOOKUP($C$2,bs!$D$1:$AE$110,ROW(bs!D33),FALSE),0)/IF(LEN($B$1)&gt;4,10000,1)</f>
        <v>0</v>
      </c>
      <c r="D24" s="73" t="e">
        <f t="shared" si="0"/>
        <v>#DIV/0!</v>
      </c>
      <c r="E24" s="72">
        <f>ROUND(HLOOKUP($E$2,bs!$D$1:$AE$110,ROW(bs!F33),FALSE),0)/IF(LEN($B$1)&gt;4,10000,1)</f>
        <v>0</v>
      </c>
      <c r="F24" s="73" t="e">
        <f t="shared" si="1"/>
        <v>#DIV/0!</v>
      </c>
      <c r="G24" s="74">
        <f>ROUND(HLOOKUP($G$2,bs!$D$1:$AE$110,ROW(bs!H33),FALSE),0)/IF(LEN($B$1)&gt;4,10000,1)</f>
        <v>0</v>
      </c>
      <c r="H24" s="73" t="e">
        <f t="shared" si="2"/>
        <v>#DIV/0!</v>
      </c>
      <c r="I24" s="74">
        <f>ROUND(HLOOKUP($I$2,bs!$D$1:$AE$110,ROW(bs!K33),FALSE),0)/IF(LEN($B$1)&gt;4,10000,1)</f>
        <v>0</v>
      </c>
      <c r="J24" s="73" t="e">
        <f t="shared" si="3"/>
        <v>#DIV/0!</v>
      </c>
    </row>
    <row r="25" spans="2:10">
      <c r="B25" s="71" t="s">
        <v>24</v>
      </c>
      <c r="C25" s="72">
        <f>ROUND(HLOOKUP($C$2,bs!$D$1:$AE$110,ROW(bs!D34),FALSE),0)/IF(LEN($B$1)&gt;4,10000,1)</f>
        <v>0</v>
      </c>
      <c r="D25" s="73" t="e">
        <f t="shared" si="0"/>
        <v>#DIV/0!</v>
      </c>
      <c r="E25" s="72">
        <f>ROUND(HLOOKUP($E$2,bs!$D$1:$AE$110,ROW(bs!F34),FALSE),0)/IF(LEN($B$1)&gt;4,10000,1)</f>
        <v>0</v>
      </c>
      <c r="F25" s="73" t="e">
        <f t="shared" si="1"/>
        <v>#DIV/0!</v>
      </c>
      <c r="G25" s="74">
        <f>ROUND(HLOOKUP($G$2,bs!$D$1:$AE$110,ROW(bs!H34),FALSE),0)/IF(LEN($B$1)&gt;4,10000,1)</f>
        <v>0</v>
      </c>
      <c r="H25" s="73" t="e">
        <f t="shared" si="2"/>
        <v>#DIV/0!</v>
      </c>
      <c r="I25" s="74">
        <f>ROUND(HLOOKUP($I$2,bs!$D$1:$AE$110,ROW(bs!K34),FALSE),0)/IF(LEN($B$1)&gt;4,10000,1)</f>
        <v>0</v>
      </c>
      <c r="J25" s="73" t="e">
        <f t="shared" si="3"/>
        <v>#DIV/0!</v>
      </c>
    </row>
    <row r="26" spans="2:10">
      <c r="B26" s="71" t="s">
        <v>25</v>
      </c>
      <c r="C26" s="72">
        <f>ROUND(HLOOKUP($C$2,bs!$D$1:$AE$110,ROW(bs!D35),FALSE),0)/IF(LEN($B$1)&gt;4,10000,1)</f>
        <v>0</v>
      </c>
      <c r="D26" s="73" t="e">
        <f t="shared" si="0"/>
        <v>#DIV/0!</v>
      </c>
      <c r="E26" s="72">
        <f>ROUND(HLOOKUP($E$2,bs!$D$1:$AE$110,ROW(bs!F35),FALSE),0)/IF(LEN($B$1)&gt;4,10000,1)</f>
        <v>0</v>
      </c>
      <c r="F26" s="73" t="e">
        <f t="shared" si="1"/>
        <v>#DIV/0!</v>
      </c>
      <c r="G26" s="74">
        <f>ROUND(HLOOKUP($G$2,bs!$D$1:$AE$110,ROW(bs!H35),FALSE),0)/IF(LEN($B$1)&gt;4,10000,1)</f>
        <v>0</v>
      </c>
      <c r="H26" s="73" t="e">
        <f t="shared" si="2"/>
        <v>#DIV/0!</v>
      </c>
      <c r="I26" s="74">
        <f>ROUND(HLOOKUP($I$2,bs!$D$1:$AE$110,ROW(bs!K35),FALSE),0)/IF(LEN($B$1)&gt;4,10000,1)</f>
        <v>0</v>
      </c>
      <c r="J26" s="73" t="e">
        <f t="shared" si="3"/>
        <v>#DIV/0!</v>
      </c>
    </row>
    <row r="27" spans="2:10">
      <c r="B27" s="71" t="s">
        <v>26</v>
      </c>
      <c r="C27" s="72">
        <f>ROUND(HLOOKUP($C$2,bs!$D$1:$AE$110,ROW(bs!D36),FALSE),0)/IF(LEN($B$1)&gt;4,10000,1)</f>
        <v>0</v>
      </c>
      <c r="D27" s="73" t="e">
        <f t="shared" si="0"/>
        <v>#DIV/0!</v>
      </c>
      <c r="E27" s="72">
        <f>ROUND(HLOOKUP($E$2,bs!$D$1:$AE$110,ROW(bs!F36),FALSE),0)/IF(LEN($B$1)&gt;4,10000,1)</f>
        <v>0</v>
      </c>
      <c r="F27" s="73" t="e">
        <f t="shared" si="1"/>
        <v>#DIV/0!</v>
      </c>
      <c r="G27" s="74">
        <f>ROUND(HLOOKUP($G$2,bs!$D$1:$AE$110,ROW(bs!H36),FALSE),0)/IF(LEN($B$1)&gt;4,10000,1)</f>
        <v>0</v>
      </c>
      <c r="H27" s="73" t="e">
        <f t="shared" si="2"/>
        <v>#DIV/0!</v>
      </c>
      <c r="I27" s="74">
        <f>ROUND(HLOOKUP($I$2,bs!$D$1:$AE$110,ROW(bs!K36),FALSE),0)/IF(LEN($B$1)&gt;4,10000,1)</f>
        <v>0</v>
      </c>
      <c r="J27" s="73" t="e">
        <f t="shared" si="3"/>
        <v>#DIV/0!</v>
      </c>
    </row>
    <row r="28" spans="2:10">
      <c r="B28" s="71" t="s">
        <v>27</v>
      </c>
      <c r="C28" s="72">
        <f>ROUND(HLOOKUP($C$2,bs!$D$1:$AE$110,ROW(bs!D37),FALSE),0)/IF(LEN($B$1)&gt;4,10000,1)</f>
        <v>0</v>
      </c>
      <c r="D28" s="73" t="e">
        <f t="shared" si="0"/>
        <v>#DIV/0!</v>
      </c>
      <c r="E28" s="72">
        <f>ROUND(HLOOKUP($E$2,bs!$D$1:$AE$110,ROW(bs!F37),FALSE),0)/IF(LEN($B$1)&gt;4,10000,1)</f>
        <v>0</v>
      </c>
      <c r="F28" s="73" t="e">
        <f t="shared" si="1"/>
        <v>#DIV/0!</v>
      </c>
      <c r="G28" s="74">
        <f>ROUND(HLOOKUP($G$2,bs!$D$1:$AE$110,ROW(bs!H37),FALSE),0)/IF(LEN($B$1)&gt;4,10000,1)</f>
        <v>0</v>
      </c>
      <c r="H28" s="73" t="e">
        <f t="shared" si="2"/>
        <v>#DIV/0!</v>
      </c>
      <c r="I28" s="74">
        <f>ROUND(HLOOKUP($I$2,bs!$D$1:$AE$110,ROW(bs!K37),FALSE),0)/IF(LEN($B$1)&gt;4,10000,1)</f>
        <v>0</v>
      </c>
      <c r="J28" s="73" t="e">
        <f t="shared" si="3"/>
        <v>#DIV/0!</v>
      </c>
    </row>
    <row r="29" spans="2:10">
      <c r="B29" s="71" t="s">
        <v>28</v>
      </c>
      <c r="C29" s="72">
        <f>ROUND(HLOOKUP($C$2,bs!$D$1:$AE$110,ROW(bs!D38),FALSE),0)/IF(LEN($B$1)&gt;4,10000,1)</f>
        <v>0</v>
      </c>
      <c r="D29" s="73" t="e">
        <f t="shared" si="0"/>
        <v>#DIV/0!</v>
      </c>
      <c r="E29" s="72">
        <f>ROUND(HLOOKUP($E$2,bs!$D$1:$AE$110,ROW(bs!F38),FALSE),0)/IF(LEN($B$1)&gt;4,10000,1)</f>
        <v>0</v>
      </c>
      <c r="F29" s="73" t="e">
        <f t="shared" si="1"/>
        <v>#DIV/0!</v>
      </c>
      <c r="G29" s="74">
        <f>ROUND(HLOOKUP($G$2,bs!$D$1:$AE$110,ROW(bs!H38),FALSE),0)/IF(LEN($B$1)&gt;4,10000,1)</f>
        <v>0</v>
      </c>
      <c r="H29" s="73" t="e">
        <f t="shared" si="2"/>
        <v>#DIV/0!</v>
      </c>
      <c r="I29" s="74">
        <f>ROUND(HLOOKUP($I$2,bs!$D$1:$AE$110,ROW(bs!K38),FALSE),0)/IF(LEN($B$1)&gt;4,10000,1)</f>
        <v>0</v>
      </c>
      <c r="J29" s="73" t="e">
        <f t="shared" si="3"/>
        <v>#DIV/0!</v>
      </c>
    </row>
    <row r="30" spans="2:10">
      <c r="B30" s="71" t="s">
        <v>29</v>
      </c>
      <c r="C30" s="72">
        <f>ROUND(HLOOKUP($C$2,bs!$D$1:$AE$110,ROW(bs!D39),FALSE),0)/IF(LEN($B$1)&gt;4,10000,1)</f>
        <v>0</v>
      </c>
      <c r="D30" s="73" t="e">
        <f t="shared" si="0"/>
        <v>#DIV/0!</v>
      </c>
      <c r="E30" s="72">
        <f>ROUND(HLOOKUP($E$2,bs!$D$1:$AE$110,ROW(bs!F39),FALSE),0)/IF(LEN($B$1)&gt;4,10000,1)</f>
        <v>0</v>
      </c>
      <c r="F30" s="73" t="e">
        <f t="shared" si="1"/>
        <v>#DIV/0!</v>
      </c>
      <c r="G30" s="74">
        <f>ROUND(HLOOKUP($G$2,bs!$D$1:$AE$110,ROW(bs!H39),FALSE),0)/IF(LEN($B$1)&gt;4,10000,1)</f>
        <v>0</v>
      </c>
      <c r="H30" s="73" t="e">
        <f t="shared" si="2"/>
        <v>#DIV/0!</v>
      </c>
      <c r="I30" s="74">
        <f>ROUND(HLOOKUP($I$2,bs!$D$1:$AE$110,ROW(bs!K39),FALSE),0)/IF(LEN($B$1)&gt;4,10000,1)</f>
        <v>0</v>
      </c>
      <c r="J30" s="73" t="e">
        <f t="shared" si="3"/>
        <v>#DIV/0!</v>
      </c>
    </row>
    <row r="31" spans="2:10">
      <c r="B31" s="71" t="s">
        <v>30</v>
      </c>
      <c r="C31" s="72">
        <f>ROUND(HLOOKUP($C$2,bs!$D$1:$AE$110,ROW(bs!D40),FALSE),0)/IF(LEN($B$1)&gt;4,10000,1)</f>
        <v>0</v>
      </c>
      <c r="D31" s="73" t="e">
        <f t="shared" si="0"/>
        <v>#DIV/0!</v>
      </c>
      <c r="E31" s="72">
        <f>ROUND(HLOOKUP($E$2,bs!$D$1:$AE$110,ROW(bs!F40),FALSE),0)/IF(LEN($B$1)&gt;4,10000,1)</f>
        <v>0</v>
      </c>
      <c r="F31" s="73" t="e">
        <f t="shared" si="1"/>
        <v>#DIV/0!</v>
      </c>
      <c r="G31" s="74">
        <f>ROUND(HLOOKUP($G$2,bs!$D$1:$AE$110,ROW(bs!H40),FALSE),0)/IF(LEN($B$1)&gt;4,10000,1)</f>
        <v>0</v>
      </c>
      <c r="H31" s="73" t="e">
        <f t="shared" si="2"/>
        <v>#DIV/0!</v>
      </c>
      <c r="I31" s="74">
        <f>ROUND(HLOOKUP($I$2,bs!$D$1:$AE$110,ROW(bs!K40),FALSE),0)/IF(LEN($B$1)&gt;4,10000,1)</f>
        <v>0</v>
      </c>
      <c r="J31" s="73" t="e">
        <f t="shared" si="3"/>
        <v>#DIV/0!</v>
      </c>
    </row>
    <row r="32" spans="2:10">
      <c r="B32" s="71" t="s">
        <v>31</v>
      </c>
      <c r="C32" s="72">
        <f>ROUND(HLOOKUP($C$2,bs!$D$1:$AE$110,ROW(bs!D41),FALSE),0)/IF(LEN($B$1)&gt;4,10000,1)</f>
        <v>0</v>
      </c>
      <c r="D32" s="73" t="e">
        <f t="shared" si="0"/>
        <v>#DIV/0!</v>
      </c>
      <c r="E32" s="72">
        <f>ROUND(HLOOKUP($E$2,bs!$D$1:$AE$110,ROW(bs!F41),FALSE),0)/IF(LEN($B$1)&gt;4,10000,1)</f>
        <v>0</v>
      </c>
      <c r="F32" s="73" t="e">
        <f t="shared" si="1"/>
        <v>#DIV/0!</v>
      </c>
      <c r="G32" s="74">
        <f>ROUND(HLOOKUP($G$2,bs!$D$1:$AE$110,ROW(bs!H41),FALSE),0)/IF(LEN($B$1)&gt;4,10000,1)</f>
        <v>0</v>
      </c>
      <c r="H32" s="73" t="e">
        <f t="shared" si="2"/>
        <v>#DIV/0!</v>
      </c>
      <c r="I32" s="74">
        <f>ROUND(HLOOKUP($I$2,bs!$D$1:$AE$110,ROW(bs!K41),FALSE),0)/IF(LEN($B$1)&gt;4,10000,1)</f>
        <v>0</v>
      </c>
      <c r="J32" s="73" t="e">
        <f t="shared" si="3"/>
        <v>#DIV/0!</v>
      </c>
    </row>
    <row r="33" spans="2:10">
      <c r="B33" s="71" t="s">
        <v>32</v>
      </c>
      <c r="C33" s="72">
        <f>ROUND(HLOOKUP($C$2,bs!$D$1:$AE$110,ROW(bs!D42),FALSE),0)/IF(LEN($B$1)&gt;4,10000,1)</f>
        <v>0</v>
      </c>
      <c r="D33" s="73" t="e">
        <f t="shared" si="0"/>
        <v>#DIV/0!</v>
      </c>
      <c r="E33" s="72">
        <f>ROUND(HLOOKUP($E$2,bs!$D$1:$AE$110,ROW(bs!F42),FALSE),0)/IF(LEN($B$1)&gt;4,10000,1)</f>
        <v>0</v>
      </c>
      <c r="F33" s="73" t="e">
        <f t="shared" si="1"/>
        <v>#DIV/0!</v>
      </c>
      <c r="G33" s="74">
        <f>ROUND(HLOOKUP($G$2,bs!$D$1:$AE$110,ROW(bs!H42),FALSE),0)/IF(LEN($B$1)&gt;4,10000,1)</f>
        <v>0</v>
      </c>
      <c r="H33" s="73" t="e">
        <f t="shared" si="2"/>
        <v>#DIV/0!</v>
      </c>
      <c r="I33" s="74">
        <f>ROUND(HLOOKUP($I$2,bs!$D$1:$AE$110,ROW(bs!K42),FALSE),0)/IF(LEN($B$1)&gt;4,10000,1)</f>
        <v>0</v>
      </c>
      <c r="J33" s="73" t="e">
        <f t="shared" si="3"/>
        <v>#DIV/0!</v>
      </c>
    </row>
    <row r="34" spans="2:10">
      <c r="B34" s="71" t="s">
        <v>33</v>
      </c>
      <c r="C34" s="72">
        <f>ROUND(HLOOKUP($C$2,bs!$D$1:$AE$110,ROW(bs!D43),FALSE),0)/IF(LEN($B$1)&gt;4,10000,1)</f>
        <v>0</v>
      </c>
      <c r="D34" s="73" t="e">
        <f t="shared" si="0"/>
        <v>#DIV/0!</v>
      </c>
      <c r="E34" s="72">
        <f>ROUND(HLOOKUP($E$2,bs!$D$1:$AE$110,ROW(bs!F43),FALSE),0)/IF(LEN($B$1)&gt;4,10000,1)</f>
        <v>0</v>
      </c>
      <c r="F34" s="73" t="e">
        <f t="shared" si="1"/>
        <v>#DIV/0!</v>
      </c>
      <c r="G34" s="74">
        <f>ROUND(HLOOKUP($G$2,bs!$D$1:$AE$110,ROW(bs!H43),FALSE),0)/IF(LEN($B$1)&gt;4,10000,1)</f>
        <v>0</v>
      </c>
      <c r="H34" s="73" t="e">
        <f t="shared" si="2"/>
        <v>#DIV/0!</v>
      </c>
      <c r="I34" s="74">
        <f>ROUND(HLOOKUP($I$2,bs!$D$1:$AE$110,ROW(bs!K43),FALSE),0)/IF(LEN($B$1)&gt;4,10000,1)</f>
        <v>0</v>
      </c>
      <c r="J34" s="73" t="e">
        <f t="shared" si="3"/>
        <v>#DIV/0!</v>
      </c>
    </row>
    <row r="35" spans="2:10">
      <c r="B35" s="71" t="s">
        <v>34</v>
      </c>
      <c r="C35" s="72">
        <f>ROUND(HLOOKUP($C$2,bs!$D$1:$AE$110,ROW(bs!D44),FALSE),0)/IF(LEN($B$1)&gt;4,10000,1)</f>
        <v>0</v>
      </c>
      <c r="D35" s="73" t="e">
        <f t="shared" si="0"/>
        <v>#DIV/0!</v>
      </c>
      <c r="E35" s="72">
        <f>ROUND(HLOOKUP($E$2,bs!$D$1:$AE$110,ROW(bs!F44),FALSE),0)/IF(LEN($B$1)&gt;4,10000,1)</f>
        <v>0</v>
      </c>
      <c r="F35" s="73" t="e">
        <f t="shared" si="1"/>
        <v>#DIV/0!</v>
      </c>
      <c r="G35" s="74">
        <f>ROUND(HLOOKUP($G$2,bs!$D$1:$AE$110,ROW(bs!H44),FALSE),0)/IF(LEN($B$1)&gt;4,10000,1)</f>
        <v>0</v>
      </c>
      <c r="H35" s="73" t="e">
        <f t="shared" si="2"/>
        <v>#DIV/0!</v>
      </c>
      <c r="I35" s="74">
        <f>ROUND(HLOOKUP($I$2,bs!$D$1:$AE$110,ROW(bs!K44),FALSE),0)/IF(LEN($B$1)&gt;4,10000,1)</f>
        <v>0</v>
      </c>
      <c r="J35" s="73" t="e">
        <f t="shared" si="3"/>
        <v>#DIV/0!</v>
      </c>
    </row>
    <row r="36" spans="2:10">
      <c r="B36" s="75" t="s">
        <v>35</v>
      </c>
      <c r="C36" s="76">
        <f>ROUND(HLOOKUP($C$2,bs!$D$1:$AE$110,ROW(bs!D52),FALSE),0)/IF(LEN($B$1)&gt;4,10000,1)</f>
        <v>0</v>
      </c>
      <c r="D36" s="77" t="e">
        <f t="shared" si="0"/>
        <v>#DIV/0!</v>
      </c>
      <c r="E36" s="76">
        <f>ROUND(HLOOKUP($E$2,bs!$D$1:$AE$110,ROW(bs!F52),FALSE),0)/IF(LEN($B$1)&gt;4,10000,1)</f>
        <v>0</v>
      </c>
      <c r="F36" s="77" t="e">
        <f t="shared" si="1"/>
        <v>#DIV/0!</v>
      </c>
      <c r="G36" s="78">
        <f>ROUND(HLOOKUP($G$2,bs!$D$1:$AE$110,ROW(bs!H52),FALSE),0)/IF(LEN($B$1)&gt;4,10000,1)</f>
        <v>0</v>
      </c>
      <c r="H36" s="77" t="e">
        <f t="shared" si="2"/>
        <v>#DIV/0!</v>
      </c>
      <c r="I36" s="78">
        <f>ROUND(HLOOKUP($I$2,bs!$D$1:$AE$110,ROW(bs!K52),FALSE),0)/IF(LEN($B$1)&gt;4,10000,1)</f>
        <v>0</v>
      </c>
      <c r="J36" s="77" t="e">
        <f t="shared" si="3"/>
        <v>#DIV/0!</v>
      </c>
    </row>
    <row r="37" spans="2:10">
      <c r="B37" s="75" t="s">
        <v>36</v>
      </c>
      <c r="C37" s="76">
        <f>ROUND(HLOOKUP($C$2,bs!$D$1:$AE$110,ROW(bs!D53),FALSE),0)/IF(LEN($B$1)&gt;4,10000,1)</f>
        <v>0</v>
      </c>
      <c r="D37" s="77" t="e">
        <f t="shared" si="0"/>
        <v>#DIV/0!</v>
      </c>
      <c r="E37" s="76">
        <f>ROUND(HLOOKUP($E$2,bs!$D$1:$AE$110,ROW(bs!F53),FALSE),0)/IF(LEN($B$1)&gt;4,10000,1)</f>
        <v>0</v>
      </c>
      <c r="F37" s="77" t="e">
        <f t="shared" si="1"/>
        <v>#DIV/0!</v>
      </c>
      <c r="G37" s="78">
        <f>ROUND(HLOOKUP($G$2,bs!$D$1:$AE$110,ROW(bs!H53),FALSE),0)/IF(LEN($B$1)&gt;4,10000,1)</f>
        <v>0</v>
      </c>
      <c r="H37" s="77" t="e">
        <f t="shared" si="2"/>
        <v>#DIV/0!</v>
      </c>
      <c r="I37" s="78">
        <f>ROUND(HLOOKUP($I$2,bs!$D$1:$AE$110,ROW(bs!K53),FALSE),0)/IF(LEN($B$1)&gt;4,10000,1)</f>
        <v>0</v>
      </c>
      <c r="J37" s="77" t="e">
        <f t="shared" si="3"/>
        <v>#DIV/0!</v>
      </c>
    </row>
    <row r="38" spans="2:10">
      <c r="B38" s="79"/>
      <c r="C38" s="80"/>
      <c r="D38" s="81"/>
      <c r="E38" s="80"/>
      <c r="F38" s="81"/>
      <c r="G38" s="82"/>
      <c r="H38" s="81"/>
      <c r="I38" s="82" t="s">
        <v>103</v>
      </c>
      <c r="J38" s="81"/>
    </row>
    <row r="39" spans="2:10">
      <c r="B39" s="148" t="s">
        <v>137</v>
      </c>
      <c r="C39" s="149">
        <f>C2</f>
        <v>44957</v>
      </c>
      <c r="D39" s="150"/>
      <c r="E39" s="149">
        <f>E2</f>
        <v>44926</v>
      </c>
      <c r="F39" s="150"/>
      <c r="G39" s="149">
        <f>G2</f>
        <v>44561</v>
      </c>
      <c r="H39" s="150"/>
      <c r="I39" s="149">
        <f>I2</f>
        <v>44196</v>
      </c>
      <c r="J39" s="150"/>
    </row>
    <row r="40" spans="2:10">
      <c r="B40" s="148"/>
      <c r="C40" s="70" t="s">
        <v>160</v>
      </c>
      <c r="D40" s="70" t="s">
        <v>161</v>
      </c>
      <c r="E40" s="70" t="s">
        <v>160</v>
      </c>
      <c r="F40" s="70" t="s">
        <v>161</v>
      </c>
      <c r="G40" s="70" t="s">
        <v>160</v>
      </c>
      <c r="H40" s="70" t="s">
        <v>161</v>
      </c>
      <c r="I40" s="70" t="s">
        <v>160</v>
      </c>
      <c r="J40" s="70" t="s">
        <v>161</v>
      </c>
    </row>
    <row r="41" spans="2:10">
      <c r="B41" s="71" t="s">
        <v>37</v>
      </c>
      <c r="C41" s="72">
        <f>ROUND(HLOOKUP($C$2,bs!$D$1:$AE$110,ROW(bs!D54),FALSE),0)/IF(LEN($B$1)&gt;4,10000,1)</f>
        <v>0</v>
      </c>
      <c r="D41" s="73" t="e">
        <f>C41/$C$62</f>
        <v>#DIV/0!</v>
      </c>
      <c r="E41" s="72">
        <f>ROUND(HLOOKUP($E$2,bs!$D$1:$AE$110,ROW(bs!D54),FALSE),0)/IF(LEN($B$1)&gt;4,10000,1)</f>
        <v>0</v>
      </c>
      <c r="F41" s="73" t="e">
        <f>E41/$E$62</f>
        <v>#DIV/0!</v>
      </c>
      <c r="G41" s="74">
        <f>ROUND(HLOOKUP($G$2,bs!$D$1:$AE$110,ROW(bs!H54),FALSE),0)/IF(LEN($B$1)&gt;4,10000,1)</f>
        <v>0</v>
      </c>
      <c r="H41" s="73" t="e">
        <f>G41/$G$62</f>
        <v>#DIV/0!</v>
      </c>
      <c r="I41" s="74">
        <f>ROUND(HLOOKUP($I$2,bs!$D$1:$AE$110,ROW(bs!K54),FALSE),0)/IF(LEN($B$1)&gt;4,10000,1)</f>
        <v>0</v>
      </c>
      <c r="J41" s="73" t="e">
        <f>I41/$I$62</f>
        <v>#DIV/0!</v>
      </c>
    </row>
    <row r="42" spans="2:10">
      <c r="B42" s="71" t="s">
        <v>38</v>
      </c>
      <c r="C42" s="72">
        <f>ROUND(HLOOKUP($C$2,bs!$D$1:$AE$110,ROW(bs!D55),FALSE),0)/IF(LEN($B$1)&gt;4,10000,1)</f>
        <v>0</v>
      </c>
      <c r="D42" s="73" t="e">
        <f t="shared" ref="D42:D62" si="4">C42/$C$62</f>
        <v>#DIV/0!</v>
      </c>
      <c r="E42" s="72">
        <f>ROUND(HLOOKUP($E$2,bs!$D$1:$AE$110,ROW(bs!D55),FALSE),0)/IF(LEN($B$1)&gt;4,10000,1)</f>
        <v>0</v>
      </c>
      <c r="F42" s="73" t="e">
        <f t="shared" ref="F42:F62" si="5">E42/$E$62</f>
        <v>#DIV/0!</v>
      </c>
      <c r="G42" s="74">
        <f>ROUND(HLOOKUP($G$2,bs!$D$1:$AE$110,ROW(bs!H55),FALSE),0)/IF(LEN($B$1)&gt;4,10000,1)</f>
        <v>0</v>
      </c>
      <c r="H42" s="73" t="e">
        <f t="shared" ref="H42:H62" si="6">G42/$G$62</f>
        <v>#DIV/0!</v>
      </c>
      <c r="I42" s="74">
        <f>ROUND(HLOOKUP($I$2,bs!$D$1:$AE$110,ROW(bs!K55),FALSE),0)/IF(LEN($B$1)&gt;4,10000,1)</f>
        <v>0</v>
      </c>
      <c r="J42" s="73" t="e">
        <f t="shared" ref="J42:J62" si="7">I42/$I$62</f>
        <v>#DIV/0!</v>
      </c>
    </row>
    <row r="43" spans="2:10">
      <c r="B43" s="71" t="s">
        <v>39</v>
      </c>
      <c r="C43" s="72">
        <f>ROUND(HLOOKUP($C$2,bs!$D$1:$AE$110,ROW(bs!D56),FALSE),0)/IF(LEN($B$1)&gt;4,10000,1)</f>
        <v>0</v>
      </c>
      <c r="D43" s="73" t="e">
        <f t="shared" si="4"/>
        <v>#DIV/0!</v>
      </c>
      <c r="E43" s="72">
        <f>ROUND(HLOOKUP($E$2,bs!$D$1:$AE$110,ROW(bs!D56),FALSE),0)/IF(LEN($B$1)&gt;4,10000,1)</f>
        <v>0</v>
      </c>
      <c r="F43" s="73" t="e">
        <f t="shared" si="5"/>
        <v>#DIV/0!</v>
      </c>
      <c r="G43" s="74">
        <f>ROUND(HLOOKUP($G$2,bs!$D$1:$AE$110,ROW(bs!H56),FALSE),0)/IF(LEN($B$1)&gt;4,10000,1)</f>
        <v>0</v>
      </c>
      <c r="H43" s="73" t="e">
        <f t="shared" si="6"/>
        <v>#DIV/0!</v>
      </c>
      <c r="I43" s="74">
        <f>ROUND(HLOOKUP($I$2,bs!$D$1:$AE$110,ROW(bs!K56),FALSE),0)/IF(LEN($B$1)&gt;4,10000,1)</f>
        <v>0</v>
      </c>
      <c r="J43" s="73" t="e">
        <f t="shared" si="7"/>
        <v>#DIV/0!</v>
      </c>
    </row>
    <row r="44" spans="2:10">
      <c r="B44" s="71" t="s">
        <v>40</v>
      </c>
      <c r="C44" s="72">
        <f>ROUND(HLOOKUP($C$2,bs!$D$1:$AE$110,ROW(bs!D57),FALSE),0)/IF(LEN($B$1)&gt;4,10000,1)</f>
        <v>0</v>
      </c>
      <c r="D44" s="73" t="e">
        <f t="shared" si="4"/>
        <v>#DIV/0!</v>
      </c>
      <c r="E44" s="72">
        <f>ROUND(HLOOKUP($E$2,bs!$D$1:$AE$110,ROW(bs!D57),FALSE),0)/IF(LEN($B$1)&gt;4,10000,1)</f>
        <v>0</v>
      </c>
      <c r="F44" s="73" t="e">
        <f t="shared" si="5"/>
        <v>#DIV/0!</v>
      </c>
      <c r="G44" s="74">
        <f>ROUND(HLOOKUP($G$2,bs!$D$1:$AE$110,ROW(bs!H57),FALSE),0)/IF(LEN($B$1)&gt;4,10000,1)</f>
        <v>0</v>
      </c>
      <c r="H44" s="73" t="e">
        <f t="shared" si="6"/>
        <v>#DIV/0!</v>
      </c>
      <c r="I44" s="74">
        <f>ROUND(HLOOKUP($I$2,bs!$D$1:$AE$110,ROW(bs!K57),FALSE),0)/IF(LEN($B$1)&gt;4,10000,1)</f>
        <v>0</v>
      </c>
      <c r="J44" s="73" t="e">
        <f t="shared" si="7"/>
        <v>#DIV/0!</v>
      </c>
    </row>
    <row r="45" spans="2:10">
      <c r="B45" s="71" t="s">
        <v>41</v>
      </c>
      <c r="C45" s="72">
        <f>ROUND(HLOOKUP($C$2,bs!$D$1:$AE$110,ROW(bs!D58),FALSE),0)/IF(LEN($B$1)&gt;4,10000,1)</f>
        <v>0</v>
      </c>
      <c r="D45" s="73" t="e">
        <f t="shared" si="4"/>
        <v>#DIV/0!</v>
      </c>
      <c r="E45" s="72">
        <f>ROUND(HLOOKUP($E$2,bs!$D$1:$AE$110,ROW(bs!D58),FALSE),0)/IF(LEN($B$1)&gt;4,10000,1)</f>
        <v>0</v>
      </c>
      <c r="F45" s="73" t="e">
        <f t="shared" si="5"/>
        <v>#DIV/0!</v>
      </c>
      <c r="G45" s="74">
        <f>ROUND(HLOOKUP($G$2,bs!$D$1:$AE$110,ROW(bs!H58),FALSE),0)/IF(LEN($B$1)&gt;4,10000,1)</f>
        <v>0</v>
      </c>
      <c r="H45" s="73" t="e">
        <f t="shared" si="6"/>
        <v>#DIV/0!</v>
      </c>
      <c r="I45" s="74">
        <f>ROUND(HLOOKUP($I$2,bs!$D$1:$AE$110,ROW(bs!K58),FALSE),0)/IF(LEN($B$1)&gt;4,10000,1)</f>
        <v>0</v>
      </c>
      <c r="J45" s="73" t="e">
        <f t="shared" si="7"/>
        <v>#DIV/0!</v>
      </c>
    </row>
    <row r="46" spans="2:10">
      <c r="B46" s="71" t="s">
        <v>42</v>
      </c>
      <c r="C46" s="72">
        <f>ROUND(HLOOKUP($C$2,bs!$D$1:$AE$110,ROW(bs!D59),FALSE),0)/IF(LEN($B$1)&gt;4,10000,1)</f>
        <v>0</v>
      </c>
      <c r="D46" s="73" t="e">
        <f t="shared" si="4"/>
        <v>#DIV/0!</v>
      </c>
      <c r="E46" s="72">
        <f>ROUND(HLOOKUP($E$2,bs!$D$1:$AE$110,ROW(bs!D59),FALSE),0)/IF(LEN($B$1)&gt;4,10000,1)</f>
        <v>0</v>
      </c>
      <c r="F46" s="73" t="e">
        <f t="shared" si="5"/>
        <v>#DIV/0!</v>
      </c>
      <c r="G46" s="74">
        <f>ROUND(HLOOKUP($G$2,bs!$D$1:$AE$110,ROW(bs!H59),FALSE),0)/IF(LEN($B$1)&gt;4,10000,1)</f>
        <v>0</v>
      </c>
      <c r="H46" s="73" t="e">
        <f t="shared" si="6"/>
        <v>#DIV/0!</v>
      </c>
      <c r="I46" s="74">
        <f>ROUND(HLOOKUP($I$2,bs!$D$1:$AE$110,ROW(bs!K59),FALSE),0)/IF(LEN($B$1)&gt;4,10000,1)</f>
        <v>0</v>
      </c>
      <c r="J46" s="73" t="e">
        <f t="shared" si="7"/>
        <v>#DIV/0!</v>
      </c>
    </row>
    <row r="47" spans="2:10">
      <c r="B47" s="71" t="s">
        <v>43</v>
      </c>
      <c r="C47" s="72">
        <f>ROUND(HLOOKUP($C$2,bs!$D$1:$AE$110,ROW(bs!D60),FALSE),0)/IF(LEN($B$1)&gt;4,10000,1)</f>
        <v>0</v>
      </c>
      <c r="D47" s="73" t="e">
        <f t="shared" si="4"/>
        <v>#DIV/0!</v>
      </c>
      <c r="E47" s="72">
        <f>ROUND(HLOOKUP($E$2,bs!$D$1:$AE$110,ROW(bs!D60),FALSE),0)/IF(LEN($B$1)&gt;4,10000,1)</f>
        <v>0</v>
      </c>
      <c r="F47" s="73" t="e">
        <f t="shared" si="5"/>
        <v>#DIV/0!</v>
      </c>
      <c r="G47" s="74">
        <f>ROUND(HLOOKUP($G$2,bs!$D$1:$AE$110,ROW(bs!H60),FALSE),0)/IF(LEN($B$1)&gt;4,10000,1)</f>
        <v>0</v>
      </c>
      <c r="H47" s="73" t="e">
        <f t="shared" si="6"/>
        <v>#DIV/0!</v>
      </c>
      <c r="I47" s="74">
        <f>ROUND(HLOOKUP($I$2,bs!$D$1:$AE$110,ROW(bs!K60),FALSE),0)/IF(LEN($B$1)&gt;4,10000,1)</f>
        <v>0</v>
      </c>
      <c r="J47" s="73" t="e">
        <f t="shared" si="7"/>
        <v>#DIV/0!</v>
      </c>
    </row>
    <row r="48" spans="2:10">
      <c r="B48" s="71" t="s">
        <v>44</v>
      </c>
      <c r="C48" s="72">
        <f>ROUND(HLOOKUP($C$2,bs!$D$1:$AE$110,ROW(bs!D61),FALSE),0)/IF(LEN($B$1)&gt;4,10000,1)</f>
        <v>0</v>
      </c>
      <c r="D48" s="73" t="e">
        <f t="shared" si="4"/>
        <v>#DIV/0!</v>
      </c>
      <c r="E48" s="72">
        <f>ROUND(HLOOKUP($E$2,bs!$D$1:$AE$110,ROW(bs!D61),FALSE),0)/IF(LEN($B$1)&gt;4,10000,1)</f>
        <v>0</v>
      </c>
      <c r="F48" s="73" t="e">
        <f t="shared" si="5"/>
        <v>#DIV/0!</v>
      </c>
      <c r="G48" s="74">
        <f>ROUND(HLOOKUP($G$2,bs!$D$1:$AE$110,ROW(bs!H61),FALSE),0)/IF(LEN($B$1)&gt;4,10000,1)</f>
        <v>0</v>
      </c>
      <c r="H48" s="73" t="e">
        <f t="shared" si="6"/>
        <v>#DIV/0!</v>
      </c>
      <c r="I48" s="74">
        <f>ROUND(HLOOKUP($I$2,bs!$D$1:$AE$110,ROW(bs!K61),FALSE),0)/IF(LEN($B$1)&gt;4,10000,1)</f>
        <v>0</v>
      </c>
      <c r="J48" s="73" t="e">
        <f t="shared" si="7"/>
        <v>#DIV/0!</v>
      </c>
    </row>
    <row r="49" spans="2:10">
      <c r="B49" s="71" t="s">
        <v>45</v>
      </c>
      <c r="C49" s="72">
        <f>ROUND(HLOOKUP($C$2,bs!$D$1:$AE$110,ROW(bs!D62),FALSE),0)/IF(LEN($B$1)&gt;4,10000,1)</f>
        <v>0</v>
      </c>
      <c r="D49" s="73" t="e">
        <f t="shared" si="4"/>
        <v>#DIV/0!</v>
      </c>
      <c r="E49" s="72">
        <f>ROUND(HLOOKUP($E$2,bs!$D$1:$AE$110,ROW(bs!D62),FALSE),0)/IF(LEN($B$1)&gt;4,10000,1)</f>
        <v>0</v>
      </c>
      <c r="F49" s="73" t="e">
        <f t="shared" si="5"/>
        <v>#DIV/0!</v>
      </c>
      <c r="G49" s="74">
        <f>ROUND(HLOOKUP($G$2,bs!$D$1:$AE$110,ROW(bs!H62),FALSE),0)/IF(LEN($B$1)&gt;4,10000,1)</f>
        <v>0</v>
      </c>
      <c r="H49" s="73" t="e">
        <f t="shared" si="6"/>
        <v>#DIV/0!</v>
      </c>
      <c r="I49" s="74">
        <f>ROUND(HLOOKUP($I$2,bs!$D$1:$AE$110,ROW(bs!K62),FALSE),0)/IF(LEN($B$1)&gt;4,10000,1)</f>
        <v>0</v>
      </c>
      <c r="J49" s="73" t="e">
        <f t="shared" si="7"/>
        <v>#DIV/0!</v>
      </c>
    </row>
    <row r="50" spans="2:10">
      <c r="B50" s="71" t="s">
        <v>46</v>
      </c>
      <c r="C50" s="72">
        <f>ROUND(HLOOKUP($C$2,bs!$D$1:$AE$110,ROW(bs!D63),FALSE),0)/IF(LEN($B$1)&gt;4,10000,1)</f>
        <v>0</v>
      </c>
      <c r="D50" s="73" t="e">
        <f t="shared" si="4"/>
        <v>#DIV/0!</v>
      </c>
      <c r="E50" s="72">
        <f>ROUND(HLOOKUP($E$2,bs!$D$1:$AE$110,ROW(bs!D63),FALSE),0)/IF(LEN($B$1)&gt;4,10000,1)</f>
        <v>0</v>
      </c>
      <c r="F50" s="73" t="e">
        <f t="shared" si="5"/>
        <v>#DIV/0!</v>
      </c>
      <c r="G50" s="74">
        <f>ROUND(HLOOKUP($G$2,bs!$D$1:$AE$110,ROW(bs!H63),FALSE),0)/IF(LEN($B$1)&gt;4,10000,1)</f>
        <v>0</v>
      </c>
      <c r="H50" s="73" t="e">
        <f t="shared" si="6"/>
        <v>#DIV/0!</v>
      </c>
      <c r="I50" s="74">
        <f>ROUND(HLOOKUP($I$2,bs!$D$1:$AE$110,ROW(bs!K63),FALSE),0)/IF(LEN($B$1)&gt;4,10000,1)</f>
        <v>0</v>
      </c>
      <c r="J50" s="73" t="e">
        <f t="shared" si="7"/>
        <v>#DIV/0!</v>
      </c>
    </row>
    <row r="51" spans="2:10" ht="22.5">
      <c r="B51" s="71" t="s">
        <v>47</v>
      </c>
      <c r="C51" s="72">
        <f>ROUND(HLOOKUP($C$2,bs!$D$1:$AE$110,ROW(bs!D64),FALSE),0)/IF(LEN($B$1)&gt;4,10000,1)</f>
        <v>0</v>
      </c>
      <c r="D51" s="73" t="e">
        <f t="shared" si="4"/>
        <v>#DIV/0!</v>
      </c>
      <c r="E51" s="72">
        <f>ROUND(HLOOKUP($E$2,bs!$D$1:$AE$110,ROW(bs!D64),FALSE),0)/IF(LEN($B$1)&gt;4,10000,1)</f>
        <v>0</v>
      </c>
      <c r="F51" s="73" t="e">
        <f t="shared" si="5"/>
        <v>#DIV/0!</v>
      </c>
      <c r="G51" s="74">
        <f>ROUND(HLOOKUP($G$2,bs!$D$1:$AE$110,ROW(bs!H64),FALSE),0)/IF(LEN($B$1)&gt;4,10000,1)</f>
        <v>0</v>
      </c>
      <c r="H51" s="73" t="e">
        <f t="shared" si="6"/>
        <v>#DIV/0!</v>
      </c>
      <c r="I51" s="74">
        <f>ROUND(HLOOKUP($I$2,bs!$D$1:$AE$110,ROW(bs!K64),FALSE),0)/IF(LEN($B$1)&gt;4,10000,1)</f>
        <v>0</v>
      </c>
      <c r="J51" s="73" t="e">
        <f t="shared" si="7"/>
        <v>#DIV/0!</v>
      </c>
    </row>
    <row r="52" spans="2:10">
      <c r="B52" s="71" t="s">
        <v>48</v>
      </c>
      <c r="C52" s="72">
        <f>ROUND(HLOOKUP($C$2,bs!$D$1:$AE$110,ROW(bs!D65),FALSE),0)/IF(LEN($B$1)&gt;4,10000,1)</f>
        <v>0</v>
      </c>
      <c r="D52" s="73" t="e">
        <f t="shared" si="4"/>
        <v>#DIV/0!</v>
      </c>
      <c r="E52" s="72">
        <f>ROUND(HLOOKUP($E$2,bs!$D$1:$AE$110,ROW(bs!D65),FALSE),0)/IF(LEN($B$1)&gt;4,10000,1)</f>
        <v>0</v>
      </c>
      <c r="F52" s="73" t="e">
        <f t="shared" si="5"/>
        <v>#DIV/0!</v>
      </c>
      <c r="G52" s="74">
        <f>ROUND(HLOOKUP($G$2,bs!$D$1:$AE$110,ROW(bs!H65),FALSE),0)/IF(LEN($B$1)&gt;4,10000,1)</f>
        <v>0</v>
      </c>
      <c r="H52" s="73" t="e">
        <f t="shared" si="6"/>
        <v>#DIV/0!</v>
      </c>
      <c r="I52" s="74">
        <f>ROUND(HLOOKUP($I$2,bs!$D$1:$AE$110,ROW(bs!K65),FALSE),0)/IF(LEN($B$1)&gt;4,10000,1)</f>
        <v>0</v>
      </c>
      <c r="J52" s="73" t="e">
        <f t="shared" si="7"/>
        <v>#DIV/0!</v>
      </c>
    </row>
    <row r="53" spans="2:10">
      <c r="B53" s="75" t="s">
        <v>49</v>
      </c>
      <c r="C53" s="76">
        <f>ROUND(HLOOKUP($C$2,bs!$D$1:$AE$110,ROW(bs!D78),FALSE),0)/IF(LEN($B$1)&gt;4,10000,1)</f>
        <v>0</v>
      </c>
      <c r="D53" s="77" t="e">
        <f t="shared" si="4"/>
        <v>#DIV/0!</v>
      </c>
      <c r="E53" s="76">
        <f>ROUND(HLOOKUP($E$2,bs!$D$1:$AE$110,ROW(bs!D78),FALSE),0)/IF(LEN($B$1)&gt;4,10000,1)</f>
        <v>0</v>
      </c>
      <c r="F53" s="77" t="e">
        <f t="shared" si="5"/>
        <v>#DIV/0!</v>
      </c>
      <c r="G53" s="74">
        <f>ROUND(HLOOKUP($G$2,bs!$D$1:$AE$110,ROW(bs!H78),FALSE),0)/IF(LEN($B$1)&gt;4,10000,1)</f>
        <v>0</v>
      </c>
      <c r="H53" s="77" t="e">
        <f t="shared" si="6"/>
        <v>#DIV/0!</v>
      </c>
      <c r="I53" s="78">
        <f>ROUND(HLOOKUP($I$2,bs!$D$1:$AE$110,ROW(bs!K78),FALSE),0)/IF(LEN($B$1)&gt;4,10000,1)</f>
        <v>0</v>
      </c>
      <c r="J53" s="77" t="e">
        <f t="shared" si="7"/>
        <v>#DIV/0!</v>
      </c>
    </row>
    <row r="54" spans="2:10">
      <c r="B54" s="71" t="s">
        <v>50</v>
      </c>
      <c r="C54" s="72">
        <f>ROUND(HLOOKUP($C$2,bs!$D$1:$AE$110,ROW(bs!D79),FALSE),0)/IF(LEN($B$1)&gt;4,10000,1)</f>
        <v>0</v>
      </c>
      <c r="D54" s="73" t="e">
        <f t="shared" si="4"/>
        <v>#DIV/0!</v>
      </c>
      <c r="E54" s="72">
        <f>ROUND(HLOOKUP($E$2,bs!$D$1:$AE$110,ROW(bs!D79),FALSE),0)/IF(LEN($B$1)&gt;4,10000,1)</f>
        <v>0</v>
      </c>
      <c r="F54" s="73" t="e">
        <f t="shared" si="5"/>
        <v>#DIV/0!</v>
      </c>
      <c r="G54" s="74">
        <f>ROUND(HLOOKUP($G$2,bs!$D$1:$AE$110,ROW(bs!H79),FALSE),0)/IF(LEN($B$1)&gt;4,10000,1)</f>
        <v>0</v>
      </c>
      <c r="H54" s="73" t="e">
        <f t="shared" si="6"/>
        <v>#DIV/0!</v>
      </c>
      <c r="I54" s="74">
        <f>ROUND(HLOOKUP($I$2,bs!$D$1:$AE$110,ROW(bs!K79),FALSE),0)/IF(LEN($B$1)&gt;4,10000,1)</f>
        <v>0</v>
      </c>
      <c r="J54" s="73" t="e">
        <f t="shared" si="7"/>
        <v>#DIV/0!</v>
      </c>
    </row>
    <row r="55" spans="2:10">
      <c r="B55" s="71" t="s">
        <v>51</v>
      </c>
      <c r="C55" s="72">
        <f>ROUND(HLOOKUP($C$2,bs!$D$1:$AE$110,ROW(bs!D80),FALSE),0)/IF(LEN($B$1)&gt;4,10000,1)</f>
        <v>0</v>
      </c>
      <c r="D55" s="73" t="e">
        <f t="shared" si="4"/>
        <v>#DIV/0!</v>
      </c>
      <c r="E55" s="72">
        <f>ROUND(HLOOKUP($E$2,bs!$D$1:$AE$110,ROW(bs!D80),FALSE),0)/IF(LEN($B$1)&gt;4,10000,1)</f>
        <v>0</v>
      </c>
      <c r="F55" s="73" t="e">
        <f t="shared" si="5"/>
        <v>#DIV/0!</v>
      </c>
      <c r="G55" s="74">
        <f>ROUND(HLOOKUP($G$2,bs!$D$1:$AE$110,ROW(bs!H80),FALSE),0)/IF(LEN($B$1)&gt;4,10000,1)</f>
        <v>0</v>
      </c>
      <c r="H55" s="73" t="e">
        <f t="shared" si="6"/>
        <v>#DIV/0!</v>
      </c>
      <c r="I55" s="74">
        <f>ROUND(HLOOKUP($I$2,bs!$D$1:$AE$110,ROW(bs!K80),FALSE),0)/IF(LEN($B$1)&gt;4,10000,1)</f>
        <v>0</v>
      </c>
      <c r="J55" s="73" t="e">
        <f t="shared" si="7"/>
        <v>#DIV/0!</v>
      </c>
    </row>
    <row r="56" spans="2:10">
      <c r="B56" s="71" t="s">
        <v>52</v>
      </c>
      <c r="C56" s="72">
        <f>ROUND(HLOOKUP($C$2,bs!$D$1:$AE$110,ROW(bs!D81),FALSE),0)/IF(LEN($B$1)&gt;4,10000,1)</f>
        <v>0</v>
      </c>
      <c r="D56" s="73" t="e">
        <f t="shared" si="4"/>
        <v>#DIV/0!</v>
      </c>
      <c r="E56" s="72">
        <f>ROUND(HLOOKUP($E$2,bs!$D$1:$AE$110,ROW(bs!D81),FALSE),0)/IF(LEN($B$1)&gt;4,10000,1)</f>
        <v>0</v>
      </c>
      <c r="F56" s="73" t="e">
        <f t="shared" si="5"/>
        <v>#DIV/0!</v>
      </c>
      <c r="G56" s="74">
        <f>ROUND(HLOOKUP($G$2,bs!$D$1:$AE$110,ROW(bs!H81),FALSE),0)/IF(LEN($B$1)&gt;4,10000,1)</f>
        <v>0</v>
      </c>
      <c r="H56" s="73" t="e">
        <f t="shared" si="6"/>
        <v>#DIV/0!</v>
      </c>
      <c r="I56" s="74">
        <f>ROUND(HLOOKUP($I$2,bs!$D$1:$AE$110,ROW(bs!K81),FALSE),0)/IF(LEN($B$1)&gt;4,10000,1)</f>
        <v>0</v>
      </c>
      <c r="J56" s="73" t="e">
        <f t="shared" si="7"/>
        <v>#DIV/0!</v>
      </c>
    </row>
    <row r="57" spans="2:10">
      <c r="B57" s="71" t="s">
        <v>53</v>
      </c>
      <c r="C57" s="72">
        <f>ROUND(HLOOKUP($C$2,bs!$D$1:$AE$110,ROW(bs!D82),FALSE),0)/IF(LEN($B$1)&gt;4,10000,1)</f>
        <v>0</v>
      </c>
      <c r="D57" s="73" t="e">
        <f t="shared" si="4"/>
        <v>#DIV/0!</v>
      </c>
      <c r="E57" s="72">
        <f>ROUND(HLOOKUP($E$2,bs!$D$1:$AE$110,ROW(bs!D82),FALSE),0)/IF(LEN($B$1)&gt;4,10000,1)</f>
        <v>0</v>
      </c>
      <c r="F57" s="73" t="e">
        <f t="shared" si="5"/>
        <v>#DIV/0!</v>
      </c>
      <c r="G57" s="74">
        <f>ROUND(HLOOKUP($G$2,bs!$D$1:$AE$110,ROW(bs!H82),FALSE),0)/IF(LEN($B$1)&gt;4,10000,1)</f>
        <v>0</v>
      </c>
      <c r="H57" s="73" t="e">
        <f t="shared" si="6"/>
        <v>#DIV/0!</v>
      </c>
      <c r="I57" s="74">
        <f>ROUND(HLOOKUP($I$2,bs!$D$1:$AE$110,ROW(bs!K82),FALSE),0)/IF(LEN($B$1)&gt;4,10000,1)</f>
        <v>0</v>
      </c>
      <c r="J57" s="73" t="e">
        <f t="shared" si="7"/>
        <v>#DIV/0!</v>
      </c>
    </row>
    <row r="58" spans="2:10">
      <c r="B58" s="71" t="s">
        <v>54</v>
      </c>
      <c r="C58" s="72">
        <f>ROUND(HLOOKUP($C$2,bs!$D$1:$AE$110,ROW(bs!D83),FALSE),0)/IF(LEN($B$1)&gt;4,10000,1)</f>
        <v>0</v>
      </c>
      <c r="D58" s="73" t="e">
        <f t="shared" si="4"/>
        <v>#DIV/0!</v>
      </c>
      <c r="E58" s="72">
        <f>ROUND(HLOOKUP($E$2,bs!$D$1:$AE$110,ROW(bs!D83),FALSE),0)/IF(LEN($B$1)&gt;4,10000,1)</f>
        <v>0</v>
      </c>
      <c r="F58" s="73" t="e">
        <f t="shared" si="5"/>
        <v>#DIV/0!</v>
      </c>
      <c r="G58" s="74">
        <f>ROUND(HLOOKUP($G$2,bs!$D$1:$AE$110,ROW(bs!H83),FALSE),0)/IF(LEN($B$1)&gt;4,10000,1)</f>
        <v>0</v>
      </c>
      <c r="H58" s="73" t="e">
        <f t="shared" si="6"/>
        <v>#DIV/0!</v>
      </c>
      <c r="I58" s="74">
        <f>ROUND(HLOOKUP($I$2,bs!$D$1:$AE$110,ROW(bs!K83),FALSE),0)/IF(LEN($B$1)&gt;4,10000,1)</f>
        <v>0</v>
      </c>
      <c r="J58" s="73" t="e">
        <f t="shared" si="7"/>
        <v>#DIV/0!</v>
      </c>
    </row>
    <row r="59" spans="2:10">
      <c r="B59" s="71" t="s">
        <v>55</v>
      </c>
      <c r="C59" s="72">
        <f>ROUND(HLOOKUP($C$2,bs!$D$1:$AE$110,ROW(bs!D84),FALSE),0)/IF(LEN($B$1)&gt;4,10000,1)</f>
        <v>0</v>
      </c>
      <c r="D59" s="73" t="e">
        <f t="shared" si="4"/>
        <v>#DIV/0!</v>
      </c>
      <c r="E59" s="72">
        <f>ROUND(HLOOKUP($E$2,bs!$D$1:$AE$110,ROW(bs!D84),FALSE),0)/IF(LEN($B$1)&gt;4,10000,1)</f>
        <v>0</v>
      </c>
      <c r="F59" s="73" t="e">
        <f t="shared" si="5"/>
        <v>#DIV/0!</v>
      </c>
      <c r="G59" s="74">
        <f>ROUND(HLOOKUP($G$2,bs!$D$1:$AE$110,ROW(bs!H84),FALSE),0)/IF(LEN($B$1)&gt;4,10000,1)</f>
        <v>0</v>
      </c>
      <c r="H59" s="73" t="e">
        <f t="shared" si="6"/>
        <v>#DIV/0!</v>
      </c>
      <c r="I59" s="74">
        <f>ROUND(HLOOKUP($I$2,bs!$D$1:$AE$110,ROW(bs!K84),FALSE),0)/IF(LEN($B$1)&gt;4,10000,1)</f>
        <v>0</v>
      </c>
      <c r="J59" s="73" t="e">
        <f t="shared" si="7"/>
        <v>#DIV/0!</v>
      </c>
    </row>
    <row r="60" spans="2:10">
      <c r="B60" s="71" t="s">
        <v>56</v>
      </c>
      <c r="C60" s="72">
        <f>ROUND(HLOOKUP($C$2,bs!$D$1:$AE$110,ROW(bs!D85),FALSE),0)/IF(LEN($B$1)&gt;4,10000,1)</f>
        <v>0</v>
      </c>
      <c r="D60" s="73" t="e">
        <f t="shared" si="4"/>
        <v>#DIV/0!</v>
      </c>
      <c r="E60" s="72">
        <f>ROUND(HLOOKUP($E$2,bs!$D$1:$AE$110,ROW(bs!D85),FALSE),0)/IF(LEN($B$1)&gt;4,10000,1)</f>
        <v>0</v>
      </c>
      <c r="F60" s="73" t="e">
        <f t="shared" si="5"/>
        <v>#DIV/0!</v>
      </c>
      <c r="G60" s="74">
        <f>ROUND(HLOOKUP($G$2,bs!$D$1:$AE$110,ROW(bs!H84),FALSE),0)/IF(LEN($B$1)&gt;4,10000,1)</f>
        <v>0</v>
      </c>
      <c r="H60" s="73" t="e">
        <f t="shared" si="6"/>
        <v>#DIV/0!</v>
      </c>
      <c r="I60" s="74">
        <f>ROUND(HLOOKUP($I$2,bs!$D$1:$AE$110,ROW(bs!K85),FALSE),0)/IF(LEN($B$1)&gt;4,10000,1)</f>
        <v>0</v>
      </c>
      <c r="J60" s="73" t="e">
        <f t="shared" si="7"/>
        <v>#DIV/0!</v>
      </c>
    </row>
    <row r="61" spans="2:10">
      <c r="B61" s="75" t="s">
        <v>57</v>
      </c>
      <c r="C61" s="76">
        <f>ROUND(HLOOKUP($C$2,bs!$D$1:$AE$110,ROW(bs!D93),FALSE),0)/IF(LEN($B$1)&gt;4,10000,1)</f>
        <v>0</v>
      </c>
      <c r="D61" s="77" t="e">
        <f t="shared" si="4"/>
        <v>#DIV/0!</v>
      </c>
      <c r="E61" s="76">
        <f>ROUND(HLOOKUP($E$2,bs!$D$1:$AE$110,ROW(bs!D93),FALSE),0)/IF(LEN($B$1)&gt;4,10000,1)</f>
        <v>0</v>
      </c>
      <c r="F61" s="77" t="e">
        <f t="shared" si="5"/>
        <v>#DIV/0!</v>
      </c>
      <c r="G61" s="78">
        <f>ROUND(HLOOKUP($G$2,bs!$D$1:$AE$110,ROW(bs!H85),FALSE),0)/IF(LEN($B$1)&gt;4,10000,1)</f>
        <v>0</v>
      </c>
      <c r="H61" s="77" t="e">
        <f t="shared" si="6"/>
        <v>#DIV/0!</v>
      </c>
      <c r="I61" s="78">
        <f>ROUND(HLOOKUP($I$2,bs!$D$1:$AE$110,ROW(bs!K93),FALSE),0)/IF(LEN($B$1)&gt;4,10000,1)</f>
        <v>0</v>
      </c>
      <c r="J61" s="77" t="e">
        <f t="shared" si="7"/>
        <v>#DIV/0!</v>
      </c>
    </row>
    <row r="62" spans="2:10">
      <c r="B62" s="75" t="s">
        <v>58</v>
      </c>
      <c r="C62" s="76">
        <f>ROUND(HLOOKUP($C$2,bs!$D$1:$AE$110,ROW(bs!D94),FALSE),0)/IF(LEN($B$1)&gt;4,10000,1)</f>
        <v>0</v>
      </c>
      <c r="D62" s="77" t="e">
        <f t="shared" si="4"/>
        <v>#DIV/0!</v>
      </c>
      <c r="E62" s="76">
        <f>ROUND(HLOOKUP($E$2,bs!$D$1:$AE$110,ROW(bs!D94),FALSE),0)/IF(LEN($B$1)&gt;4,10000,1)</f>
        <v>0</v>
      </c>
      <c r="F62" s="77" t="e">
        <f t="shared" si="5"/>
        <v>#DIV/0!</v>
      </c>
      <c r="G62" s="78">
        <f>ROUND(HLOOKUP($G$2,bs!$D$1:$AE$110,ROW(bs!H94),FALSE),0)/IF(LEN($B$1)&gt;4,10000,1)</f>
        <v>0</v>
      </c>
      <c r="H62" s="77" t="e">
        <f t="shared" si="6"/>
        <v>#DIV/0!</v>
      </c>
      <c r="I62" s="78">
        <f>ROUND(HLOOKUP($I$2,bs!$D$1:$AE$110,ROW(bs!K94),FALSE),0)/IF(LEN($B$1)&gt;4,10000,1)</f>
        <v>0</v>
      </c>
      <c r="J62" s="77" t="e">
        <f t="shared" si="7"/>
        <v>#DIV/0!</v>
      </c>
    </row>
    <row r="63" spans="2:10">
      <c r="B63" s="79"/>
      <c r="C63" s="80"/>
      <c r="D63" s="81"/>
      <c r="E63" s="80"/>
      <c r="F63" s="81"/>
      <c r="G63" s="82"/>
      <c r="H63" s="81"/>
      <c r="I63" s="82" t="s">
        <v>103</v>
      </c>
      <c r="J63" s="81"/>
    </row>
    <row r="64" spans="2:10">
      <c r="B64" s="148" t="s">
        <v>137</v>
      </c>
      <c r="C64" s="149">
        <f>C2</f>
        <v>44957</v>
      </c>
      <c r="D64" s="150"/>
      <c r="E64" s="149">
        <f>E2</f>
        <v>44926</v>
      </c>
      <c r="F64" s="150"/>
      <c r="G64" s="149">
        <f>G2</f>
        <v>44561</v>
      </c>
      <c r="H64" s="150"/>
      <c r="I64" s="149">
        <f>I2</f>
        <v>44196</v>
      </c>
      <c r="J64" s="150"/>
    </row>
    <row r="65" spans="2:10">
      <c r="B65" s="148"/>
      <c r="C65" s="70" t="s">
        <v>160</v>
      </c>
      <c r="D65" s="70" t="s">
        <v>161</v>
      </c>
      <c r="E65" s="70" t="s">
        <v>160</v>
      </c>
      <c r="F65" s="70" t="s">
        <v>161</v>
      </c>
      <c r="G65" s="70" t="s">
        <v>160</v>
      </c>
      <c r="H65" s="70" t="s">
        <v>161</v>
      </c>
      <c r="I65" s="70" t="s">
        <v>160</v>
      </c>
      <c r="J65" s="70" t="s">
        <v>161</v>
      </c>
    </row>
    <row r="66" spans="2:10">
      <c r="B66" s="71" t="s">
        <v>59</v>
      </c>
      <c r="C66" s="72">
        <f>ROUND(HLOOKUP($C$2,bs!$D$1:$AE$110,ROW(bs!D95),FALSE),0)/IF(LEN($B$1)&gt;4,10000,1)</f>
        <v>0</v>
      </c>
      <c r="D66" s="73" t="e">
        <f>C66/$C$75</f>
        <v>#DIV/0!</v>
      </c>
      <c r="E66" s="72">
        <f>ROUND(HLOOKUP($E$2,bs!$D$1:$AE$110,ROW(bs!D95),FALSE),0)/IF(LEN($B$1)&gt;4,10000,1)</f>
        <v>0</v>
      </c>
      <c r="F66" s="73" t="e">
        <f>E66/$E$75</f>
        <v>#DIV/0!</v>
      </c>
      <c r="G66" s="74">
        <f>ROUND(HLOOKUP($G$2,bs!$D$1:$AE$110,ROW(bs!H95),FALSE),0)/IF(LEN($B$1)&gt;4,10000,1)</f>
        <v>0</v>
      </c>
      <c r="H66" s="73" t="e">
        <f>G66/$G$75</f>
        <v>#DIV/0!</v>
      </c>
      <c r="I66" s="83">
        <f>ROUND(HLOOKUP($I$2,bs!$D$1:$AE$110,ROW(bs!K95),FALSE),0)/IF(LEN($B$1)&gt;4,10000,1)</f>
        <v>0</v>
      </c>
      <c r="J66" s="73" t="e">
        <f>I66/$I$75</f>
        <v>#DIV/0!</v>
      </c>
    </row>
    <row r="67" spans="2:10">
      <c r="B67" s="71" t="s">
        <v>60</v>
      </c>
      <c r="C67" s="72">
        <f>ROUND(HLOOKUP($C$2,bs!$D$1:$AE$110,ROW(bs!D96),FALSE),0)/IF(LEN($B$1)&gt;4,10000,1)</f>
        <v>0</v>
      </c>
      <c r="D67" s="73" t="e">
        <f t="shared" ref="D67:D75" si="8">C67/$C$75</f>
        <v>#DIV/0!</v>
      </c>
      <c r="E67" s="72">
        <f>ROUND(HLOOKUP($E$2,bs!$D$1:$AE$110,ROW(bs!D96),FALSE),0)/IF(LEN($B$1)&gt;4,10000,1)</f>
        <v>0</v>
      </c>
      <c r="F67" s="73" t="e">
        <f t="shared" ref="F67:F75" si="9">E67/$E$75</f>
        <v>#DIV/0!</v>
      </c>
      <c r="G67" s="74">
        <f>ROUND(HLOOKUP($G$2,bs!$D$1:$AE$110,ROW(bs!H96),FALSE),0)/IF(LEN($B$1)&gt;4,10000,1)</f>
        <v>0</v>
      </c>
      <c r="H67" s="73" t="e">
        <f t="shared" ref="H67:H75" si="10">G67/$G$75</f>
        <v>#DIV/0!</v>
      </c>
      <c r="I67" s="74">
        <f>ROUND(HLOOKUP($I$2,bs!$D$1:$AE$110,ROW(bs!K96),FALSE),0)/IF(LEN($B$1)&gt;4,10000,1)</f>
        <v>0</v>
      </c>
      <c r="J67" s="73" t="e">
        <f t="shared" ref="J67:J75" si="11">I67/$I$75</f>
        <v>#DIV/0!</v>
      </c>
    </row>
    <row r="68" spans="2:10">
      <c r="B68" s="71" t="s">
        <v>61</v>
      </c>
      <c r="C68" s="72">
        <f>ROUND(HLOOKUP($C$2,bs!$D$1:$AE$110,ROW(bs!D97),FALSE),0)/IF(LEN($B$1)&gt;4,10000,1)</f>
        <v>0</v>
      </c>
      <c r="D68" s="73" t="e">
        <f t="shared" si="8"/>
        <v>#DIV/0!</v>
      </c>
      <c r="E68" s="72">
        <f>ROUND(HLOOKUP($E$2,bs!$D$1:$AE$110,ROW(bs!D97),FALSE),0)/IF(LEN($B$1)&gt;4,10000,1)</f>
        <v>0</v>
      </c>
      <c r="F68" s="73" t="e">
        <f t="shared" si="9"/>
        <v>#DIV/0!</v>
      </c>
      <c r="G68" s="74">
        <f>ROUND(HLOOKUP($G$2,bs!$D$1:$AE$110,ROW(bs!H97),FALSE),0)/IF(LEN($B$1)&gt;4,10000,1)</f>
        <v>0</v>
      </c>
      <c r="H68" s="73" t="e">
        <f t="shared" si="10"/>
        <v>#DIV/0!</v>
      </c>
      <c r="I68" s="74">
        <f>ROUND(HLOOKUP($I$2,bs!$D$1:$AE$110,ROW(bs!K97),FALSE),0)/IF(LEN($B$1)&gt;4,10000,1)</f>
        <v>0</v>
      </c>
      <c r="J68" s="73" t="e">
        <f t="shared" si="11"/>
        <v>#DIV/0!</v>
      </c>
    </row>
    <row r="69" spans="2:10">
      <c r="B69" s="71" t="s">
        <v>62</v>
      </c>
      <c r="C69" s="72">
        <f>ROUND(HLOOKUP($C$2,bs!$D$1:$AE$110,ROW(bs!D98),FALSE),0)/IF(LEN($B$1)&gt;4,10000,1)</f>
        <v>0</v>
      </c>
      <c r="D69" s="73" t="e">
        <f t="shared" si="8"/>
        <v>#DIV/0!</v>
      </c>
      <c r="E69" s="72">
        <f>ROUND(HLOOKUP($E$2,bs!$D$1:$AE$110,ROW(bs!D98),FALSE),0)/IF(LEN($B$1)&gt;4,10000,1)</f>
        <v>0</v>
      </c>
      <c r="F69" s="73" t="e">
        <f t="shared" si="9"/>
        <v>#DIV/0!</v>
      </c>
      <c r="G69" s="74">
        <f>ROUND(HLOOKUP($G$2,bs!$D$1:$AE$110,ROW(bs!H98),FALSE),0)/IF(LEN($B$1)&gt;4,10000,1)</f>
        <v>0</v>
      </c>
      <c r="H69" s="73" t="e">
        <f t="shared" si="10"/>
        <v>#DIV/0!</v>
      </c>
      <c r="I69" s="74">
        <f>ROUND(HLOOKUP($I$2,bs!$D$1:$AE$110,ROW(bs!K98),FALSE),0)/IF(LEN($B$1)&gt;4,10000,1)</f>
        <v>0</v>
      </c>
      <c r="J69" s="73" t="e">
        <f t="shared" si="11"/>
        <v>#DIV/0!</v>
      </c>
    </row>
    <row r="70" spans="2:10">
      <c r="B70" s="71" t="s">
        <v>63</v>
      </c>
      <c r="C70" s="72">
        <f>ROUND(HLOOKUP($C$2,bs!$D$1:$AE$110,ROW(bs!D99),FALSE),0)/IF(LEN($B$1)&gt;4,10000,1)</f>
        <v>0</v>
      </c>
      <c r="D70" s="73" t="e">
        <f t="shared" si="8"/>
        <v>#DIV/0!</v>
      </c>
      <c r="E70" s="72">
        <f>ROUND(HLOOKUP($E$2,bs!$D$1:$AE$110,ROW(bs!D99),FALSE),0)/IF(LEN($B$1)&gt;4,10000,1)</f>
        <v>0</v>
      </c>
      <c r="F70" s="73" t="e">
        <f t="shared" si="9"/>
        <v>#DIV/0!</v>
      </c>
      <c r="G70" s="74">
        <f>ROUND(HLOOKUP($G$2,bs!$D$1:$AE$110,ROW(bs!H99),FALSE),0)/IF(LEN($B$1)&gt;4,10000,1)</f>
        <v>0</v>
      </c>
      <c r="H70" s="73" t="e">
        <f t="shared" si="10"/>
        <v>#DIV/0!</v>
      </c>
      <c r="I70" s="74">
        <f>ROUND(HLOOKUP($I$2,bs!$D$1:$AE$110,ROW(bs!K99),FALSE),0)/IF(LEN($B$1)&gt;4,10000,1)</f>
        <v>0</v>
      </c>
      <c r="J70" s="73" t="e">
        <f t="shared" si="11"/>
        <v>#DIV/0!</v>
      </c>
    </row>
    <row r="71" spans="2:10">
      <c r="B71" s="71" t="s">
        <v>64</v>
      </c>
      <c r="C71" s="72">
        <f>ROUND(HLOOKUP($C$2,bs!$D$1:$AE$110,ROW(bs!D100),FALSE),0)/IF(LEN($B$1)&gt;4,10000,1)</f>
        <v>0</v>
      </c>
      <c r="D71" s="73" t="e">
        <f t="shared" si="8"/>
        <v>#DIV/0!</v>
      </c>
      <c r="E71" s="72">
        <f>ROUND(HLOOKUP($E$2,bs!$D$1:$AE$110,ROW(bs!D100),FALSE),0)/IF(LEN($B$1)&gt;4,10000,1)</f>
        <v>0</v>
      </c>
      <c r="F71" s="73" t="e">
        <f t="shared" si="9"/>
        <v>#DIV/0!</v>
      </c>
      <c r="G71" s="74">
        <f>ROUND(HLOOKUP($G$2,bs!$D$1:$AE$110,ROW(bs!H100),FALSE),0)/IF(LEN($B$1)&gt;4,10000,1)</f>
        <v>0</v>
      </c>
      <c r="H71" s="73" t="e">
        <f t="shared" si="10"/>
        <v>#DIV/0!</v>
      </c>
      <c r="I71" s="74">
        <f>ROUND(HLOOKUP($I$2,bs!$D$1:$AE$110,ROW(bs!K100),FALSE),0)/IF(LEN($B$1)&gt;4,10000,1)</f>
        <v>0</v>
      </c>
      <c r="J71" s="73" t="e">
        <f t="shared" si="11"/>
        <v>#DIV/0!</v>
      </c>
    </row>
    <row r="72" spans="2:10">
      <c r="B72" s="71" t="s">
        <v>65</v>
      </c>
      <c r="C72" s="72">
        <f>ROUND(HLOOKUP($C$2,bs!$D$1:$AE$110,ROW(bs!D101),FALSE),0)/IF(LEN($B$1)&gt;4,10000,1)</f>
        <v>0</v>
      </c>
      <c r="D72" s="73" t="e">
        <f t="shared" si="8"/>
        <v>#DIV/0!</v>
      </c>
      <c r="E72" s="72">
        <f>ROUND(HLOOKUP($E$2,bs!$D$1:$AE$110,ROW(bs!D101),FALSE),0)/IF(LEN($B$1)&gt;4,10000,1)</f>
        <v>0</v>
      </c>
      <c r="F72" s="73" t="e">
        <f t="shared" si="9"/>
        <v>#DIV/0!</v>
      </c>
      <c r="G72" s="74">
        <f>ROUND(HLOOKUP($G$2,bs!$D$1:$AE$110,ROW(bs!H101),FALSE),0)/IF(LEN($B$1)&gt;4,10000,1)</f>
        <v>0</v>
      </c>
      <c r="H72" s="73" t="e">
        <f t="shared" si="10"/>
        <v>#DIV/0!</v>
      </c>
      <c r="I72" s="74">
        <f>ROUND(HLOOKUP($I$2,bs!$D$1:$AE$110,ROW(bs!K101),FALSE),0)/IF(LEN($B$1)&gt;4,10000,1)</f>
        <v>0</v>
      </c>
      <c r="J72" s="73" t="e">
        <f t="shared" si="11"/>
        <v>#DIV/0!</v>
      </c>
    </row>
    <row r="73" spans="2:10" ht="22.5">
      <c r="B73" s="75" t="s">
        <v>66</v>
      </c>
      <c r="C73" s="76">
        <f>ROUND(HLOOKUP($C$2,bs!$D$1:$AE$110,ROW(bs!D107),FALSE),0)/IF(LEN($B$1)&gt;4,10000,1)</f>
        <v>0</v>
      </c>
      <c r="D73" s="77" t="e">
        <f t="shared" si="8"/>
        <v>#DIV/0!</v>
      </c>
      <c r="E73" s="76">
        <f>ROUND(HLOOKUP($E$2,bs!$D$1:$AE$110,ROW(bs!D107),FALSE),0)/IF(LEN($B$1)&gt;4,10000,1)</f>
        <v>0</v>
      </c>
      <c r="F73" s="77" t="e">
        <f t="shared" si="9"/>
        <v>#DIV/0!</v>
      </c>
      <c r="G73" s="78">
        <f>ROUND(HLOOKUP($G$2,bs!$D$1:$AE$110,ROW(bs!H107),FALSE),0)/IF(LEN($B$1)&gt;4,10000,1)</f>
        <v>0</v>
      </c>
      <c r="H73" s="77" t="e">
        <f t="shared" si="10"/>
        <v>#DIV/0!</v>
      </c>
      <c r="I73" s="78">
        <f>ROUND(HLOOKUP($I$2,bs!$D$1:$AE$110,ROW(bs!K107),FALSE),0)/IF(LEN($B$1)&gt;4,10000,1)</f>
        <v>0</v>
      </c>
      <c r="J73" s="77" t="e">
        <f t="shared" si="11"/>
        <v>#DIV/0!</v>
      </c>
    </row>
    <row r="74" spans="2:10">
      <c r="B74" s="71" t="s">
        <v>67</v>
      </c>
      <c r="C74" s="72">
        <f>ROUND(HLOOKUP($C$2,bs!$D$1:$AE$110,ROW(bs!D108),FALSE),0)/IF(LEN($B$1)&gt;4,10000,1)</f>
        <v>0</v>
      </c>
      <c r="D74" s="73" t="e">
        <f t="shared" si="8"/>
        <v>#DIV/0!</v>
      </c>
      <c r="E74" s="72">
        <f>ROUND(HLOOKUP($E$2,bs!$D$1:$AE$110,ROW(bs!D108),FALSE),0)/IF(LEN($B$1)&gt;4,10000,1)</f>
        <v>0</v>
      </c>
      <c r="F74" s="73" t="e">
        <f t="shared" si="9"/>
        <v>#DIV/0!</v>
      </c>
      <c r="G74" s="74">
        <f>ROUND(HLOOKUP($G$2,bs!$D$1:$AE$110,ROW(bs!H108),FALSE),0)/IF(LEN($B$1)&gt;4,10000,1)</f>
        <v>0</v>
      </c>
      <c r="H74" s="73" t="e">
        <f t="shared" si="10"/>
        <v>#DIV/0!</v>
      </c>
      <c r="I74" s="74">
        <f>ROUND(HLOOKUP($I$2,bs!$D$1:$AE$110,ROW(bs!K108),FALSE),0)/IF(LEN($B$1)&gt;4,10000,1)</f>
        <v>0</v>
      </c>
      <c r="J74" s="73" t="e">
        <f t="shared" si="11"/>
        <v>#DIV/0!</v>
      </c>
    </row>
    <row r="75" spans="2:10">
      <c r="B75" s="75" t="s">
        <v>68</v>
      </c>
      <c r="C75" s="76">
        <f>ROUND(HLOOKUP($C$2,bs!$D$1:$AE$110,ROW(bs!D109),FALSE),0)/IF(LEN($B$1)&gt;4,10000,1)</f>
        <v>0</v>
      </c>
      <c r="D75" s="77" t="e">
        <f t="shared" si="8"/>
        <v>#DIV/0!</v>
      </c>
      <c r="E75" s="76">
        <f>ROUND(HLOOKUP($E$2,bs!$D$1:$AE$110,ROW(bs!D109),FALSE),0)/IF(LEN($B$1)&gt;4,10000,1)</f>
        <v>0</v>
      </c>
      <c r="F75" s="77" t="e">
        <f t="shared" si="9"/>
        <v>#DIV/0!</v>
      </c>
      <c r="G75" s="78">
        <f>ROUND(HLOOKUP($G$2,bs!$D$1:$AE$110,ROW(bs!H109),FALSE),0)/IF(LEN($B$1)&gt;4,10000,1)</f>
        <v>0</v>
      </c>
      <c r="H75" s="77" t="e">
        <f t="shared" si="10"/>
        <v>#DIV/0!</v>
      </c>
      <c r="I75" s="78">
        <f>ROUND(HLOOKUP($I$2,bs!$D$1:$AE$110,ROW(bs!K109),FALSE),0)/IF(LEN($B$1)&gt;4,10000,1)</f>
        <v>0</v>
      </c>
      <c r="J75" s="77" t="e">
        <f t="shared" si="11"/>
        <v>#DIV/0!</v>
      </c>
    </row>
  </sheetData>
  <customSheetViews>
    <customSheetView guid="{EFE5EB9F-962C-4232-9E60-22B2AE19D01B}" topLeftCell="B1">
      <selection activeCell="I27" sqref="I27"/>
      <pageMargins left="0.7" right="0.7" top="0.75" bottom="0.75" header="0.3" footer="0.3"/>
      <pageSetup paperSize="9" orientation="portrait"/>
    </customSheetView>
  </customSheetViews>
  <mergeCells count="16">
    <mergeCell ref="B1:J1"/>
    <mergeCell ref="C2:D2"/>
    <mergeCell ref="E2:F2"/>
    <mergeCell ref="G2:H2"/>
    <mergeCell ref="I2:J2"/>
    <mergeCell ref="B2:B3"/>
    <mergeCell ref="I39:J39"/>
    <mergeCell ref="C64:D64"/>
    <mergeCell ref="E64:F64"/>
    <mergeCell ref="G64:H64"/>
    <mergeCell ref="I64:J64"/>
    <mergeCell ref="B39:B40"/>
    <mergeCell ref="B64:B65"/>
    <mergeCell ref="C39:D39"/>
    <mergeCell ref="E39:F39"/>
    <mergeCell ref="G39:H39"/>
  </mergeCells>
  <phoneticPr fontId="37" type="noConversion"/>
  <dataValidations count="1">
    <dataValidation type="list" allowBlank="1" showInputMessage="1" showErrorMessage="1" sqref="B1" xr:uid="{00000000-0002-0000-0500-000000000000}">
      <formula1>"单位：元,单位：万元"</formula1>
    </dataValidation>
  </dataValidations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11"/>
  <sheetViews>
    <sheetView topLeftCell="F1" workbookViewId="0">
      <selection activeCell="H7" sqref="H7"/>
    </sheetView>
  </sheetViews>
  <sheetFormatPr defaultColWidth="9" defaultRowHeight="12.75"/>
  <cols>
    <col min="1" max="1" width="36.28515625" customWidth="1"/>
    <col min="2" max="2" width="19.5703125" customWidth="1"/>
    <col min="3" max="3" width="17.28515625" customWidth="1"/>
    <col min="4" max="4" width="17.7109375" customWidth="1"/>
    <col min="5" max="5" width="17.28515625" customWidth="1"/>
    <col min="6" max="6" width="14.28515625" customWidth="1"/>
    <col min="7" max="7" width="26.7109375" customWidth="1"/>
    <col min="8" max="8" width="13.28515625" customWidth="1"/>
    <col min="9" max="9" width="13.5703125" customWidth="1"/>
    <col min="10" max="10" width="14.28515625" customWidth="1"/>
    <col min="11" max="11" width="13.5703125" customWidth="1"/>
  </cols>
  <sheetData>
    <row r="1" spans="1:13" ht="14.25">
      <c r="A1" s="54" t="s">
        <v>137</v>
      </c>
      <c r="B1" s="55">
        <f>'财务分析（2022）'!B3</f>
        <v>44957</v>
      </c>
      <c r="C1" s="55">
        <f>'财务分析（2022）'!C3</f>
        <v>44926</v>
      </c>
      <c r="D1" s="55">
        <f>'财务分析（2022）'!D3</f>
        <v>44561</v>
      </c>
      <c r="E1" s="56">
        <f>'财务分析（2022）'!E3</f>
        <v>44196</v>
      </c>
      <c r="F1" t="s">
        <v>103</v>
      </c>
      <c r="G1" s="57" t="str">
        <f>A1</f>
        <v>项目</v>
      </c>
      <c r="H1" s="58">
        <f>B1</f>
        <v>44957</v>
      </c>
      <c r="I1" s="58">
        <f>C1</f>
        <v>44926</v>
      </c>
      <c r="J1" s="58">
        <f>D1</f>
        <v>44561</v>
      </c>
      <c r="K1" s="67">
        <f>E1</f>
        <v>44196</v>
      </c>
    </row>
    <row r="2" spans="1:13" ht="15.75">
      <c r="A2" s="54" t="s">
        <v>162</v>
      </c>
      <c r="B2" s="59">
        <f>B3-B4</f>
        <v>0</v>
      </c>
      <c r="C2" s="59">
        <f>C3-C4</f>
        <v>0</v>
      </c>
      <c r="D2" s="59">
        <f>D3-D4</f>
        <v>0</v>
      </c>
      <c r="E2" s="59">
        <f>E3-E4</f>
        <v>0</v>
      </c>
      <c r="G2" s="60" t="str">
        <f t="shared" ref="G2:G11" si="0">A2</f>
        <v>经营活动现金流量净额</v>
      </c>
      <c r="H2" s="61">
        <f t="shared" ref="H2:H11" si="1">ROUND(B2,0)/IF(LEN($F$1)&gt;4,10000,1)</f>
        <v>0</v>
      </c>
      <c r="I2" s="61">
        <f t="shared" ref="I2:I11" si="2">ROUND(C2,0)/IF(LEN($F$1)&gt;4,10000,1)</f>
        <v>0</v>
      </c>
      <c r="J2" s="61">
        <f t="shared" ref="J2:J11" si="3">ROUND(D2,0)/IF(LEN($F$1)&gt;4,10000,1)</f>
        <v>0</v>
      </c>
      <c r="K2" s="61">
        <f t="shared" ref="K2:K11" si="4">ROUND(E2,0)/IF(LEN($F$1)&gt;4,10000,1)</f>
        <v>0</v>
      </c>
      <c r="M2" t="str">
        <f>CONCATENATE("近三年及一期，拟承租人",G2,"分别为",ROUND(K2/10000,2),"亿元、",ROUND(J2/10000,2),"亿元、",ROUND(I2/10000,2),"亿元和",ROUND(H2/10000,2),"亿元。")</f>
        <v>近三年及一期，拟承租人经营活动现金流量净额分别为0亿元、0亿元、0亿元和0亿元。</v>
      </c>
    </row>
    <row r="3" spans="1:13" ht="15.75">
      <c r="A3" s="62" t="s">
        <v>163</v>
      </c>
      <c r="B3" s="63">
        <f>HLOOKUP(B1,cf!$C$1:$CL$39,ROW(cf!C6))</f>
        <v>0</v>
      </c>
      <c r="C3" s="63">
        <f>HLOOKUP(C1,cf!$C$1:$CL$39,ROW(cf!D6))</f>
        <v>0</v>
      </c>
      <c r="D3" s="63">
        <f>HLOOKUP(D1,cf!$C$1:$CL$39,ROW(cf!E6))</f>
        <v>0</v>
      </c>
      <c r="E3" s="63">
        <f>HLOOKUP(E1,cf!$C$1:$CL$39,ROW(cf!F6))</f>
        <v>0</v>
      </c>
      <c r="G3" s="64" t="str">
        <f t="shared" si="0"/>
        <v>经营活动现金流入</v>
      </c>
      <c r="H3" s="65">
        <f t="shared" si="1"/>
        <v>0</v>
      </c>
      <c r="I3" s="65">
        <f t="shared" si="2"/>
        <v>0</v>
      </c>
      <c r="J3" s="65">
        <f t="shared" si="3"/>
        <v>0</v>
      </c>
      <c r="K3" s="65">
        <f t="shared" si="4"/>
        <v>0</v>
      </c>
      <c r="M3" t="str">
        <f>CONCATENATE("近三年及一期，拟承租人",G3,"分别为",ROUND(K3/10000,2),"亿元、",ROUND(J3/10000,2),"亿元、",ROUND(I3/10000,2),"亿元和",ROUND(H3/10000,2),"亿元。")</f>
        <v>近三年及一期，拟承租人经营活动现金流入分别为0亿元、0亿元、0亿元和0亿元。</v>
      </c>
    </row>
    <row r="4" spans="1:13" ht="15.75">
      <c r="A4" s="62" t="s">
        <v>164</v>
      </c>
      <c r="B4" s="63">
        <f>HLOOKUP(B1,cf!$C$1:$CL$39,ROW(cf!C11))</f>
        <v>0</v>
      </c>
      <c r="C4" s="63">
        <f>HLOOKUP(C1,cf!$C$1:$CL$39,ROW(cf!D11))</f>
        <v>0</v>
      </c>
      <c r="D4" s="63">
        <f>HLOOKUP(D1,cf!$C$1:$CL$39,ROW(cf!E11))</f>
        <v>0</v>
      </c>
      <c r="E4" s="63">
        <f>HLOOKUP(E1,cf!$C$1:$CL$39,ROW(cf!F11))</f>
        <v>0</v>
      </c>
      <c r="G4" s="64" t="str">
        <f t="shared" si="0"/>
        <v>经营活动现金流出</v>
      </c>
      <c r="H4" s="65">
        <f t="shared" si="1"/>
        <v>0</v>
      </c>
      <c r="I4" s="65">
        <f t="shared" si="2"/>
        <v>0</v>
      </c>
      <c r="J4" s="65">
        <f t="shared" si="3"/>
        <v>0</v>
      </c>
      <c r="K4" s="65">
        <f t="shared" si="4"/>
        <v>0</v>
      </c>
      <c r="M4" t="str">
        <f t="shared" ref="M4:M11" si="5">CONCATENATE("近三年及一期，拟承租人",G4,"分别为",ROUND(K4/10000,2),"亿元、",ROUND(J4/10000,2),"亿元、",ROUND(I4/10000,2),"亿元和",ROUND(H4/10000,2),"亿元。")</f>
        <v>近三年及一期，拟承租人经营活动现金流出分别为0亿元、0亿元、0亿元和0亿元。</v>
      </c>
    </row>
    <row r="5" spans="1:13" ht="15.75">
      <c r="A5" s="54" t="s">
        <v>165</v>
      </c>
      <c r="B5" s="59">
        <f>B6-B7</f>
        <v>0</v>
      </c>
      <c r="C5" s="59">
        <f>C6-C7</f>
        <v>0</v>
      </c>
      <c r="D5" s="59">
        <f>D6-D7</f>
        <v>0</v>
      </c>
      <c r="E5" s="59">
        <f>E6-E7</f>
        <v>0</v>
      </c>
      <c r="G5" s="60" t="str">
        <f t="shared" si="0"/>
        <v>投资活动现金流量净额</v>
      </c>
      <c r="H5" s="61">
        <f t="shared" si="1"/>
        <v>0</v>
      </c>
      <c r="I5" s="61">
        <f t="shared" si="2"/>
        <v>0</v>
      </c>
      <c r="J5" s="61">
        <f t="shared" si="3"/>
        <v>0</v>
      </c>
      <c r="K5" s="61">
        <f t="shared" si="4"/>
        <v>0</v>
      </c>
      <c r="M5" t="str">
        <f t="shared" si="5"/>
        <v>近三年及一期，拟承租人投资活动现金流量净额分别为0亿元、0亿元、0亿元和0亿元。</v>
      </c>
    </row>
    <row r="6" spans="1:13" ht="15.75">
      <c r="A6" s="62" t="s">
        <v>166</v>
      </c>
      <c r="B6" s="63">
        <f>HLOOKUP(B1,cf!$C$1:$CL$39,ROW(cf!C19))</f>
        <v>0</v>
      </c>
      <c r="C6" s="63">
        <f>HLOOKUP(C1,cf!$C$1:$CL$39,ROW(cf!D19))</f>
        <v>0</v>
      </c>
      <c r="D6" s="63">
        <f>HLOOKUP(D1,cf!$C$1:$CL$39,ROW(cf!E19))</f>
        <v>0</v>
      </c>
      <c r="E6" s="63">
        <f>HLOOKUP(E1,cf!$C$1:$CL$39,ROW(cf!F19))</f>
        <v>0</v>
      </c>
      <c r="G6" s="64" t="str">
        <f t="shared" si="0"/>
        <v>投资活动现金流入</v>
      </c>
      <c r="H6" s="65">
        <f t="shared" si="1"/>
        <v>0</v>
      </c>
      <c r="I6" s="65">
        <f t="shared" si="2"/>
        <v>0</v>
      </c>
      <c r="J6" s="65">
        <f t="shared" si="3"/>
        <v>0</v>
      </c>
      <c r="K6" s="65">
        <f t="shared" si="4"/>
        <v>0</v>
      </c>
      <c r="M6" t="str">
        <f t="shared" si="5"/>
        <v>近三年及一期，拟承租人投资活动现金流入分别为0亿元、0亿元、0亿元和0亿元。</v>
      </c>
    </row>
    <row r="7" spans="1:13" ht="15.75">
      <c r="A7" s="62" t="s">
        <v>167</v>
      </c>
      <c r="B7" s="63">
        <f>HLOOKUP(B1,cf!$C$1:$CL$39,ROW(cf!C24))</f>
        <v>0</v>
      </c>
      <c r="C7" s="63">
        <f>HLOOKUP(C1,cf!$C$1:$CL$39,ROW(cf!D24))</f>
        <v>0</v>
      </c>
      <c r="D7" s="63">
        <f>HLOOKUP(D1,cf!$C$1:$CL$39,ROW(cf!E24))</f>
        <v>0</v>
      </c>
      <c r="E7" s="63">
        <f>HLOOKUP(E1,cf!$C$1:$CL$39,ROW(cf!F24))</f>
        <v>0</v>
      </c>
      <c r="G7" s="64" t="str">
        <f t="shared" si="0"/>
        <v>投资活动现金流出</v>
      </c>
      <c r="H7" s="65">
        <f t="shared" si="1"/>
        <v>0</v>
      </c>
      <c r="I7" s="65">
        <f t="shared" si="2"/>
        <v>0</v>
      </c>
      <c r="J7" s="65">
        <f t="shared" si="3"/>
        <v>0</v>
      </c>
      <c r="K7" s="65">
        <f t="shared" si="4"/>
        <v>0</v>
      </c>
      <c r="M7" t="str">
        <f t="shared" si="5"/>
        <v>近三年及一期，拟承租人投资活动现金流出分别为0亿元、0亿元、0亿元和0亿元。</v>
      </c>
    </row>
    <row r="8" spans="1:13" ht="15.75">
      <c r="A8" s="54" t="s">
        <v>168</v>
      </c>
      <c r="B8" s="59">
        <f>B9-B10</f>
        <v>0</v>
      </c>
      <c r="C8" s="59">
        <f>C9-C10</f>
        <v>0</v>
      </c>
      <c r="D8" s="59">
        <f>D9-D10</f>
        <v>0</v>
      </c>
      <c r="E8" s="59">
        <f>E9-E10</f>
        <v>0</v>
      </c>
      <c r="G8" s="60" t="str">
        <f t="shared" si="0"/>
        <v>筹资活动现金流量净额</v>
      </c>
      <c r="H8" s="61">
        <f t="shared" si="1"/>
        <v>0</v>
      </c>
      <c r="I8" s="61">
        <f t="shared" si="2"/>
        <v>0</v>
      </c>
      <c r="J8" s="61">
        <f t="shared" si="3"/>
        <v>0</v>
      </c>
      <c r="K8" s="61">
        <f t="shared" si="4"/>
        <v>0</v>
      </c>
      <c r="M8" t="str">
        <f t="shared" si="5"/>
        <v>近三年及一期，拟承租人筹资活动现金流量净额分别为0亿元、0亿元、0亿元和0亿元。</v>
      </c>
    </row>
    <row r="9" spans="1:13" ht="15.75">
      <c r="A9" s="62" t="s">
        <v>169</v>
      </c>
      <c r="B9" s="63">
        <f>HLOOKUP(B1,cf!$C$1:$CL$39,ROW(cf!C30))</f>
        <v>0</v>
      </c>
      <c r="C9" s="63">
        <f>HLOOKUP(C1,cf!$C$1:$CL$39,ROW(cf!D30))</f>
        <v>0</v>
      </c>
      <c r="D9" s="63">
        <f>HLOOKUP(D1,cf!$C$1:$CL$39,ROW(cf!E30))</f>
        <v>0</v>
      </c>
      <c r="E9" s="63">
        <f>HLOOKUP(E1,cf!$C$1:$CL$39,ROW(cf!F30))</f>
        <v>0</v>
      </c>
      <c r="G9" s="64" t="str">
        <f t="shared" si="0"/>
        <v>筹资活动现金流入</v>
      </c>
      <c r="H9" s="65">
        <f t="shared" si="1"/>
        <v>0</v>
      </c>
      <c r="I9" s="65">
        <f t="shared" si="2"/>
        <v>0</v>
      </c>
      <c r="J9" s="65">
        <f t="shared" si="3"/>
        <v>0</v>
      </c>
      <c r="K9" s="65">
        <f t="shared" si="4"/>
        <v>0</v>
      </c>
      <c r="M9" t="str">
        <f t="shared" si="5"/>
        <v>近三年及一期，拟承租人筹资活动现金流入分别为0亿元、0亿元、0亿元和0亿元。</v>
      </c>
    </row>
    <row r="10" spans="1:13" ht="15.75">
      <c r="A10" s="62" t="s">
        <v>170</v>
      </c>
      <c r="B10" s="63">
        <f>HLOOKUP(B1,cf!$C$1:$CL$39,ROW(cf!C34))</f>
        <v>0</v>
      </c>
      <c r="C10" s="63">
        <f>HLOOKUP(C1,cf!$C$1:$CL$39,ROW(cf!D34))</f>
        <v>0</v>
      </c>
      <c r="D10" s="63">
        <f>HLOOKUP(D1,cf!$C$1:$CL$39,ROW(cf!E34))</f>
        <v>0</v>
      </c>
      <c r="E10" s="63">
        <f>HLOOKUP(E1,cf!$C$1:$CL$39,ROW(cf!F34))</f>
        <v>0</v>
      </c>
      <c r="G10" s="64" t="str">
        <f t="shared" si="0"/>
        <v>筹资活动现金流出</v>
      </c>
      <c r="H10" s="65">
        <f t="shared" si="1"/>
        <v>0</v>
      </c>
      <c r="I10" s="65">
        <f t="shared" si="2"/>
        <v>0</v>
      </c>
      <c r="J10" s="65">
        <f t="shared" si="3"/>
        <v>0</v>
      </c>
      <c r="K10" s="65">
        <f t="shared" si="4"/>
        <v>0</v>
      </c>
      <c r="M10" t="str">
        <f t="shared" si="5"/>
        <v>近三年及一期，拟承租人筹资活动现金流出分别为0亿元、0亿元、0亿元和0亿元。</v>
      </c>
    </row>
    <row r="11" spans="1:13" ht="28.5">
      <c r="A11" s="62" t="s">
        <v>94</v>
      </c>
      <c r="B11" s="63">
        <f>HLOOKUP(B1,cf!$C$1:$CL$39,ROW(cf!C32))</f>
        <v>0</v>
      </c>
      <c r="C11" s="63">
        <f>HLOOKUP(C1,cf!$C$1:$CL$39,ROW(cf!D32))</f>
        <v>0</v>
      </c>
      <c r="D11" s="63">
        <f>HLOOKUP(D1,cf!$C$1:$CL$39,ROW(cf!E32))</f>
        <v>0</v>
      </c>
      <c r="E11" s="63">
        <f>HLOOKUP(E1,cf!$C$1:$CL$39,ROW(cf!F32))</f>
        <v>0</v>
      </c>
      <c r="G11" s="66" t="str">
        <f t="shared" si="0"/>
        <v>分配股利、利润或偿付利息支付的现金</v>
      </c>
      <c r="H11" s="65">
        <f t="shared" si="1"/>
        <v>0</v>
      </c>
      <c r="I11" s="65">
        <f t="shared" si="2"/>
        <v>0</v>
      </c>
      <c r="J11" s="65">
        <f t="shared" si="3"/>
        <v>0</v>
      </c>
      <c r="K11" s="65">
        <f t="shared" si="4"/>
        <v>0</v>
      </c>
      <c r="M11" t="str">
        <f t="shared" si="5"/>
        <v>近三年及一期，拟承租人分配股利、利润或偿付利息支付的现金分别为0亿元、0亿元、0亿元和0亿元。</v>
      </c>
    </row>
  </sheetData>
  <customSheetViews>
    <customSheetView guid="{EFE5EB9F-962C-4232-9E60-22B2AE19D01B}">
      <selection activeCell="H1" sqref="H1"/>
      <pageMargins left="0.7" right="0.7" top="0.75" bottom="0.75" header="0.3" footer="0.3"/>
      <pageSetup paperSize="9" orientation="portrait"/>
    </customSheetView>
  </customSheetViews>
  <phoneticPr fontId="37" type="noConversion"/>
  <dataValidations count="1">
    <dataValidation type="list" allowBlank="1" showInputMessage="1" showErrorMessage="1" sqref="F1" xr:uid="{00000000-0002-0000-0600-000000000000}">
      <formula1>"单位：元,单位：万元"</formula1>
    </dataValidation>
  </dataValidations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K39"/>
  <sheetViews>
    <sheetView topLeftCell="E5" workbookViewId="0">
      <selection activeCell="H31" sqref="H31:H32"/>
    </sheetView>
  </sheetViews>
  <sheetFormatPr defaultColWidth="9" defaultRowHeight="12.75"/>
  <cols>
    <col min="1" max="1" width="28.7109375" customWidth="1"/>
    <col min="2" max="2" width="23.7109375" customWidth="1"/>
    <col min="3" max="3" width="16.28515625" customWidth="1"/>
    <col min="4" max="4" width="17.7109375" customWidth="1"/>
    <col min="5" max="5" width="19.42578125" customWidth="1"/>
    <col min="7" max="7" width="27.5703125" customWidth="1"/>
    <col min="8" max="11" width="17.28515625" customWidth="1"/>
  </cols>
  <sheetData>
    <row r="1" spans="1:11" ht="14.25">
      <c r="A1" s="155" t="s">
        <v>137</v>
      </c>
      <c r="B1" s="33">
        <f>'财务分析（2022）'!B3</f>
        <v>44957</v>
      </c>
      <c r="C1" s="34">
        <f>'财务分析（2022）'!C3</f>
        <v>44926</v>
      </c>
      <c r="D1" s="34">
        <f>'财务分析（2022）'!D3</f>
        <v>44561</v>
      </c>
      <c r="E1" s="34">
        <f>'财务分析（2022）'!E3</f>
        <v>44196</v>
      </c>
      <c r="F1" s="35"/>
      <c r="G1" s="156" t="s">
        <v>137</v>
      </c>
      <c r="H1" s="36">
        <f>B1</f>
        <v>44957</v>
      </c>
      <c r="I1" s="36">
        <f>C1</f>
        <v>44926</v>
      </c>
      <c r="J1" s="36">
        <f>D1</f>
        <v>44561</v>
      </c>
      <c r="K1" s="36">
        <f>E1</f>
        <v>44196</v>
      </c>
    </row>
    <row r="2" spans="1:11" ht="14.25">
      <c r="A2" s="155"/>
      <c r="B2" s="37" t="s">
        <v>160</v>
      </c>
      <c r="C2" s="37" t="s">
        <v>160</v>
      </c>
      <c r="D2" s="37" t="s">
        <v>160</v>
      </c>
      <c r="E2" s="37" t="s">
        <v>160</v>
      </c>
      <c r="F2" s="35"/>
      <c r="G2" s="156"/>
      <c r="H2" s="38" t="s">
        <v>160</v>
      </c>
      <c r="I2" s="38" t="s">
        <v>160</v>
      </c>
      <c r="J2" s="38" t="s">
        <v>160</v>
      </c>
      <c r="K2" s="38" t="s">
        <v>160</v>
      </c>
    </row>
    <row r="3" spans="1:11" ht="15">
      <c r="A3" s="39" t="s">
        <v>171</v>
      </c>
      <c r="B3" s="40">
        <f>HLOOKUP(B1,cf!$C$1:$CL$39,ROW(cf!C3))</f>
        <v>0</v>
      </c>
      <c r="C3" s="40">
        <f>HLOOKUP(C1,cf!$C$1:$CL$39,ROW(cf!D3))</f>
        <v>0</v>
      </c>
      <c r="D3" s="40">
        <f>HLOOKUP(D1,cf!$C$1:$CL$39,ROW(cf!E3))</f>
        <v>0</v>
      </c>
      <c r="E3" s="40">
        <f>HLOOKUP(E1,cf!$C$1:$CL$39,ROW(cf!F3))</f>
        <v>0</v>
      </c>
      <c r="F3" s="35"/>
      <c r="G3" s="41" t="str">
        <f>A3</f>
        <v>销售商品收到的现金</v>
      </c>
      <c r="H3" s="42">
        <f>ROUND(B3/10000,0)</f>
        <v>0</v>
      </c>
      <c r="I3" s="42">
        <f>ROUND(C3/10000,0)</f>
        <v>0</v>
      </c>
      <c r="J3" s="42">
        <f>ROUND(D3/10000,0)</f>
        <v>0</v>
      </c>
      <c r="K3" s="42">
        <f>ROUND(E3/10000,0)</f>
        <v>0</v>
      </c>
    </row>
    <row r="4" spans="1:11" ht="15">
      <c r="A4" s="39" t="s">
        <v>71</v>
      </c>
      <c r="B4" s="43" t="e">
        <f>HLOOKUP(B1,pl!$D$1:$CL$46,ROW(pl!D3),FALSE)</f>
        <v>#N/A</v>
      </c>
      <c r="C4" s="43">
        <f>HLOOKUP(C1,pl!$D$1:$CL$46,ROW(pl!E3),FALSE)</f>
        <v>0</v>
      </c>
      <c r="D4" s="40">
        <f>HLOOKUP(D1,pl!$D$1:$CL$46,ROW(pl!F3),FALSE)</f>
        <v>0</v>
      </c>
      <c r="E4" s="43">
        <f>HLOOKUP(E1,pl!$D$1:$CL$46,ROW(pl!G3),FALSE)</f>
        <v>0</v>
      </c>
      <c r="F4" s="35"/>
      <c r="G4" s="41" t="str">
        <f t="shared" ref="G4:G11" si="0">A4</f>
        <v>主营业务收入</v>
      </c>
      <c r="H4" s="42" t="e">
        <f t="shared" ref="H4:K10" si="1">ROUND(B4/10000,0)</f>
        <v>#N/A</v>
      </c>
      <c r="I4" s="42">
        <f t="shared" si="1"/>
        <v>0</v>
      </c>
      <c r="J4" s="42">
        <f t="shared" si="1"/>
        <v>0</v>
      </c>
      <c r="K4" s="42">
        <f t="shared" si="1"/>
        <v>0</v>
      </c>
    </row>
    <row r="5" spans="1:11" ht="31.5" customHeight="1">
      <c r="A5" s="39" t="s">
        <v>85</v>
      </c>
      <c r="B5" s="40">
        <f>HLOOKUP(B1,cf!$C$1:$CL$39,ROW(cf!C7))</f>
        <v>0</v>
      </c>
      <c r="C5" s="40">
        <f>HLOOKUP(C1,cf!$C$1:$CL$39,ROW(cf!D7))</f>
        <v>0</v>
      </c>
      <c r="D5" s="40">
        <f>HLOOKUP(D1,cf!$C$1:$CL$39,ROW(cf!E7))</f>
        <v>0</v>
      </c>
      <c r="E5" s="40">
        <f>HLOOKUP(E1,cf!$C$1:$CL$39,ROW(cf!F7))</f>
        <v>0</v>
      </c>
      <c r="F5" s="35"/>
      <c r="G5" s="41" t="str">
        <f t="shared" si="0"/>
        <v>购买商品、接受劳务支付的现金</v>
      </c>
      <c r="H5" s="42">
        <f t="shared" si="1"/>
        <v>0</v>
      </c>
      <c r="I5" s="42">
        <f t="shared" si="1"/>
        <v>0</v>
      </c>
      <c r="J5" s="42">
        <f t="shared" si="1"/>
        <v>0</v>
      </c>
      <c r="K5" s="42">
        <f t="shared" si="1"/>
        <v>0</v>
      </c>
    </row>
    <row r="6" spans="1:11" ht="23.25" customHeight="1">
      <c r="A6" s="39" t="s">
        <v>73</v>
      </c>
      <c r="B6" s="40" t="e">
        <f>HLOOKUP(B1,pl!$D$1:$CL$46,ROW(pl!D9),FALSE)</f>
        <v>#N/A</v>
      </c>
      <c r="C6" s="40">
        <f>HLOOKUP(C1,pl!$D$1:$CL$46,ROW(pl!E9),FALSE)</f>
        <v>0</v>
      </c>
      <c r="D6" s="40">
        <f>HLOOKUP(D1,pl!$D$1:$CL$46,ROW(pl!F9),FALSE)</f>
        <v>0</v>
      </c>
      <c r="E6" s="40">
        <f>HLOOKUP(E1,pl!$D$1:$CL$46,ROW(pl!G9),FALSE)</f>
        <v>0</v>
      </c>
      <c r="F6" s="35"/>
      <c r="G6" s="41" t="str">
        <f t="shared" si="0"/>
        <v>主营业务成本</v>
      </c>
      <c r="H6" s="42" t="e">
        <f t="shared" si="1"/>
        <v>#N/A</v>
      </c>
      <c r="I6" s="42">
        <f t="shared" si="1"/>
        <v>0</v>
      </c>
      <c r="J6" s="42">
        <f t="shared" si="1"/>
        <v>0</v>
      </c>
      <c r="K6" s="42">
        <f t="shared" si="1"/>
        <v>0</v>
      </c>
    </row>
    <row r="7" spans="1:11" ht="43.5" customHeight="1">
      <c r="A7" s="39" t="s">
        <v>94</v>
      </c>
      <c r="B7" s="40">
        <f>HLOOKUP(B1,cf!$C$1:$CL$39,ROW(cf!C32))</f>
        <v>0</v>
      </c>
      <c r="C7" s="40">
        <f>HLOOKUP(C1,cf!$C$1:$CL$39,ROW(cf!D32))</f>
        <v>0</v>
      </c>
      <c r="D7" s="40">
        <f>HLOOKUP(D1,cf!$C$1:$CL$39,ROW(cf!E32))</f>
        <v>0</v>
      </c>
      <c r="E7" s="40">
        <f>HLOOKUP(E1,cf!$C$1:$CL$39,ROW(cf!F32))</f>
        <v>0</v>
      </c>
      <c r="F7" s="35"/>
      <c r="G7" s="41" t="str">
        <f t="shared" si="0"/>
        <v>分配股利、利润或偿付利息支付的现金</v>
      </c>
      <c r="H7" s="42">
        <f t="shared" si="1"/>
        <v>0</v>
      </c>
      <c r="I7" s="42">
        <f t="shared" si="1"/>
        <v>0</v>
      </c>
      <c r="J7" s="42">
        <f>ROUND(D7/10000,0)</f>
        <v>0</v>
      </c>
      <c r="K7" s="42">
        <f t="shared" si="1"/>
        <v>0</v>
      </c>
    </row>
    <row r="8" spans="1:11" ht="15">
      <c r="A8" s="39" t="s">
        <v>77</v>
      </c>
      <c r="B8" s="40" t="e">
        <f>HLOOKUP(B1,pl!$D$1:$CL$46,ROW(pl!D14),FALSE)</f>
        <v>#N/A</v>
      </c>
      <c r="C8" s="40">
        <f>HLOOKUP(C1,pl!$D$1:$CL$46,ROW(pl!E14),FALSE)</f>
        <v>0</v>
      </c>
      <c r="D8" s="40">
        <f>HLOOKUP(D1,pl!$D$1:$CL$46,ROW(pl!F14),FALSE)</f>
        <v>0</v>
      </c>
      <c r="E8" s="40">
        <f>HLOOKUP(E1,pl!$D$1:$CL$46,ROW(pl!G14),FALSE)</f>
        <v>0</v>
      </c>
      <c r="F8" s="35"/>
      <c r="G8" s="41" t="str">
        <f t="shared" si="0"/>
        <v>财务费用</v>
      </c>
      <c r="H8" s="42" t="e">
        <f t="shared" si="1"/>
        <v>#N/A</v>
      </c>
      <c r="I8" s="42">
        <f t="shared" si="1"/>
        <v>0</v>
      </c>
      <c r="J8" s="42">
        <f>ROUND(D8/10000,0)</f>
        <v>0</v>
      </c>
      <c r="K8" s="42">
        <f t="shared" si="1"/>
        <v>0</v>
      </c>
    </row>
    <row r="9" spans="1:11" ht="15">
      <c r="A9" s="39" t="s">
        <v>172</v>
      </c>
      <c r="B9" s="40">
        <f>HLOOKUP(B1,cf!$C$1:$CL$39,ROW(cf!C12))</f>
        <v>0</v>
      </c>
      <c r="C9" s="40">
        <f>HLOOKUP(C1,cf!$C$1:$CL$39,ROW(cf!D12))</f>
        <v>0</v>
      </c>
      <c r="D9" s="40">
        <f>HLOOKUP(D1,cf!$C$1:$CL$39,ROW(cf!E12))</f>
        <v>0</v>
      </c>
      <c r="E9" s="40">
        <f>HLOOKUP(E1,cf!$C$1:$CL$39,ROW(cf!F12))</f>
        <v>0</v>
      </c>
      <c r="F9" s="35"/>
      <c r="G9" s="41" t="str">
        <f t="shared" si="0"/>
        <v>经营性现金净流量</v>
      </c>
      <c r="H9" s="42">
        <f t="shared" si="1"/>
        <v>0</v>
      </c>
      <c r="I9" s="42">
        <f t="shared" si="1"/>
        <v>0</v>
      </c>
      <c r="J9" s="42">
        <f>ROUND(D9/10000,0)</f>
        <v>0</v>
      </c>
      <c r="K9" s="42">
        <f t="shared" si="1"/>
        <v>0</v>
      </c>
    </row>
    <row r="10" spans="1:11" ht="15">
      <c r="A10" s="39" t="s">
        <v>82</v>
      </c>
      <c r="B10" s="40" t="e">
        <f>HLOOKUP(B1,pl!$D$1:$CL$46,ROW(pl!D23),FALSE)</f>
        <v>#N/A</v>
      </c>
      <c r="C10" s="40">
        <f>HLOOKUP(C1,pl!$D$1:$CL$46,ROW(pl!E23),FALSE)</f>
        <v>0</v>
      </c>
      <c r="D10" s="40">
        <f>HLOOKUP(D1,pl!$D$1:$CL$46,ROW(pl!F23),FALSE)</f>
        <v>0</v>
      </c>
      <c r="E10" s="40">
        <f>HLOOKUP(E1,pl!$D$1:$CL$46,ROW(pl!G23),FALSE)</f>
        <v>0</v>
      </c>
      <c r="F10" s="35"/>
      <c r="G10" s="41" t="str">
        <f t="shared" si="0"/>
        <v>净利润</v>
      </c>
      <c r="H10" s="42" t="e">
        <f t="shared" si="1"/>
        <v>#N/A</v>
      </c>
      <c r="I10" s="42">
        <f t="shared" si="1"/>
        <v>0</v>
      </c>
      <c r="J10" s="42">
        <f t="shared" si="1"/>
        <v>0</v>
      </c>
      <c r="K10" s="42">
        <f t="shared" si="1"/>
        <v>0</v>
      </c>
    </row>
    <row r="11" spans="1:11" ht="15">
      <c r="A11" s="39" t="s">
        <v>173</v>
      </c>
      <c r="B11" s="40" t="e">
        <f>B9/B10</f>
        <v>#N/A</v>
      </c>
      <c r="C11" s="40" t="e">
        <f>C9/C10</f>
        <v>#DIV/0!</v>
      </c>
      <c r="D11" s="40" t="e">
        <f>D9/D10</f>
        <v>#DIV/0!</v>
      </c>
      <c r="E11" s="40" t="e">
        <f>E9/E10</f>
        <v>#DIV/0!</v>
      </c>
      <c r="F11" s="35"/>
      <c r="G11" s="41" t="str">
        <f t="shared" si="0"/>
        <v>盈利现金比</v>
      </c>
      <c r="H11" s="42" t="e">
        <f>B11</f>
        <v>#N/A</v>
      </c>
      <c r="I11" s="42" t="e">
        <f>C11</f>
        <v>#DIV/0!</v>
      </c>
      <c r="J11" s="42" t="e">
        <f>D11</f>
        <v>#DIV/0!</v>
      </c>
      <c r="K11" s="42" t="e">
        <f>E11</f>
        <v>#DIV/0!</v>
      </c>
    </row>
    <row r="12" spans="1:11">
      <c r="G12" s="15" t="s">
        <v>37</v>
      </c>
      <c r="H12">
        <f>bs!H54</f>
        <v>0</v>
      </c>
      <c r="I12">
        <f>bs!G54</f>
        <v>0</v>
      </c>
      <c r="J12">
        <f>bs!F54</f>
        <v>0</v>
      </c>
      <c r="K12">
        <f>bs!E54</f>
        <v>0</v>
      </c>
    </row>
    <row r="13" spans="1:11">
      <c r="G13" t="s">
        <v>171</v>
      </c>
      <c r="H13">
        <v>57403</v>
      </c>
      <c r="I13">
        <v>88363</v>
      </c>
      <c r="J13">
        <v>120993</v>
      </c>
      <c r="K13">
        <v>110718</v>
      </c>
    </row>
    <row r="14" spans="1:11">
      <c r="G14" s="15" t="s">
        <v>5</v>
      </c>
    </row>
    <row r="19" spans="7:11">
      <c r="G19" s="9"/>
      <c r="H19" s="44">
        <v>43465</v>
      </c>
      <c r="I19" s="44">
        <v>43830</v>
      </c>
      <c r="J19" s="44">
        <v>44196</v>
      </c>
      <c r="K19" s="52">
        <v>44530</v>
      </c>
    </row>
    <row r="20" spans="7:11">
      <c r="G20" s="45" t="s">
        <v>5</v>
      </c>
      <c r="H20" s="46">
        <v>201008250</v>
      </c>
      <c r="I20" s="46">
        <v>672980000</v>
      </c>
      <c r="J20" s="46">
        <v>396246752.62</v>
      </c>
      <c r="K20" s="46">
        <v>287500000</v>
      </c>
    </row>
    <row r="21" spans="7:11">
      <c r="G21" s="45" t="s">
        <v>6</v>
      </c>
      <c r="H21" s="46">
        <v>308997386.75999999</v>
      </c>
      <c r="I21" s="46">
        <v>280807512.47000003</v>
      </c>
      <c r="J21" s="46">
        <v>150757491.84999999</v>
      </c>
      <c r="K21" s="46">
        <v>153605646.18000001</v>
      </c>
    </row>
    <row r="22" spans="7:11">
      <c r="G22" s="9"/>
      <c r="H22" s="27"/>
      <c r="I22" s="27"/>
      <c r="J22" s="27"/>
      <c r="K22" s="27"/>
    </row>
    <row r="23" spans="7:11">
      <c r="G23" s="45" t="s">
        <v>83</v>
      </c>
      <c r="H23" s="46">
        <v>1107184274.8900001</v>
      </c>
      <c r="I23" s="46">
        <v>1209932502.4000001</v>
      </c>
      <c r="J23" s="46">
        <v>883630914.13</v>
      </c>
      <c r="K23" s="46">
        <v>574029883.22000003</v>
      </c>
    </row>
    <row r="24" spans="7:11">
      <c r="G24" s="8" t="s">
        <v>174</v>
      </c>
      <c r="H24" s="47">
        <f>H23</f>
        <v>1107184274.8900001</v>
      </c>
      <c r="I24" s="47">
        <f>SUM(I23)</f>
        <v>1209932502.4000001</v>
      </c>
      <c r="J24" s="47">
        <f>SUM(J21,J23)</f>
        <v>1034388405.98</v>
      </c>
      <c r="K24" s="47">
        <f>SUM(K21,K20,K23)</f>
        <v>1015135529.4000001</v>
      </c>
    </row>
    <row r="25" spans="7:11" ht="37.5">
      <c r="G25" s="8" t="s">
        <v>175</v>
      </c>
      <c r="H25" s="48" t="str">
        <f>I25</f>
        <v>销售商品、提供劳务收到的现金</v>
      </c>
      <c r="I25" s="48" t="str">
        <f>G23</f>
        <v>销售商品、提供劳务收到的现金</v>
      </c>
      <c r="J25" s="53" t="s">
        <v>176</v>
      </c>
      <c r="K25" s="53" t="s">
        <v>177</v>
      </c>
    </row>
    <row r="26" spans="7:11">
      <c r="G26" s="49" t="s">
        <v>70</v>
      </c>
      <c r="H26" s="50">
        <v>913276863.59000003</v>
      </c>
      <c r="I26" s="50">
        <v>1114615416.79</v>
      </c>
      <c r="J26" s="47">
        <v>1011661321.48</v>
      </c>
      <c r="K26" s="47">
        <v>1014548010.3</v>
      </c>
    </row>
    <row r="29" spans="7:11">
      <c r="G29" s="9"/>
      <c r="H29" s="44">
        <v>43465</v>
      </c>
      <c r="I29" s="44">
        <v>43830</v>
      </c>
      <c r="J29" s="44">
        <v>44196</v>
      </c>
      <c r="K29" s="52">
        <v>44530</v>
      </c>
    </row>
    <row r="30" spans="7:11">
      <c r="G30" s="45" t="s">
        <v>91</v>
      </c>
      <c r="H30" s="51">
        <v>187690000</v>
      </c>
      <c r="I30" s="51">
        <v>475882255.55000001</v>
      </c>
      <c r="J30" s="51">
        <v>1042458644.11</v>
      </c>
      <c r="K30" s="51">
        <v>793137623.50999999</v>
      </c>
    </row>
    <row r="31" spans="7:11">
      <c r="G31" s="45" t="s">
        <v>97</v>
      </c>
      <c r="H31" s="10">
        <v>-32545623.359999999</v>
      </c>
      <c r="I31" s="10">
        <v>291385317.02999997</v>
      </c>
      <c r="J31" s="10">
        <v>277024031.63</v>
      </c>
      <c r="K31" s="10">
        <v>288445917.62</v>
      </c>
    </row>
    <row r="32" spans="7:11">
      <c r="G32" s="10" t="s">
        <v>37</v>
      </c>
      <c r="H32" s="10">
        <v>86000000</v>
      </c>
      <c r="I32" s="10">
        <v>439516875.26999998</v>
      </c>
      <c r="J32" s="10">
        <v>280000000</v>
      </c>
      <c r="K32" s="10">
        <v>281280000</v>
      </c>
    </row>
    <row r="33" spans="7:11">
      <c r="G33" s="45" t="s">
        <v>5</v>
      </c>
      <c r="H33" s="46">
        <v>201008250</v>
      </c>
      <c r="I33" s="46">
        <v>672980000</v>
      </c>
      <c r="J33" s="46">
        <v>396246752.62</v>
      </c>
      <c r="K33" s="46">
        <v>287500000</v>
      </c>
    </row>
    <row r="34" spans="7:11">
      <c r="G34" s="45" t="s">
        <v>6</v>
      </c>
      <c r="H34" s="46">
        <v>308997386.75999999</v>
      </c>
      <c r="I34" s="46">
        <v>280807512.47000003</v>
      </c>
      <c r="J34" s="46">
        <v>150757491.84999999</v>
      </c>
      <c r="K34" s="46">
        <v>153605646.18000001</v>
      </c>
    </row>
    <row r="35" spans="7:11">
      <c r="G35" s="9"/>
      <c r="H35" s="44">
        <v>43465</v>
      </c>
      <c r="I35" s="44">
        <v>43830</v>
      </c>
      <c r="J35" s="44">
        <v>44196</v>
      </c>
      <c r="K35" s="52">
        <v>44530</v>
      </c>
    </row>
    <row r="36" spans="7:11">
      <c r="G36" s="45" t="s">
        <v>93</v>
      </c>
      <c r="H36" s="10">
        <v>180500000</v>
      </c>
      <c r="I36" s="10">
        <v>144730000</v>
      </c>
      <c r="J36" s="10">
        <v>63450000</v>
      </c>
      <c r="K36" s="10">
        <v>502535229.30000001</v>
      </c>
    </row>
    <row r="37" spans="7:11">
      <c r="G37" s="45" t="s">
        <v>94</v>
      </c>
      <c r="H37" s="10">
        <v>4628281.9000000004</v>
      </c>
      <c r="I37" s="10">
        <v>3842873.63</v>
      </c>
      <c r="J37" s="10">
        <v>537638.93000000005</v>
      </c>
      <c r="K37" s="10"/>
    </row>
    <row r="38" spans="7:11">
      <c r="G38" s="45" t="s">
        <v>95</v>
      </c>
      <c r="H38" s="10">
        <v>70694034.569999993</v>
      </c>
      <c r="I38" s="10">
        <v>117142127.33</v>
      </c>
      <c r="J38" s="10">
        <v>828221778.32000005</v>
      </c>
      <c r="K38" s="10">
        <v>69991003.730000004</v>
      </c>
    </row>
    <row r="39" spans="7:11">
      <c r="G39" s="45" t="s">
        <v>96</v>
      </c>
      <c r="H39" s="10">
        <v>255822316.47</v>
      </c>
      <c r="I39" s="10">
        <v>265715000.96000001</v>
      </c>
      <c r="J39" s="10">
        <v>892209417.25</v>
      </c>
      <c r="K39" s="10">
        <v>572526233.02999997</v>
      </c>
    </row>
  </sheetData>
  <customSheetViews>
    <customSheetView guid="{EFE5EB9F-962C-4232-9E60-22B2AE19D01B}">
      <selection activeCell="E11" sqref="E11"/>
      <pageMargins left="0.7" right="0.7" top="0.75" bottom="0.75" header="0.3" footer="0.3"/>
    </customSheetView>
  </customSheetViews>
  <mergeCells count="2">
    <mergeCell ref="A1:A2"/>
    <mergeCell ref="G1:G2"/>
  </mergeCells>
  <phoneticPr fontId="3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/>
  <dimension ref="B2:F10"/>
  <sheetViews>
    <sheetView workbookViewId="0">
      <selection activeCell="C4" sqref="C4"/>
    </sheetView>
  </sheetViews>
  <sheetFormatPr defaultColWidth="9" defaultRowHeight="12.75"/>
  <cols>
    <col min="2" max="2" width="19.42578125" customWidth="1"/>
    <col min="3" max="3" width="12.28515625" customWidth="1"/>
    <col min="4" max="6" width="13.5703125" customWidth="1"/>
  </cols>
  <sheetData>
    <row r="2" spans="2:6">
      <c r="F2" t="str">
        <f>'财务分析-万位'!G6</f>
        <v>单位：万元</v>
      </c>
    </row>
    <row r="3" spans="2:6" ht="15.75">
      <c r="B3" s="28" t="s">
        <v>178</v>
      </c>
      <c r="C3" s="29">
        <f>'财务分析（2022）'!B3</f>
        <v>44957</v>
      </c>
      <c r="D3" s="29">
        <f>'财务分析（2022）'!C3</f>
        <v>44926</v>
      </c>
      <c r="E3" s="29">
        <f>'财务分析（2022）'!D3</f>
        <v>44561</v>
      </c>
      <c r="F3" s="29">
        <f>'财务分析（2022）'!E3</f>
        <v>44196</v>
      </c>
    </row>
    <row r="4" spans="2:6" ht="15.75">
      <c r="B4" s="30" t="s">
        <v>141</v>
      </c>
      <c r="C4" s="31" t="e">
        <f>'财务分析（2022）'!B21</f>
        <v>#N/A</v>
      </c>
      <c r="D4" s="31" t="e">
        <f>'财务分析（2022）'!C21</f>
        <v>#N/A</v>
      </c>
      <c r="E4" s="31" t="e">
        <f>'财务分析（2022）'!D21</f>
        <v>#N/A</v>
      </c>
      <c r="F4" s="31" t="e">
        <f>'财务分析（2022）'!E21</f>
        <v>#N/A</v>
      </c>
    </row>
    <row r="5" spans="2:6" ht="15.75">
      <c r="B5" s="30" t="s">
        <v>179</v>
      </c>
      <c r="C5" s="31" t="e">
        <f>'财务分析（2022）'!B40</f>
        <v>#N/A</v>
      </c>
      <c r="D5" s="31" t="e">
        <f>'财务分析（2022）'!C40</f>
        <v>#N/A</v>
      </c>
      <c r="E5" s="31" t="e">
        <f>'财务分析（2022）'!D40</f>
        <v>#N/A</v>
      </c>
      <c r="F5" s="31" t="e">
        <f>'财务分析（2022）'!E40</f>
        <v>#N/A</v>
      </c>
    </row>
    <row r="6" spans="2:6" ht="15.75">
      <c r="B6" s="30" t="s">
        <v>180</v>
      </c>
      <c r="C6" s="32" t="e">
        <f>'财务分析（2022）'!B70</f>
        <v>#N/A</v>
      </c>
      <c r="D6" s="32" t="e">
        <f>'财务分析（2022）'!C70</f>
        <v>#N/A</v>
      </c>
      <c r="E6" s="32" t="e">
        <f>'财务分析（2022）'!D70</f>
        <v>#N/A</v>
      </c>
      <c r="F6" s="32" t="e">
        <f>'财务分析（2022）'!E70</f>
        <v>#N/A</v>
      </c>
    </row>
    <row r="7" spans="2:6" ht="15.75">
      <c r="B7" s="30" t="s">
        <v>70</v>
      </c>
      <c r="C7" s="31" t="e">
        <f>'财务分析（2022）'!B42</f>
        <v>#N/A</v>
      </c>
      <c r="D7" s="31" t="e">
        <f>'财务分析（2022）'!C42</f>
        <v>#N/A</v>
      </c>
      <c r="E7" s="31" t="e">
        <f>'财务分析（2022）'!D42</f>
        <v>#N/A</v>
      </c>
      <c r="F7" s="31" t="e">
        <f>'财务分析（2022）'!E42</f>
        <v>#N/A</v>
      </c>
    </row>
    <row r="8" spans="2:6" ht="15.75">
      <c r="B8" s="30" t="s">
        <v>80</v>
      </c>
      <c r="C8" s="31" t="e">
        <f>'财务分析（2022）'!B50</f>
        <v>#N/A</v>
      </c>
      <c r="D8" s="31" t="e">
        <f>'财务分析（2022）'!C50</f>
        <v>#N/A</v>
      </c>
      <c r="E8" s="31" t="e">
        <f>'财务分析（2022）'!D50</f>
        <v>#N/A</v>
      </c>
      <c r="F8" s="31" t="e">
        <f>'财务分析（2022）'!E50</f>
        <v>#N/A</v>
      </c>
    </row>
    <row r="9" spans="2:6" ht="15.75">
      <c r="B9" s="30" t="s">
        <v>172</v>
      </c>
      <c r="C9" s="31">
        <f>'财务分析（2022）'!B58</f>
        <v>0</v>
      </c>
      <c r="D9" s="31">
        <f>'财务分析（2022）'!C58</f>
        <v>0</v>
      </c>
      <c r="E9" s="31">
        <f>'财务分析（2022）'!D58</f>
        <v>0</v>
      </c>
      <c r="F9" s="31">
        <f>'财务分析（2022）'!E58</f>
        <v>0</v>
      </c>
    </row>
    <row r="10" spans="2:6" ht="15.75">
      <c r="B10" s="30" t="s">
        <v>181</v>
      </c>
      <c r="C10" s="31" t="e">
        <f>'财务分析（2022）'!B64</f>
        <v>#N/A</v>
      </c>
      <c r="D10" s="31" t="e">
        <f>'财务分析（2022）'!C64</f>
        <v>#N/A</v>
      </c>
      <c r="E10" s="31" t="e">
        <f>'财务分析（2022）'!D64</f>
        <v>#N/A</v>
      </c>
      <c r="F10" s="31" t="e">
        <f>'财务分析（2022）'!E64</f>
        <v>#N/A</v>
      </c>
    </row>
  </sheetData>
  <customSheetViews>
    <customSheetView guid="{EFE5EB9F-962C-4232-9E60-22B2AE19D01B}">
      <selection activeCell="E33" sqref="E33"/>
      <pageMargins left="0.7" right="0.7" top="0.75" bottom="0.75" header="0.3" footer="0.3"/>
    </customSheetView>
  </customSheetViews>
  <phoneticPr fontId="37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14"/>
  <sheetViews>
    <sheetView workbookViewId="0">
      <selection sqref="A1:F10"/>
    </sheetView>
  </sheetViews>
  <sheetFormatPr defaultColWidth="9.140625" defaultRowHeight="12.75"/>
  <cols>
    <col min="1" max="2" width="20.7109375" customWidth="1"/>
    <col min="3" max="3" width="24.5703125" customWidth="1"/>
    <col min="4" max="4" width="23" customWidth="1"/>
    <col min="5" max="5" width="25.7109375" customWidth="1"/>
    <col min="6" max="6" width="24" customWidth="1"/>
    <col min="7" max="7" width="20.7109375" customWidth="1"/>
  </cols>
  <sheetData>
    <row r="1" spans="1:6" ht="14.25">
      <c r="A1" s="16"/>
      <c r="B1" s="17"/>
      <c r="C1" s="18">
        <f>'财务分析（2022）'!B3</f>
        <v>44957</v>
      </c>
      <c r="D1" s="19">
        <f>'财务分析（2022）'!C3</f>
        <v>44926</v>
      </c>
      <c r="E1" s="19">
        <f>'财务分析（2022）'!D3</f>
        <v>44561</v>
      </c>
      <c r="F1" s="19">
        <f>'财务分析（2022）'!E3</f>
        <v>44196</v>
      </c>
    </row>
    <row r="2" spans="1:6" ht="14.25">
      <c r="A2" s="20"/>
      <c r="B2" s="21" t="s">
        <v>182</v>
      </c>
      <c r="C2" s="22">
        <f>bs!J54+bs!J56+bs!J64+bs!J79+bs!J81</f>
        <v>0</v>
      </c>
      <c r="D2" s="22">
        <f>bs!I54+bs!I56+bs!I64+bs!I79+bs!I81</f>
        <v>0</v>
      </c>
      <c r="E2" s="23">
        <f>bs!G54+bs!G56+bs!G64+bs!G79+bs!G81</f>
        <v>0</v>
      </c>
      <c r="F2" s="23">
        <f>bs!F54+bs!F56+bs!F64+bs!F79+bs!F81</f>
        <v>0</v>
      </c>
    </row>
    <row r="3" spans="1:6" ht="30" customHeight="1">
      <c r="A3" s="158" t="s">
        <v>183</v>
      </c>
      <c r="B3" s="21" t="s">
        <v>184</v>
      </c>
      <c r="C3" s="22">
        <f>bs!J54+bs!J79</f>
        <v>0</v>
      </c>
      <c r="D3" s="22">
        <f>bs!I54+bs!I79</f>
        <v>0</v>
      </c>
      <c r="E3" s="22">
        <f>bs!G54+bs!G79</f>
        <v>0</v>
      </c>
      <c r="F3" s="23">
        <f>bs!F54+bs!F79</f>
        <v>0</v>
      </c>
    </row>
    <row r="4" spans="1:6" ht="14.25">
      <c r="A4" s="158"/>
      <c r="B4" s="21" t="s">
        <v>185</v>
      </c>
      <c r="C4" s="22">
        <f>bs!J81</f>
        <v>0</v>
      </c>
      <c r="D4" s="22">
        <f>bs!I64</f>
        <v>0</v>
      </c>
      <c r="E4" s="22">
        <f>bs!G64</f>
        <v>0</v>
      </c>
      <c r="F4" s="23">
        <f>bs!F64</f>
        <v>0</v>
      </c>
    </row>
    <row r="5" spans="1:6" ht="14.25">
      <c r="A5" s="158"/>
      <c r="B5" s="21" t="s">
        <v>186</v>
      </c>
      <c r="C5" s="22" t="s">
        <v>187</v>
      </c>
      <c r="D5" s="22" t="s">
        <v>187</v>
      </c>
      <c r="E5" s="22" t="s">
        <v>187</v>
      </c>
      <c r="F5" s="23" t="s">
        <v>187</v>
      </c>
    </row>
    <row r="6" spans="1:6" ht="14.25">
      <c r="A6" s="158"/>
      <c r="B6" s="21" t="s">
        <v>188</v>
      </c>
      <c r="C6" s="22" t="s">
        <v>187</v>
      </c>
      <c r="D6" s="22" t="s">
        <v>187</v>
      </c>
      <c r="E6" s="22" t="s">
        <v>187</v>
      </c>
      <c r="F6" s="23" t="s">
        <v>187</v>
      </c>
    </row>
    <row r="7" spans="1:6" ht="14.25">
      <c r="A7" s="158"/>
      <c r="B7" s="21" t="s">
        <v>189</v>
      </c>
      <c r="C7" s="22">
        <f>bs!J80</f>
        <v>0</v>
      </c>
      <c r="D7" s="22">
        <f>bs!I64</f>
        <v>0</v>
      </c>
      <c r="E7" s="22">
        <f>bs!G80</f>
        <v>0</v>
      </c>
      <c r="F7" s="23">
        <f>bs!F80</f>
        <v>0</v>
      </c>
    </row>
    <row r="8" spans="1:6" ht="30" customHeight="1">
      <c r="A8" s="158" t="s">
        <v>190</v>
      </c>
      <c r="B8" s="21" t="s">
        <v>191</v>
      </c>
      <c r="C8" s="22">
        <f>bs!J54+bs!J56+bs!J64</f>
        <v>0</v>
      </c>
      <c r="D8" s="22">
        <f>bs!I54+bs!I56+bs!I64</f>
        <v>0</v>
      </c>
      <c r="E8" s="22">
        <f>bs!G54+bs!G56+bs!G64</f>
        <v>0</v>
      </c>
      <c r="F8" s="23">
        <f>bs!F54+bs!F56+bs!F64</f>
        <v>0</v>
      </c>
    </row>
    <row r="9" spans="1:6" ht="14.25">
      <c r="A9" s="158"/>
      <c r="B9" s="24" t="s">
        <v>192</v>
      </c>
      <c r="C9" s="25">
        <f>bs!J79+bs!J80+bs!J85</f>
        <v>0</v>
      </c>
      <c r="D9" s="25">
        <f>bs!I79+bs!I80+bs!I85</f>
        <v>0</v>
      </c>
      <c r="E9" s="25">
        <f>bs!G79+bs!G80+bs!G85</f>
        <v>0</v>
      </c>
      <c r="F9" s="25">
        <f>bs!F79+bs!F80+bs!F85</f>
        <v>0</v>
      </c>
    </row>
    <row r="10" spans="1:6" ht="58.5" customHeight="1">
      <c r="A10" s="26" t="s">
        <v>193</v>
      </c>
      <c r="B10" s="157"/>
      <c r="C10" s="157"/>
      <c r="D10" s="157"/>
      <c r="E10" s="157"/>
      <c r="F10" s="157"/>
    </row>
    <row r="11" spans="1:6">
      <c r="A11" s="15" t="s">
        <v>194</v>
      </c>
      <c r="F11" t="s">
        <v>98</v>
      </c>
    </row>
    <row r="12" spans="1:6">
      <c r="A12" s="15" t="s">
        <v>195</v>
      </c>
    </row>
    <row r="13" spans="1:6">
      <c r="A13" s="15" t="s">
        <v>196</v>
      </c>
    </row>
    <row r="14" spans="1:6">
      <c r="A14" s="15" t="s">
        <v>197</v>
      </c>
    </row>
  </sheetData>
  <mergeCells count="3">
    <mergeCell ref="B10:F10"/>
    <mergeCell ref="A3:A7"/>
    <mergeCell ref="A8:A9"/>
  </mergeCells>
  <phoneticPr fontId="37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/>
  <dimension ref="A1:A3"/>
  <sheetViews>
    <sheetView workbookViewId="0">
      <selection activeCell="A4" sqref="A4"/>
    </sheetView>
  </sheetViews>
  <sheetFormatPr defaultColWidth="9" defaultRowHeight="12.75"/>
  <sheetData>
    <row r="1" spans="1:1">
      <c r="A1" s="15" t="s">
        <v>198</v>
      </c>
    </row>
    <row r="2" spans="1:1">
      <c r="A2" t="s">
        <v>199</v>
      </c>
    </row>
    <row r="3" spans="1:1">
      <c r="A3" t="s">
        <v>200</v>
      </c>
    </row>
  </sheetData>
  <customSheetViews>
    <customSheetView guid="{EFE5EB9F-962C-4232-9E60-22B2AE19D01B}">
      <selection activeCell="A2" sqref="A2"/>
      <pageMargins left="0.7" right="0.7" top="0.75" bottom="0.75" header="0.3" footer="0.3"/>
    </customSheetView>
  </customSheetViews>
  <phoneticPr fontId="37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>
    <tabColor indexed="13"/>
  </sheetPr>
  <dimension ref="A1:I8"/>
  <sheetViews>
    <sheetView workbookViewId="0">
      <selection activeCell="A3" sqref="A3"/>
    </sheetView>
  </sheetViews>
  <sheetFormatPr defaultColWidth="9" defaultRowHeight="12.75"/>
  <cols>
    <col min="1" max="1" width="18" customWidth="1"/>
    <col min="4" max="4" width="15.140625" customWidth="1"/>
    <col min="5" max="5" width="9.7109375" customWidth="1"/>
    <col min="8" max="8" width="10.28515625" customWidth="1"/>
  </cols>
  <sheetData>
    <row r="1" spans="1:9" ht="16.5">
      <c r="A1" s="11" t="s">
        <v>201</v>
      </c>
      <c r="B1" s="11" t="s">
        <v>202</v>
      </c>
      <c r="C1" s="11" t="s">
        <v>203</v>
      </c>
      <c r="D1" s="11" t="s">
        <v>204</v>
      </c>
    </row>
    <row r="2" spans="1:9" ht="16.5">
      <c r="A2" s="129" t="s">
        <v>216</v>
      </c>
      <c r="B2" s="12" t="str">
        <f>LEFT(A2,4)</f>
        <v>2023</v>
      </c>
      <c r="C2" s="12" t="str">
        <f>RIGHT(A2,2)</f>
        <v>.6</v>
      </c>
      <c r="D2" s="13" t="str">
        <f>TEXT(DATE(B2,C2+1,0),"e/m/d")</f>
        <v>2022/12/31</v>
      </c>
      <c r="E2" s="14" t="str">
        <f>B2&amp;B1&amp;C2&amp;C1</f>
        <v>2023年.6月</v>
      </c>
      <c r="F2">
        <f>$B$2-I2</f>
        <v>2022</v>
      </c>
      <c r="G2" t="s">
        <v>205</v>
      </c>
      <c r="H2" t="str">
        <f>F2&amp;$G$2</f>
        <v>2022/12/31</v>
      </c>
      <c r="I2">
        <v>1</v>
      </c>
    </row>
    <row r="3" spans="1:9">
      <c r="F3">
        <f t="shared" ref="F3:F8" si="0">$B$2-I3</f>
        <v>2021</v>
      </c>
      <c r="H3" t="str">
        <f t="shared" ref="H3:H8" si="1">F3&amp;$G$2</f>
        <v>2021/12/31</v>
      </c>
      <c r="I3">
        <v>2</v>
      </c>
    </row>
    <row r="4" spans="1:9">
      <c r="A4" s="14"/>
      <c r="F4">
        <f t="shared" si="0"/>
        <v>2020</v>
      </c>
      <c r="H4" t="str">
        <f t="shared" si="1"/>
        <v>2020/12/31</v>
      </c>
      <c r="I4">
        <v>3</v>
      </c>
    </row>
    <row r="5" spans="1:9">
      <c r="F5">
        <f t="shared" si="0"/>
        <v>2019</v>
      </c>
      <c r="H5" t="str">
        <f t="shared" si="1"/>
        <v>2019/12/31</v>
      </c>
      <c r="I5">
        <v>4</v>
      </c>
    </row>
    <row r="6" spans="1:9">
      <c r="F6">
        <f t="shared" si="0"/>
        <v>2018</v>
      </c>
      <c r="H6" t="str">
        <f t="shared" si="1"/>
        <v>2018/12/31</v>
      </c>
      <c r="I6">
        <v>5</v>
      </c>
    </row>
    <row r="7" spans="1:9">
      <c r="F7">
        <f t="shared" si="0"/>
        <v>2017</v>
      </c>
      <c r="H7" t="str">
        <f t="shared" si="1"/>
        <v>2017/12/31</v>
      </c>
      <c r="I7">
        <v>6</v>
      </c>
    </row>
    <row r="8" spans="1:9">
      <c r="F8">
        <f t="shared" si="0"/>
        <v>2016</v>
      </c>
      <c r="H8" t="str">
        <f t="shared" si="1"/>
        <v>2016/12/31</v>
      </c>
      <c r="I8">
        <v>7</v>
      </c>
    </row>
  </sheetData>
  <customSheetViews>
    <customSheetView guid="{EFE5EB9F-962C-4232-9E60-22B2AE19D01B}">
      <selection activeCell="H12" sqref="H12"/>
      <pageMargins left="0.7" right="0.7" top="0.75" bottom="0.75" header="0.3" footer="0.3"/>
    </customSheetView>
  </customSheetViews>
  <phoneticPr fontId="37" type="noConversion"/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F5"/>
  <sheetViews>
    <sheetView workbookViewId="0">
      <selection activeCell="C46" sqref="C46"/>
    </sheetView>
  </sheetViews>
  <sheetFormatPr defaultColWidth="9.140625" defaultRowHeight="12.75"/>
  <cols>
    <col min="1" max="1" width="5.28515625" customWidth="1"/>
    <col min="2" max="2" width="12.7109375" customWidth="1"/>
    <col min="3" max="3" width="19.140625" customWidth="1"/>
    <col min="4" max="4" width="14.7109375" customWidth="1"/>
    <col min="5" max="5" width="24.42578125" customWidth="1"/>
    <col min="6" max="6" width="4.7109375" customWidth="1"/>
  </cols>
  <sheetData>
    <row r="1" spans="1:6" ht="31.5">
      <c r="A1" s="1" t="s">
        <v>206</v>
      </c>
      <c r="B1" s="1" t="s">
        <v>207</v>
      </c>
      <c r="C1" s="2" t="s">
        <v>208</v>
      </c>
      <c r="D1" s="2" t="s">
        <v>209</v>
      </c>
      <c r="E1" s="2" t="s">
        <v>210</v>
      </c>
      <c r="F1" s="2" t="s">
        <v>211</v>
      </c>
    </row>
    <row r="2" spans="1:6" ht="17.25">
      <c r="A2" s="3">
        <v>1</v>
      </c>
      <c r="B2" s="4">
        <v>43390</v>
      </c>
      <c r="C2" s="5">
        <v>32122018001458</v>
      </c>
      <c r="D2" s="6">
        <v>2220.45408</v>
      </c>
      <c r="E2" s="3" t="s">
        <v>212</v>
      </c>
      <c r="F2" s="3" t="s">
        <v>213</v>
      </c>
    </row>
    <row r="3" spans="1:6" ht="17.25">
      <c r="A3" s="3">
        <v>2</v>
      </c>
      <c r="B3" s="4">
        <v>43908</v>
      </c>
      <c r="C3" s="7">
        <v>32012020022721</v>
      </c>
      <c r="D3" s="6">
        <v>21140.231299999999</v>
      </c>
      <c r="E3" s="3" t="s">
        <v>214</v>
      </c>
      <c r="F3" s="3" t="s">
        <v>213</v>
      </c>
    </row>
    <row r="4" spans="1:6" ht="17.25">
      <c r="A4" s="3">
        <v>3</v>
      </c>
      <c r="B4" s="4">
        <v>43390</v>
      </c>
      <c r="C4" s="7">
        <v>32122018001459</v>
      </c>
      <c r="D4" s="6">
        <v>1126.7424000000001</v>
      </c>
      <c r="E4" s="3" t="s">
        <v>215</v>
      </c>
      <c r="F4" s="3" t="s">
        <v>213</v>
      </c>
    </row>
    <row r="5" spans="1:6">
      <c r="A5" s="8" t="s">
        <v>174</v>
      </c>
      <c r="B5" s="9"/>
      <c r="C5" s="9"/>
      <c r="D5" s="10">
        <f>SUM(D2:D4)</f>
        <v>24487.427779999998</v>
      </c>
      <c r="E5" s="9"/>
      <c r="F5" s="9"/>
    </row>
  </sheetData>
  <phoneticPr fontId="37" type="noConversion"/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bs</vt:lpstr>
      <vt:lpstr>pl</vt:lpstr>
      <vt:lpstr>cf</vt:lpstr>
      <vt:lpstr>财务分析（2022）</vt:lpstr>
      <vt:lpstr>财务分析-万位</vt:lpstr>
      <vt:lpstr>资产负债权益结构分析</vt:lpstr>
      <vt:lpstr>现金流分析表</vt:lpstr>
      <vt:lpstr>财务对比分析表</vt:lpstr>
      <vt:lpstr>财务变化表</vt:lpstr>
      <vt:lpstr>刚性负债情况</vt:lpstr>
      <vt:lpstr>版本更新说明</vt:lpstr>
      <vt:lpstr>初始设置</vt:lpstr>
      <vt:lpstr>Sheet1</vt:lpstr>
      <vt:lpstr>'财务分析（2022）'!Print_Area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报表模板</dc:title>
  <dc:creator>徐晓冬</dc:creator>
  <cp:lastModifiedBy>David Richardson</cp:lastModifiedBy>
  <dcterms:created xsi:type="dcterms:W3CDTF">2012-10-09T05:54:00Z</dcterms:created>
  <dcterms:modified xsi:type="dcterms:W3CDTF">2023-09-11T08:41:29Z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2052-11.8.2.10972</vt:lpwstr>
  </property>
  <property fmtid="{D5CDD505-2E9C-101B-9397-08002B2CF9AE}" pid="3" name="ICV">
    <vt:lpwstr>0FE24BD227674B049EAD84E1420D757A</vt:lpwstr>
  </property>
</Properties>
</file>