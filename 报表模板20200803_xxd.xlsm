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20" tabRatio="885" activeTab="2"/>
  </bookViews>
  <sheets>
    <sheet name="bs" sheetId="4" r:id="rId1"/>
    <sheet name="pl" sheetId="9" r:id="rId2"/>
    <sheet name="cf" sheetId="13" r:id="rId3"/>
    <sheet name="财务分析-万位" sheetId="8" r:id="rId4"/>
    <sheet name="现金流分析表" sheetId="19" r:id="rId5"/>
    <sheet name="财务对比分析表" sheetId="20" r:id="rId6"/>
    <sheet name="财务变化表" sheetId="21" r:id="rId7"/>
    <sheet name="资产负债权益结构分析" sheetId="22" r:id="rId8"/>
    <sheet name="版本更新说明" sheetId="24" r:id="rId9"/>
    <sheet name="初始设置" sheetId="23" r:id="rId10"/>
  </sheets>
  <definedNames>
    <definedName name="_xlnm._FilterDatabase" localSheetId="0" hidden="1">bs!$A$1:$H$69</definedName>
    <definedName name="_xlnm._FilterDatabase" localSheetId="1" hidden="1">pl!$A$1:$H$43</definedName>
    <definedName name="_xlnm._FilterDatabase" localSheetId="2" hidden="1">cf!$A$1:$G$39</definedName>
  </definedNames>
  <calcPr calcId="144525"/>
  <customWorkbookViews>
    <customWorkbookView name="显示全部视图" guid="{EFE5EB9F-962C-4232-9E60-22B2AE19D01B}" maximized="1" xWindow="-8" yWindow="-8" windowWidth="1456" windowHeight="876" activeSheetId="4"/>
  </customWorkbookViews>
</workbook>
</file>

<file path=xl/sharedStrings.xml><?xml version="1.0" encoding="utf-8"?>
<sst xmlns="http://schemas.openxmlformats.org/spreadsheetml/2006/main" count="505" uniqueCount="366">
  <si>
    <t>项目编号</t>
  </si>
  <si>
    <t>项目名称（元）</t>
  </si>
  <si>
    <t>年初数</t>
  </si>
  <si>
    <t>40001</t>
  </si>
  <si>
    <t>货币资金</t>
  </si>
  <si>
    <t>40002</t>
  </si>
  <si>
    <t>交易性金融资产</t>
  </si>
  <si>
    <t>40003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</si>
  <si>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</si>
  <si>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</si>
  <si>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</si>
  <si>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</si>
  <si>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</si>
  <si>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</si>
  <si>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</si>
  <si>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</si>
  <si>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</si>
  <si>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</si>
  <si>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</si>
  <si>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</si>
  <si>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</si>
  <si>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</si>
  <si>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</si>
  <si>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</si>
  <si>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</si>
  <si>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</si>
  <si>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</si>
  <si>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</si>
  <si>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</si>
  <si>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</si>
  <si>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</si>
  <si>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</si>
  <si>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</si>
  <si>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</si>
  <si>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</si>
  <si>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</si>
  <si>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</si>
  <si>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</si>
  <si>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</si>
  <si>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</si>
  <si>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</si>
  <si>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</si>
  <si>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</si>
  <si>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</si>
  <si>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</si>
  <si>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</si>
  <si>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</si>
  <si>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</si>
  <si>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</si>
  <si>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</si>
  <si>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</si>
  <si>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</si>
  <si>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</si>
  <si>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</si>
  <si>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</si>
  <si>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</si>
  <si>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</si>
  <si>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</si>
  <si>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</si>
  <si>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</si>
  <si>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</si>
  <si>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</si>
  <si>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</si>
  <si>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</si>
  <si>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</si>
  <si>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</si>
  <si>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</si>
  <si>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</si>
  <si>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</si>
  <si>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</si>
  <si>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</si>
  <si>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</si>
  <si>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</si>
  <si>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</si>
  <si>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</si>
  <si>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</si>
  <si>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</si>
  <si>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</si>
  <si>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</si>
  <si>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</si>
  <si>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</si>
  <si>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</si>
  <si>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</si>
  <si>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</si>
  <si>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</si>
  <si>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</si>
  <si>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</si>
  <si>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</si>
  <si>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</si>
  <si>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</si>
  <si>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</si>
  <si>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</si>
  <si>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</si>
  <si>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</si>
  <si>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</si>
  <si>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</si>
  <si>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</si>
  <si>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</si>
  <si>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</si>
  <si>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</si>
  <si>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</si>
  <si>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</si>
  <si>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</si>
  <si>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</si>
  <si>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</si>
  <si>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</si>
  <si>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预计负债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</si>
  <si>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</si>
  <si>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</si>
  <si>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</si>
  <si>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</si>
  <si>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</si>
  <si>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</si>
  <si>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</si>
  <si>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</si>
  <si>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</si>
  <si>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</si>
  <si>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</si>
  <si>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</si>
  <si>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</si>
  <si>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</si>
  <si>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专项储备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</si>
  <si>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</si>
  <si>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</si>
  <si>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</si>
  <si>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</si>
  <si>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</si>
  <si>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</si>
  <si>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</si>
  <si>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</si>
  <si>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</si>
  <si>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少数股东权益</t>
  </si>
  <si>
    <t>40062</t>
  </si>
  <si>
    <t>所有者权益合计</t>
  </si>
  <si>
    <t>40063</t>
  </si>
  <si>
    <t>负债及股东权益总计</t>
  </si>
  <si>
    <t>本月数</t>
  </si>
  <si>
    <t>40064</t>
  </si>
  <si>
    <t>营业收入</t>
  </si>
  <si>
    <t>400640</t>
  </si>
  <si>
    <t>主营业务收入</t>
  </si>
  <si>
    <t>400641</t>
  </si>
  <si>
    <t>其他业务收入</t>
  </si>
  <si>
    <t>40065</t>
  </si>
  <si>
    <t>营业成本</t>
  </si>
  <si>
    <t>400650</t>
  </si>
  <si>
    <t>主营业务成本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</si>
  <si>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</si>
  <si>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</si>
  <si>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</si>
  <si>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</si>
  <si>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</si>
  <si>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</si>
  <si>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</si>
  <si>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管理费用</t>
  </si>
  <si>
    <t>40069</t>
  </si>
  <si>
    <t>财务费用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</si>
  <si>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</si>
  <si>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</si>
  <si>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</si>
  <si>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</si>
  <si>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</si>
  <si>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</si>
  <si>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</si>
  <si>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营业利润</t>
  </si>
  <si>
    <t>40074</t>
  </si>
  <si>
    <t>营业外收入</t>
  </si>
  <si>
    <t>40075</t>
  </si>
  <si>
    <t>营业外支出</t>
  </si>
  <si>
    <t>40076</t>
  </si>
  <si>
    <t>利润总额</t>
  </si>
  <si>
    <t>40077</t>
  </si>
  <si>
    <t>所得税费用</t>
  </si>
  <si>
    <t>40078</t>
  </si>
  <si>
    <t>净利润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</si>
  <si>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</si>
  <si>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</si>
  <si>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</si>
  <si>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</si>
  <si>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</si>
  <si>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</si>
  <si>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</si>
  <si>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</si>
  <si>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</si>
  <si>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</si>
  <si>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</si>
  <si>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</si>
  <si>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</si>
  <si>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</si>
  <si>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</si>
  <si>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</si>
  <si>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</si>
  <si>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</si>
  <si>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</si>
  <si>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</si>
  <si>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</si>
  <si>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</si>
  <si>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</si>
  <si>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</si>
  <si>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</si>
  <si>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</si>
  <si>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</si>
  <si>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</si>
  <si>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</si>
  <si>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</si>
  <si>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</si>
  <si>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</si>
  <si>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</si>
  <si>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</si>
  <si>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</si>
  <si>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</si>
  <si>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</si>
  <si>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</si>
  <si>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</si>
  <si>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</si>
  <si>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</si>
  <si>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</si>
  <si>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</si>
  <si>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</si>
  <si>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</si>
  <si>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</si>
  <si>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</si>
  <si>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</si>
  <si>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</si>
  <si>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</si>
  <si>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</si>
  <si>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</si>
  <si>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</si>
  <si>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</si>
  <si>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</si>
  <si>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</si>
  <si>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</si>
  <si>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</si>
  <si>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</si>
  <si>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</si>
  <si>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</si>
  <si>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</si>
  <si>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</si>
  <si>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</si>
  <si>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</si>
  <si>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</si>
  <si>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</si>
  <si>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</si>
  <si>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</si>
  <si>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</si>
  <si>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</si>
  <si>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</si>
  <si>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</si>
  <si>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</si>
  <si>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</si>
  <si>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</si>
  <si>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</si>
  <si>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</si>
  <si>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</si>
  <si>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</si>
  <si>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</si>
  <si>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</si>
  <si>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</si>
  <si>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</si>
  <si>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</si>
  <si>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</si>
  <si>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</si>
  <si>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</si>
  <si>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</si>
  <si>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</si>
  <si>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</si>
  <si>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</si>
  <si>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 xml:space="preserve"> 投资活动产生的现金流量净额</t>
  </si>
  <si>
    <t>40123</t>
  </si>
  <si>
    <t>三、筹资活动产生的现金流量：</t>
  </si>
  <si>
    <t>40124</t>
  </si>
  <si>
    <t>吸收投资所收到的现金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</si>
  <si>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</si>
  <si>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</si>
  <si>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</si>
  <si>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</si>
  <si>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</si>
  <si>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</si>
  <si>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</si>
  <si>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</si>
  <si>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</si>
  <si>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</si>
  <si>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</si>
  <si>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</si>
  <si>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</si>
  <si>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</si>
  <si>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</si>
  <si>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</si>
  <si>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</si>
  <si>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</si>
  <si>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</si>
  <si>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</si>
  <si>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</si>
  <si>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</si>
  <si>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</si>
  <si>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</si>
  <si>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>项目</t>
  </si>
  <si>
    <t>存货净额</t>
  </si>
  <si>
    <t>应收账款净额</t>
  </si>
  <si>
    <t>流动资产</t>
  </si>
  <si>
    <t>单位：万元</t>
  </si>
  <si>
    <t>总资产</t>
  </si>
  <si>
    <t>流动负债</t>
  </si>
  <si>
    <t>长期负债</t>
  </si>
  <si>
    <t>总负债</t>
  </si>
  <si>
    <t>股东权益</t>
  </si>
  <si>
    <t>营业费用</t>
  </si>
  <si>
    <t>筹资性现金流净流量</t>
  </si>
  <si>
    <t>经营性现金流净流量</t>
  </si>
  <si>
    <t>偿债能力分析</t>
  </si>
  <si>
    <t>流动比率</t>
  </si>
  <si>
    <t>速动比率</t>
  </si>
  <si>
    <t>股东权益比(%)</t>
  </si>
  <si>
    <t>资产负债率(%)</t>
  </si>
  <si>
    <t>流动负债率(%)</t>
  </si>
  <si>
    <t>EBITDA利息倍数</t>
  </si>
  <si>
    <t>经营效率分析</t>
  </si>
  <si>
    <t>存货周转率(倍)</t>
  </si>
  <si>
    <t>总资产周转率(倍)</t>
  </si>
  <si>
    <t>应收帐款周转率(倍)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</si>
  <si>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</si>
  <si>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</si>
  <si>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</si>
  <si>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</si>
  <si>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</si>
  <si>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</si>
  <si>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经营毛利率(%)</t>
  </si>
  <si>
    <t>资产利润率(%)</t>
  </si>
  <si>
    <t>资产净利润率(%)</t>
  </si>
  <si>
    <t>净资产收益率(%)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</si>
  <si>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</si>
  <si>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</si>
  <si>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</si>
  <si>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</si>
  <si>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</si>
  <si>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</si>
  <si>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</si>
  <si>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财务结构分析</t>
  </si>
  <si>
    <t>长期负债资产比(%)</t>
  </si>
  <si>
    <t>现金流量分析</t>
  </si>
  <si>
    <t>经营活动现金流量与净利润比例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</si>
  <si>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</si>
  <si>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</si>
  <si>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</si>
  <si>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</si>
  <si>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</si>
  <si>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</si>
  <si>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</si>
  <si>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</si>
  <si>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</si>
  <si>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金额</t>
  </si>
  <si>
    <t>销售商品收到的现金</t>
  </si>
  <si>
    <t>经营性现金净流量</t>
  </si>
  <si>
    <t>盈利现金比</t>
  </si>
  <si>
    <t>科目</t>
  </si>
  <si>
    <t>净资产</t>
  </si>
  <si>
    <t>资产负债率</t>
  </si>
  <si>
    <t>筹资性现金净流量</t>
  </si>
  <si>
    <t>占比</t>
  </si>
  <si>
    <t>更新报表可以制作动态报表</t>
  </si>
  <si>
    <t>最新一期报表的时间</t>
  </si>
  <si>
    <t>年</t>
  </si>
  <si>
    <t>月</t>
  </si>
  <si>
    <t>日期</t>
  </si>
  <si>
    <t>2021.10</t>
  </si>
  <si>
    <t>/12/31</t>
  </si>
</sst>
</file>

<file path=xl/styles.xml><?xml version="1.0" encoding="utf-8"?>
<styleSheet xmlns="http://schemas.openxmlformats.org/spreadsheetml/2006/main">
  <numFmts count="10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yyyy&quot;年&quot;m&quot;月&quot;;@"/>
    <numFmt numFmtId="41" formatCode="_ * #,##0_ ;_ * \-#,##0_ ;_ * &quot;-&quot;_ ;_ @_ "/>
    <numFmt numFmtId="177" formatCode="_(* #,##0.00_);_(* \(#,##0.00\);_(* &quot;-&quot;??_);_(@_)"/>
    <numFmt numFmtId="178" formatCode="#,##0.00_ "/>
    <numFmt numFmtId="179" formatCode="#,##0_ "/>
    <numFmt numFmtId="180" formatCode="0.00_ "/>
    <numFmt numFmtId="181" formatCode="yyyy/m/d;@"/>
    <numFmt numFmtId="182" formatCode="#,##0.00_);[Red]\(#,##0.00\)"/>
  </numFmts>
  <fonts count="51">
    <font>
      <sz val="10"/>
      <name val="Arial"/>
      <charset val="134"/>
    </font>
    <font>
      <sz val="10"/>
      <name val="微软雅黑"/>
      <charset val="134"/>
    </font>
    <font>
      <sz val="10"/>
      <name val="宋体"/>
      <charset val="134"/>
    </font>
    <font>
      <sz val="10"/>
      <name val="仿宋_GB2312"/>
      <charset val="134"/>
    </font>
    <font>
      <b/>
      <sz val="10"/>
      <name val="仿宋_GB2312"/>
      <charset val="134"/>
    </font>
    <font>
      <sz val="10"/>
      <name val="Times New Roman"/>
      <charset val="134"/>
    </font>
    <font>
      <sz val="9"/>
      <color indexed="8"/>
      <name val="仿宋_GB2312"/>
      <charset val="134"/>
    </font>
    <font>
      <b/>
      <sz val="9"/>
      <color indexed="8"/>
      <name val="仿宋_GB2312"/>
      <charset val="134"/>
    </font>
    <font>
      <b/>
      <sz val="10"/>
      <name val="Times New Roman"/>
      <charset val="134"/>
    </font>
    <font>
      <sz val="10"/>
      <color rgb="FFFF0000"/>
      <name val="宋体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sz val="9"/>
      <color indexed="8"/>
      <name val="Dialog.plain"/>
      <charset val="134"/>
    </font>
    <font>
      <b/>
      <sz val="10"/>
      <name val="Arial"/>
      <charset val="134"/>
    </font>
    <font>
      <b/>
      <sz val="9"/>
      <color indexed="8"/>
      <name val="Dialog.plain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b/>
      <sz val="15"/>
      <color indexed="56"/>
      <name val="宋体"/>
      <charset val="134"/>
    </font>
    <font>
      <i/>
      <sz val="11"/>
      <color indexed="23"/>
      <name val="宋体"/>
      <charset val="134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indexed="60"/>
      <name val="宋体"/>
      <charset val="134"/>
    </font>
    <font>
      <b/>
      <sz val="11"/>
      <color indexed="9"/>
      <name val="宋体"/>
      <charset val="134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b/>
      <sz val="11"/>
      <color indexed="56"/>
      <name val="宋体"/>
      <charset val="134"/>
    </font>
    <font>
      <sz val="11"/>
      <color theme="1"/>
      <name val="宋体"/>
      <charset val="0"/>
      <scheme val="minor"/>
    </font>
    <font>
      <b/>
      <sz val="11"/>
      <color indexed="8"/>
      <name val="宋体"/>
      <charset val="134"/>
    </font>
    <font>
      <sz val="11"/>
      <color indexed="62"/>
      <name val="宋体"/>
      <charset val="134"/>
    </font>
    <font>
      <b/>
      <sz val="11"/>
      <color indexed="52"/>
      <name val="宋体"/>
      <charset val="134"/>
    </font>
    <font>
      <b/>
      <sz val="13"/>
      <color indexed="56"/>
      <name val="宋体"/>
      <charset val="134"/>
    </font>
    <font>
      <b/>
      <sz val="18"/>
      <color indexed="56"/>
      <name val="宋体"/>
      <charset val="134"/>
    </font>
    <font>
      <u/>
      <sz val="11"/>
      <color rgb="FF800080"/>
      <name val="宋体"/>
      <charset val="0"/>
      <scheme val="minor"/>
    </font>
    <font>
      <sz val="11"/>
      <color indexed="10"/>
      <name val="宋体"/>
      <charset val="134"/>
    </font>
    <font>
      <sz val="11"/>
      <color indexed="52"/>
      <name val="宋体"/>
      <charset val="134"/>
    </font>
    <font>
      <b/>
      <sz val="11"/>
      <color indexed="63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theme="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50">
    <xf numFmtId="0" fontId="0" fillId="0" borderId="0"/>
    <xf numFmtId="42" fontId="31" fillId="0" borderId="0" applyFont="0" applyFill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3" fillId="19" borderId="15" applyNumberFormat="0" applyAlignment="0" applyProtection="0">
      <alignment vertical="center"/>
    </xf>
    <xf numFmtId="44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/>
    <xf numFmtId="0" fontId="3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47" fillId="0" borderId="0" applyNumberFormat="0" applyFill="0" applyBorder="0" applyAlignment="0" applyProtection="0">
      <alignment vertical="center"/>
    </xf>
    <xf numFmtId="0" fontId="20" fillId="24" borderId="17" applyNumberFormat="0" applyFont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2" fillId="0" borderId="12" applyNumberFormat="0" applyFill="0" applyAlignment="0" applyProtection="0">
      <alignment vertical="center"/>
    </xf>
    <xf numFmtId="0" fontId="45" fillId="0" borderId="16" applyNumberFormat="0" applyFill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50" fillId="21" borderId="20" applyNumberFormat="0" applyAlignment="0" applyProtection="0">
      <alignment vertical="center"/>
    </xf>
    <xf numFmtId="0" fontId="44" fillId="21" borderId="15" applyNumberFormat="0" applyAlignment="0" applyProtection="0">
      <alignment vertical="center"/>
    </xf>
    <xf numFmtId="0" fontId="37" fillId="14" borderId="13" applyNumberFormat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49" fillId="0" borderId="19" applyNumberFormat="0" applyFill="0" applyAlignment="0" applyProtection="0">
      <alignment vertical="center"/>
    </xf>
    <xf numFmtId="0" fontId="42" fillId="0" borderId="14" applyNumberFormat="0" applyFill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41" fillId="8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20" fillId="0" borderId="0">
      <alignment vertical="center"/>
    </xf>
  </cellStyleXfs>
  <cellXfs count="103">
    <xf numFmtId="0" fontId="0" fillId="0" borderId="0" xfId="0"/>
    <xf numFmtId="0" fontId="1" fillId="2" borderId="0" xfId="0" applyFont="1" applyFill="1"/>
    <xf numFmtId="49" fontId="1" fillId="0" borderId="0" xfId="0" applyNumberFormat="1" applyFont="1"/>
    <xf numFmtId="0" fontId="0" fillId="2" borderId="0" xfId="0" applyFill="1"/>
    <xf numFmtId="14" fontId="0" fillId="2" borderId="0" xfId="0" applyNumberFormat="1" applyFill="1"/>
    <xf numFmtId="14" fontId="0" fillId="0" borderId="0" xfId="0" applyNumberForma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10" fontId="5" fillId="0" borderId="1" xfId="11" applyNumberFormat="1" applyFont="1" applyBorder="1" applyAlignment="1">
      <alignment horizontal="center" vertical="center"/>
    </xf>
    <xf numFmtId="178" fontId="5" fillId="0" borderId="1" xfId="8" applyNumberFormat="1" applyFont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178" fontId="8" fillId="0" borderId="1" xfId="0" applyNumberFormat="1" applyFont="1" applyBorder="1" applyAlignment="1">
      <alignment horizontal="center" vertical="center"/>
    </xf>
    <xf numFmtId="10" fontId="8" fillId="0" borderId="1" xfId="11" applyNumberFormat="1" applyFont="1" applyBorder="1" applyAlignment="1">
      <alignment horizontal="center" vertical="center"/>
    </xf>
    <xf numFmtId="178" fontId="8" fillId="0" borderId="1" xfId="8" applyNumberFormat="1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10" fontId="0" fillId="0" borderId="0" xfId="1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14" fontId="11" fillId="0" borderId="5" xfId="0" applyNumberFormat="1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3" fontId="13" fillId="0" borderId="7" xfId="0" applyNumberFormat="1" applyFont="1" applyBorder="1" applyAlignment="1">
      <alignment horizontal="center" vertical="center" wrapText="1"/>
    </xf>
    <xf numFmtId="10" fontId="14" fillId="0" borderId="7" xfId="0" applyNumberFormat="1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57" fontId="0" fillId="0" borderId="0" xfId="0" applyNumberFormat="1" applyBorder="1" applyAlignment="1">
      <alignment horizontal="center"/>
    </xf>
    <xf numFmtId="57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5" fillId="4" borderId="1" xfId="0" applyFont="1" applyFill="1" applyBorder="1" applyAlignment="1">
      <alignment horizontal="center" vertical="center" wrapText="1"/>
    </xf>
    <xf numFmtId="57" fontId="15" fillId="4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77" fontId="0" fillId="0" borderId="0" xfId="8" applyFont="1" applyAlignment="1">
      <alignment horizontal="center"/>
    </xf>
    <xf numFmtId="0" fontId="16" fillId="0" borderId="1" xfId="0" applyFont="1" applyBorder="1" applyAlignment="1">
      <alignment horizontal="center" wrapText="1"/>
    </xf>
    <xf numFmtId="178" fontId="17" fillId="0" borderId="1" xfId="8" applyNumberFormat="1" applyFont="1" applyBorder="1" applyAlignment="1">
      <alignment horizontal="right"/>
    </xf>
    <xf numFmtId="177" fontId="0" fillId="0" borderId="0" xfId="8" applyFont="1" applyAlignment="1">
      <alignment horizontal="center" vertical="center"/>
    </xf>
    <xf numFmtId="0" fontId="16" fillId="0" borderId="1" xfId="0" applyFont="1" applyFill="1" applyBorder="1" applyAlignment="1">
      <alignment horizontal="center" wrapText="1"/>
    </xf>
    <xf numFmtId="0" fontId="18" fillId="0" borderId="0" xfId="0" applyFont="1" applyBorder="1" applyAlignment="1">
      <alignment horizontal="center"/>
    </xf>
    <xf numFmtId="57" fontId="0" fillId="0" borderId="0" xfId="0" applyNumberFormat="1" applyBorder="1"/>
    <xf numFmtId="176" fontId="0" fillId="0" borderId="0" xfId="0" applyNumberFormat="1"/>
    <xf numFmtId="0" fontId="19" fillId="5" borderId="1" xfId="0" applyFont="1" applyFill="1" applyBorder="1" applyAlignment="1">
      <alignment horizontal="center" vertical="center"/>
    </xf>
    <xf numFmtId="57" fontId="12" fillId="5" borderId="1" xfId="0" applyNumberFormat="1" applyFont="1" applyFill="1" applyBorder="1" applyAlignment="1">
      <alignment horizontal="center" vertical="center"/>
    </xf>
    <xf numFmtId="177" fontId="0" fillId="6" borderId="0" xfId="8" applyFont="1" applyFill="1" applyBorder="1" applyAlignment="1"/>
    <xf numFmtId="0" fontId="19" fillId="0" borderId="1" xfId="0" applyFont="1" applyBorder="1" applyAlignment="1">
      <alignment horizontal="center" vertical="center"/>
    </xf>
    <xf numFmtId="179" fontId="14" fillId="0" borderId="1" xfId="8" applyNumberFormat="1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77" fontId="0" fillId="0" borderId="0" xfId="8" applyFont="1" applyBorder="1" applyAlignment="1"/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176" fontId="12" fillId="5" borderId="1" xfId="0" applyNumberFormat="1" applyFont="1" applyFill="1" applyBorder="1" applyAlignment="1">
      <alignment horizontal="center" vertical="center"/>
    </xf>
    <xf numFmtId="0" fontId="20" fillId="0" borderId="0" xfId="49">
      <alignment vertical="center"/>
    </xf>
    <xf numFmtId="0" fontId="20" fillId="0" borderId="0" xfId="49" applyFont="1" applyAlignment="1">
      <alignment horizontal="center" vertical="center"/>
    </xf>
    <xf numFmtId="0" fontId="20" fillId="0" borderId="0" xfId="49" applyFill="1" applyAlignment="1">
      <alignment horizontal="center" vertical="center"/>
    </xf>
    <xf numFmtId="0" fontId="20" fillId="0" borderId="0" xfId="49" applyAlignment="1">
      <alignment horizontal="center" vertical="center"/>
    </xf>
    <xf numFmtId="0" fontId="21" fillId="5" borderId="1" xfId="49" applyFont="1" applyFill="1" applyBorder="1" applyAlignment="1">
      <alignment horizontal="center" wrapText="1"/>
    </xf>
    <xf numFmtId="14" fontId="22" fillId="7" borderId="1" xfId="49" applyNumberFormat="1" applyFont="1" applyFill="1" applyBorder="1" applyAlignment="1">
      <alignment horizontal="center" wrapText="1"/>
    </xf>
    <xf numFmtId="14" fontId="22" fillId="7" borderId="1" xfId="49" applyNumberFormat="1" applyFont="1" applyFill="1" applyBorder="1" applyAlignment="1">
      <alignment horizontal="center"/>
    </xf>
    <xf numFmtId="0" fontId="21" fillId="0" borderId="1" xfId="49" applyFont="1" applyBorder="1" applyAlignment="1">
      <alignment horizontal="center" wrapText="1"/>
    </xf>
    <xf numFmtId="3" fontId="23" fillId="0" borderId="1" xfId="49" applyNumberFormat="1" applyFont="1" applyBorder="1" applyAlignment="1">
      <alignment horizontal="center" wrapText="1"/>
    </xf>
    <xf numFmtId="0" fontId="24" fillId="8" borderId="0" xfId="49" applyFont="1" applyFill="1">
      <alignment vertical="center"/>
    </xf>
    <xf numFmtId="0" fontId="25" fillId="0" borderId="0" xfId="49" applyFont="1" applyBorder="1" applyAlignment="1">
      <alignment horizontal="center" wrapText="1"/>
    </xf>
    <xf numFmtId="0" fontId="20" fillId="0" borderId="0" xfId="49" applyBorder="1">
      <alignment vertical="center"/>
    </xf>
    <xf numFmtId="0" fontId="21" fillId="0" borderId="8" xfId="49" applyFont="1" applyBorder="1" applyAlignment="1">
      <alignment horizontal="center"/>
    </xf>
    <xf numFmtId="0" fontId="21" fillId="0" borderId="9" xfId="49" applyFont="1" applyBorder="1" applyAlignment="1">
      <alignment horizontal="center"/>
    </xf>
    <xf numFmtId="180" fontId="26" fillId="0" borderId="1" xfId="49" applyNumberFormat="1" applyFont="1" applyBorder="1" applyAlignment="1">
      <alignment horizontal="center" wrapText="1"/>
    </xf>
    <xf numFmtId="10" fontId="26" fillId="0" borderId="1" xfId="11" applyNumberFormat="1" applyFont="1" applyBorder="1" applyAlignment="1">
      <alignment horizontal="center" wrapText="1"/>
    </xf>
    <xf numFmtId="10" fontId="26" fillId="0" borderId="1" xfId="11" applyNumberFormat="1" applyFont="1" applyFill="1" applyBorder="1" applyAlignment="1">
      <alignment horizontal="center" wrapText="1"/>
    </xf>
    <xf numFmtId="10" fontId="26" fillId="0" borderId="1" xfId="49" applyNumberFormat="1" applyFont="1" applyBorder="1" applyAlignment="1">
      <alignment horizontal="center" wrapText="1"/>
    </xf>
    <xf numFmtId="0" fontId="21" fillId="0" borderId="2" xfId="49" applyFont="1" applyBorder="1" applyAlignment="1">
      <alignment horizontal="center" wrapText="1"/>
    </xf>
    <xf numFmtId="0" fontId="21" fillId="0" borderId="10" xfId="49" applyFont="1" applyBorder="1" applyAlignment="1">
      <alignment horizontal="center" wrapText="1"/>
    </xf>
    <xf numFmtId="10" fontId="26" fillId="0" borderId="1" xfId="49" applyNumberFormat="1" applyFont="1" applyFill="1" applyBorder="1" applyAlignment="1">
      <alignment horizontal="center" wrapText="1"/>
    </xf>
    <xf numFmtId="0" fontId="21" fillId="0" borderId="9" xfId="49" applyFont="1" applyBorder="1" applyAlignment="1">
      <alignment horizontal="center" wrapText="1"/>
    </xf>
    <xf numFmtId="0" fontId="21" fillId="5" borderId="11" xfId="49" applyFont="1" applyFill="1" applyBorder="1" applyAlignment="1">
      <alignment horizontal="center" wrapText="1"/>
    </xf>
    <xf numFmtId="14" fontId="22" fillId="7" borderId="11" xfId="49" applyNumberFormat="1" applyFont="1" applyFill="1" applyBorder="1" applyAlignment="1">
      <alignment horizontal="center" wrapText="1"/>
    </xf>
    <xf numFmtId="0" fontId="27" fillId="9" borderId="0" xfId="0" applyFont="1" applyFill="1" applyAlignment="1" applyProtection="1">
      <alignment horizontal="center" vertical="center"/>
    </xf>
    <xf numFmtId="14" fontId="27" fillId="9" borderId="0" xfId="0" applyNumberFormat="1" applyFont="1" applyFill="1" applyAlignment="1" applyProtection="1">
      <alignment horizontal="center" vertical="center"/>
    </xf>
    <xf numFmtId="181" fontId="27" fillId="9" borderId="0" xfId="0" applyNumberFormat="1" applyFont="1" applyFill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4" fontId="27" fillId="0" borderId="0" xfId="0" applyNumberFormat="1" applyFont="1" applyAlignment="1" applyProtection="1">
      <alignment horizontal="right" vertical="center"/>
    </xf>
    <xf numFmtId="4" fontId="27" fillId="0" borderId="0" xfId="0" applyNumberFormat="1" applyFont="1" applyAlignment="1" applyProtection="1">
      <alignment horizontal="right" vertical="center"/>
      <protection locked="0"/>
    </xf>
    <xf numFmtId="4" fontId="27" fillId="6" borderId="0" xfId="0" applyNumberFormat="1" applyFont="1" applyFill="1" applyAlignment="1" applyProtection="1">
      <alignment horizontal="right" vertical="center"/>
      <protection locked="0"/>
    </xf>
    <xf numFmtId="182" fontId="0" fillId="0" borderId="0" xfId="0" applyNumberFormat="1"/>
    <xf numFmtId="182" fontId="27" fillId="6" borderId="0" xfId="0" applyNumberFormat="1" applyFont="1" applyFill="1" applyAlignment="1" applyProtection="1">
      <alignment horizontal="right" vertical="center"/>
      <protection locked="0"/>
    </xf>
    <xf numFmtId="182" fontId="27" fillId="0" borderId="0" xfId="0" applyNumberFormat="1" applyFont="1" applyAlignment="1" applyProtection="1">
      <alignment horizontal="right" vertical="center"/>
      <protection locked="0"/>
    </xf>
    <xf numFmtId="182" fontId="0" fillId="0" borderId="0" xfId="0" applyNumberFormat="1" applyAlignment="1">
      <alignment vertical="center"/>
    </xf>
    <xf numFmtId="0" fontId="28" fillId="0" borderId="0" xfId="0" applyFont="1"/>
    <xf numFmtId="4" fontId="27" fillId="10" borderId="0" xfId="0" applyNumberFormat="1" applyFont="1" applyFill="1" applyAlignment="1" applyProtection="1">
      <alignment horizontal="right" vertical="center"/>
      <protection locked="0"/>
    </xf>
    <xf numFmtId="0" fontId="29" fillId="0" borderId="0" xfId="0" applyFont="1" applyAlignment="1" applyProtection="1">
      <alignment horizontal="left" vertical="center"/>
    </xf>
    <xf numFmtId="4" fontId="29" fillId="11" borderId="0" xfId="0" applyNumberFormat="1" applyFont="1" applyFill="1" applyAlignment="1" applyProtection="1">
      <alignment horizontal="right" vertical="center"/>
      <protection locked="0"/>
    </xf>
    <xf numFmtId="4" fontId="27" fillId="11" borderId="0" xfId="0" applyNumberFormat="1" applyFont="1" applyFill="1" applyAlignment="1" applyProtection="1">
      <alignment horizontal="right" vertical="center"/>
      <protection locked="0"/>
    </xf>
    <xf numFmtId="0" fontId="30" fillId="0" borderId="0" xfId="0" applyFont="1" applyAlignment="1" applyProtection="1">
      <alignment horizontal="left" vertical="center"/>
    </xf>
    <xf numFmtId="178" fontId="0" fillId="0" borderId="0" xfId="0" applyNumberForma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_可行报告财务计算表-yingkougang" xfId="49"/>
  </cellStyles>
  <tableStyles count="0" defaultTableStyle="TableStyleMedium9" defaultPivotStyle="PivotStyleLight16"/>
  <colors>
    <mruColors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H69"/>
  <sheetViews>
    <sheetView zoomScale="115" zoomScaleNormal="115" workbookViewId="0">
      <pane xSplit="1" ySplit="1" topLeftCell="C2" activePane="bottomRight" state="frozen"/>
      <selection/>
      <selection pane="topRight"/>
      <selection pane="bottomLeft"/>
      <selection pane="bottomRight" activeCell="H2" sqref="H2"/>
    </sheetView>
  </sheetViews>
  <sheetFormatPr defaultColWidth="9" defaultRowHeight="12.75" outlineLevelCol="7"/>
  <cols>
    <col min="1" max="1" width="8.54285714285714" customWidth="1"/>
    <col min="2" max="2" width="25.4571428571429" customWidth="1"/>
    <col min="3" max="3" width="18.4571428571429" customWidth="1"/>
    <col min="4" max="8" width="20.1809523809524" customWidth="1"/>
  </cols>
  <sheetData>
    <row r="1" ht="22" customHeight="1" spans="1:8">
      <c r="A1" s="85" t="s">
        <v>0</v>
      </c>
      <c r="B1" s="85" t="s">
        <v>1</v>
      </c>
      <c r="C1" s="85" t="s">
        <v>2</v>
      </c>
      <c r="D1" s="86">
        <v>43100</v>
      </c>
      <c r="E1" s="86">
        <v>43465</v>
      </c>
      <c r="F1" s="86">
        <v>43830</v>
      </c>
      <c r="G1" s="86">
        <v>44196</v>
      </c>
      <c r="H1" s="87">
        <v>44500</v>
      </c>
    </row>
    <row r="2" ht="14.15" customHeight="1" spans="1:8">
      <c r="A2" s="88" t="s">
        <v>3</v>
      </c>
      <c r="B2" s="88" t="s">
        <v>4</v>
      </c>
      <c r="C2" s="97"/>
      <c r="D2" s="97"/>
      <c r="E2" s="97"/>
      <c r="F2" s="97"/>
      <c r="G2" s="97"/>
      <c r="H2" s="97"/>
    </row>
    <row r="3" ht="14.15" customHeight="1" spans="1:8">
      <c r="A3" s="88" t="s">
        <v>5</v>
      </c>
      <c r="B3" s="88" t="s">
        <v>6</v>
      </c>
      <c r="C3" s="97"/>
      <c r="D3" s="97"/>
      <c r="E3" s="97"/>
      <c r="F3" s="97"/>
      <c r="G3" s="97"/>
      <c r="H3" s="97"/>
    </row>
    <row r="4" ht="14.15" customHeight="1" spans="1:8">
      <c r="A4" s="88" t="s">
        <v>7</v>
      </c>
      <c r="B4" s="88" t="s">
        <v>8</v>
      </c>
      <c r="C4" s="97"/>
      <c r="D4" s="97"/>
      <c r="E4" s="97"/>
      <c r="F4" s="97"/>
      <c r="G4" s="97"/>
      <c r="H4" s="97"/>
    </row>
    <row r="5" ht="14.15" customHeight="1" spans="1:8">
      <c r="A5" s="88" t="s">
        <v>9</v>
      </c>
      <c r="B5" s="88" t="s">
        <v>10</v>
      </c>
      <c r="C5" s="97"/>
      <c r="D5" s="97"/>
      <c r="E5" s="97"/>
      <c r="F5" s="97"/>
      <c r="G5" s="97"/>
      <c r="H5" s="97"/>
    </row>
    <row r="6" ht="14.15" customHeight="1" spans="1:8">
      <c r="A6" s="88" t="s">
        <v>11</v>
      </c>
      <c r="B6" s="88" t="s">
        <v>12</v>
      </c>
      <c r="C6" s="97"/>
      <c r="D6" s="97"/>
      <c r="E6" s="97"/>
      <c r="F6" s="97"/>
      <c r="G6" s="97"/>
      <c r="H6" s="97"/>
    </row>
    <row r="7" ht="14.15" customHeight="1" spans="1:8">
      <c r="A7" s="88" t="s">
        <v>13</v>
      </c>
      <c r="B7" s="88" t="s">
        <v>14</v>
      </c>
      <c r="C7" s="97"/>
      <c r="D7" s="97"/>
      <c r="E7" s="97"/>
      <c r="F7" s="97"/>
      <c r="G7" s="97"/>
      <c r="H7" s="97"/>
    </row>
    <row r="8" ht="14.15" customHeight="1" spans="1:8">
      <c r="A8" s="88" t="s">
        <v>15</v>
      </c>
      <c r="B8" s="88" t="s">
        <v>16</v>
      </c>
      <c r="C8" s="97"/>
      <c r="D8" s="97"/>
      <c r="E8" s="97"/>
      <c r="F8" s="97"/>
      <c r="G8" s="97"/>
      <c r="H8" s="97"/>
    </row>
    <row r="9" ht="14.15" customHeight="1" spans="1:8">
      <c r="A9" s="88" t="s">
        <v>17</v>
      </c>
      <c r="B9" s="88" t="s">
        <v>18</v>
      </c>
      <c r="C9" s="97"/>
      <c r="D9" s="97"/>
      <c r="E9" s="97"/>
      <c r="F9" s="97"/>
      <c r="G9" s="97"/>
      <c r="H9" s="97"/>
    </row>
    <row r="10" ht="14.15" customHeight="1" spans="1:8">
      <c r="A10" s="88" t="s">
        <v>19</v>
      </c>
      <c r="B10" s="88" t="s">
        <v>20</v>
      </c>
      <c r="C10" s="97"/>
      <c r="D10" s="97"/>
      <c r="E10" s="97"/>
      <c r="F10" s="97"/>
      <c r="G10" s="97"/>
      <c r="H10" s="97"/>
    </row>
    <row r="11" ht="14.15" customHeight="1" spans="1:8">
      <c r="A11" s="88" t="s">
        <v>21</v>
      </c>
      <c r="B11" s="88" t="s">
        <v>22</v>
      </c>
      <c r="C11" s="97"/>
      <c r="D11" s="97"/>
      <c r="E11" s="97"/>
      <c r="F11" s="97"/>
      <c r="G11" s="97"/>
      <c r="H11" s="97"/>
    </row>
    <row r="12" ht="14.15" customHeight="1" spans="1:8">
      <c r="A12" s="88" t="s">
        <v>23</v>
      </c>
      <c r="B12" s="88" t="s">
        <v>24</v>
      </c>
      <c r="C12" s="97"/>
      <c r="D12" s="97"/>
      <c r="E12" s="97"/>
      <c r="F12" s="97"/>
      <c r="G12" s="97"/>
      <c r="H12" s="97"/>
    </row>
    <row r="13" s="96" customFormat="1" ht="14.15" customHeight="1" spans="1:8">
      <c r="A13" s="98" t="s">
        <v>25</v>
      </c>
      <c r="B13" s="98" t="s">
        <v>26</v>
      </c>
      <c r="C13" s="99">
        <f t="shared" ref="C13:H13" si="0">SUM(C2:C12)</f>
        <v>0</v>
      </c>
      <c r="D13" s="99">
        <f t="shared" si="0"/>
        <v>0</v>
      </c>
      <c r="E13" s="99">
        <f t="shared" si="0"/>
        <v>0</v>
      </c>
      <c r="F13" s="99">
        <f t="shared" si="0"/>
        <v>0</v>
      </c>
      <c r="G13" s="99">
        <f t="shared" si="0"/>
        <v>0</v>
      </c>
      <c r="H13" s="99">
        <f t="shared" si="0"/>
        <v>0</v>
      </c>
    </row>
    <row r="14" ht="14.15" customHeight="1" spans="1:8">
      <c r="A14" s="88" t="s">
        <v>27</v>
      </c>
      <c r="B14" s="88" t="s">
        <v>28</v>
      </c>
      <c r="C14" s="97"/>
      <c r="D14" s="97"/>
      <c r="E14" s="97"/>
      <c r="F14" s="97"/>
      <c r="G14" s="97"/>
      <c r="H14" s="97"/>
    </row>
    <row r="15" ht="14.15" customHeight="1" spans="1:8">
      <c r="A15" s="88" t="s">
        <v>29</v>
      </c>
      <c r="B15" s="88" t="s">
        <v>30</v>
      </c>
      <c r="C15" s="97"/>
      <c r="D15" s="97"/>
      <c r="E15" s="97"/>
      <c r="F15" s="97"/>
      <c r="G15" s="97"/>
      <c r="H15" s="97"/>
    </row>
    <row r="16" ht="14.15" customHeight="1" spans="1:8">
      <c r="A16" s="88" t="s">
        <v>31</v>
      </c>
      <c r="B16" s="88" t="s">
        <v>32</v>
      </c>
      <c r="C16" s="97"/>
      <c r="D16" s="97"/>
      <c r="E16" s="97"/>
      <c r="F16" s="97"/>
      <c r="G16" s="97"/>
      <c r="H16" s="97"/>
    </row>
    <row r="17" ht="14.15" customHeight="1" spans="1:8">
      <c r="A17" s="88" t="s">
        <v>33</v>
      </c>
      <c r="B17" s="88" t="s">
        <v>34</v>
      </c>
      <c r="C17" s="97"/>
      <c r="D17" s="97"/>
      <c r="E17" s="97"/>
      <c r="F17" s="97"/>
      <c r="G17" s="97"/>
      <c r="H17" s="97"/>
    </row>
    <row r="18" ht="14.15" customHeight="1" spans="1:8">
      <c r="A18" s="88" t="s">
        <v>35</v>
      </c>
      <c r="B18" s="88" t="s">
        <v>36</v>
      </c>
      <c r="C18" s="97"/>
      <c r="D18" s="97"/>
      <c r="E18" s="97"/>
      <c r="F18" s="97"/>
      <c r="G18" s="97"/>
      <c r="H18" s="97"/>
    </row>
    <row r="19" ht="14.15" customHeight="1" spans="1:8">
      <c r="A19" s="88" t="s">
        <v>37</v>
      </c>
      <c r="B19" s="88" t="s">
        <v>38</v>
      </c>
      <c r="C19" s="97"/>
      <c r="D19" s="97"/>
      <c r="E19" s="97"/>
      <c r="F19" s="97"/>
      <c r="G19" s="97"/>
      <c r="H19" s="97"/>
    </row>
    <row r="20" ht="14.15" customHeight="1" spans="1:8">
      <c r="A20" s="88" t="s">
        <v>39</v>
      </c>
      <c r="B20" s="88" t="s">
        <v>40</v>
      </c>
      <c r="C20" s="97"/>
      <c r="D20" s="97"/>
      <c r="E20" s="97"/>
      <c r="F20" s="97"/>
      <c r="G20" s="97"/>
      <c r="H20" s="97"/>
    </row>
    <row r="21" ht="14.15" customHeight="1" spans="1:8">
      <c r="A21" s="88" t="s">
        <v>41</v>
      </c>
      <c r="B21" s="88" t="s">
        <v>42</v>
      </c>
      <c r="C21" s="97"/>
      <c r="D21" s="97"/>
      <c r="E21" s="97"/>
      <c r="F21" s="97"/>
      <c r="G21" s="97"/>
      <c r="H21" s="97"/>
    </row>
    <row r="22" ht="14.15" customHeight="1" spans="1:8">
      <c r="A22" s="88" t="s">
        <v>43</v>
      </c>
      <c r="B22" s="88" t="s">
        <v>44</v>
      </c>
      <c r="C22" s="100">
        <f t="shared" ref="C22:H22" si="1">C19-C20-C21</f>
        <v>0</v>
      </c>
      <c r="D22" s="100">
        <f t="shared" si="1"/>
        <v>0</v>
      </c>
      <c r="E22" s="100">
        <f t="shared" si="1"/>
        <v>0</v>
      </c>
      <c r="F22" s="100">
        <f t="shared" si="1"/>
        <v>0</v>
      </c>
      <c r="G22" s="100">
        <f t="shared" si="1"/>
        <v>0</v>
      </c>
      <c r="H22" s="100">
        <f t="shared" si="1"/>
        <v>0</v>
      </c>
    </row>
    <row r="23" ht="14.15" customHeight="1" spans="1:8">
      <c r="A23" s="88" t="s">
        <v>45</v>
      </c>
      <c r="B23" s="88" t="s">
        <v>46</v>
      </c>
      <c r="C23" s="97"/>
      <c r="D23" s="97"/>
      <c r="E23" s="97"/>
      <c r="F23" s="97"/>
      <c r="G23" s="97"/>
      <c r="H23" s="97"/>
    </row>
    <row r="24" ht="14.15" customHeight="1" spans="1:8">
      <c r="A24" s="88" t="s">
        <v>47</v>
      </c>
      <c r="B24" s="88" t="s">
        <v>48</v>
      </c>
      <c r="C24" s="97"/>
      <c r="D24" s="97"/>
      <c r="E24" s="97"/>
      <c r="F24" s="97"/>
      <c r="G24" s="97"/>
      <c r="H24" s="97"/>
    </row>
    <row r="25" ht="14.15" customHeight="1" spans="1:8">
      <c r="A25" s="88" t="s">
        <v>49</v>
      </c>
      <c r="B25" s="88" t="s">
        <v>50</v>
      </c>
      <c r="C25" s="97"/>
      <c r="D25" s="97"/>
      <c r="E25" s="97"/>
      <c r="F25" s="97"/>
      <c r="G25" s="97"/>
      <c r="H25" s="97"/>
    </row>
    <row r="26" ht="14.15" customHeight="1" spans="1:8">
      <c r="A26" s="88" t="s">
        <v>51</v>
      </c>
      <c r="B26" s="88" t="s">
        <v>52</v>
      </c>
      <c r="C26" s="97"/>
      <c r="D26" s="97"/>
      <c r="E26" s="97"/>
      <c r="F26" s="97"/>
      <c r="G26" s="97"/>
      <c r="H26" s="97"/>
    </row>
    <row r="27" ht="14.15" customHeight="1" spans="1:8">
      <c r="A27" s="88" t="s">
        <v>53</v>
      </c>
      <c r="B27" s="88" t="s">
        <v>54</v>
      </c>
      <c r="C27" s="97"/>
      <c r="D27" s="97"/>
      <c r="E27" s="97"/>
      <c r="F27" s="97"/>
      <c r="G27" s="97"/>
      <c r="H27" s="97"/>
    </row>
    <row r="28" ht="14.15" customHeight="1" spans="1:8">
      <c r="A28" s="88" t="s">
        <v>55</v>
      </c>
      <c r="B28" s="88" t="s">
        <v>56</v>
      </c>
      <c r="C28" s="97"/>
      <c r="D28" s="97"/>
      <c r="E28" s="97"/>
      <c r="F28" s="97"/>
      <c r="G28" s="97"/>
      <c r="H28" s="97"/>
    </row>
    <row r="29" ht="14.15" customHeight="1" spans="1:8">
      <c r="A29" s="88" t="s">
        <v>57</v>
      </c>
      <c r="B29" s="88" t="s">
        <v>58</v>
      </c>
      <c r="C29" s="97"/>
      <c r="D29" s="97"/>
      <c r="E29" s="97"/>
      <c r="F29" s="97"/>
      <c r="G29" s="97"/>
      <c r="H29" s="97"/>
    </row>
    <row r="30" ht="14.15" customHeight="1" spans="1:8">
      <c r="A30" s="88" t="s">
        <v>59</v>
      </c>
      <c r="B30" s="88" t="s">
        <v>60</v>
      </c>
      <c r="C30" s="97"/>
      <c r="D30" s="97"/>
      <c r="E30" s="97"/>
      <c r="F30" s="97"/>
      <c r="G30" s="97"/>
      <c r="H30" s="97"/>
    </row>
    <row r="31" ht="14.15" customHeight="1" spans="1:8">
      <c r="A31" s="88" t="s">
        <v>61</v>
      </c>
      <c r="B31" s="88" t="s">
        <v>62</v>
      </c>
      <c r="C31" s="97"/>
      <c r="D31" s="97"/>
      <c r="E31" s="97"/>
      <c r="F31" s="97"/>
      <c r="G31" s="97"/>
      <c r="H31" s="97"/>
    </row>
    <row r="32" ht="14.15" customHeight="1" spans="1:8">
      <c r="A32" s="88" t="s">
        <v>63</v>
      </c>
      <c r="B32" s="88" t="s">
        <v>64</v>
      </c>
      <c r="C32" s="97"/>
      <c r="D32" s="97"/>
      <c r="E32" s="97"/>
      <c r="F32" s="97"/>
      <c r="G32" s="97"/>
      <c r="H32" s="97"/>
    </row>
    <row r="33" ht="14.15" customHeight="1" spans="1:8">
      <c r="A33" s="88" t="s">
        <v>65</v>
      </c>
      <c r="B33" s="88" t="s">
        <v>66</v>
      </c>
      <c r="C33" s="97"/>
      <c r="D33" s="97"/>
      <c r="E33" s="97"/>
      <c r="F33" s="97"/>
      <c r="G33" s="97"/>
      <c r="H33" s="97"/>
    </row>
    <row r="34" s="96" customFormat="1" ht="14.15" customHeight="1" spans="1:8">
      <c r="A34" s="98" t="s">
        <v>67</v>
      </c>
      <c r="B34" s="98" t="s">
        <v>68</v>
      </c>
      <c r="C34" s="99">
        <f t="shared" ref="C34:H34" si="2">SUM(C14:C33)-C19-C20-C21</f>
        <v>0</v>
      </c>
      <c r="D34" s="99">
        <f t="shared" si="2"/>
        <v>0</v>
      </c>
      <c r="E34" s="99">
        <f t="shared" si="2"/>
        <v>0</v>
      </c>
      <c r="F34" s="99">
        <f t="shared" si="2"/>
        <v>0</v>
      </c>
      <c r="G34" s="99">
        <f t="shared" si="2"/>
        <v>0</v>
      </c>
      <c r="H34" s="99">
        <f t="shared" si="2"/>
        <v>0</v>
      </c>
    </row>
    <row r="35" s="96" customFormat="1" ht="14.15" customHeight="1" spans="1:8">
      <c r="A35" s="98" t="s">
        <v>69</v>
      </c>
      <c r="B35" s="98" t="s">
        <v>70</v>
      </c>
      <c r="C35" s="99">
        <f t="shared" ref="C35:H35" si="3">C34+C13</f>
        <v>0</v>
      </c>
      <c r="D35" s="99">
        <f t="shared" si="3"/>
        <v>0</v>
      </c>
      <c r="E35" s="99">
        <f t="shared" si="3"/>
        <v>0</v>
      </c>
      <c r="F35" s="99">
        <f t="shared" si="3"/>
        <v>0</v>
      </c>
      <c r="G35" s="99">
        <f t="shared" si="3"/>
        <v>0</v>
      </c>
      <c r="H35" s="99">
        <f t="shared" si="3"/>
        <v>0</v>
      </c>
    </row>
    <row r="36" ht="14.15" customHeight="1" spans="1:8">
      <c r="A36" s="88" t="s">
        <v>71</v>
      </c>
      <c r="B36" s="88" t="s">
        <v>72</v>
      </c>
      <c r="C36" s="97"/>
      <c r="D36" s="97"/>
      <c r="E36" s="97"/>
      <c r="F36" s="97"/>
      <c r="G36" s="97"/>
      <c r="H36" s="97"/>
    </row>
    <row r="37" ht="14.15" customHeight="1" spans="1:8">
      <c r="A37" s="88" t="s">
        <v>73</v>
      </c>
      <c r="B37" s="88" t="s">
        <v>74</v>
      </c>
      <c r="C37" s="97"/>
      <c r="D37" s="97"/>
      <c r="E37" s="97"/>
      <c r="F37" s="97"/>
      <c r="G37" s="97"/>
      <c r="H37" s="97"/>
    </row>
    <row r="38" ht="14.15" customHeight="1" spans="1:8">
      <c r="A38" s="88" t="s">
        <v>75</v>
      </c>
      <c r="B38" s="88" t="s">
        <v>76</v>
      </c>
      <c r="C38" s="97"/>
      <c r="D38" s="97"/>
      <c r="E38" s="97"/>
      <c r="F38" s="97"/>
      <c r="G38" s="97"/>
      <c r="H38" s="97"/>
    </row>
    <row r="39" ht="14.15" customHeight="1" spans="1:8">
      <c r="A39" s="88" t="s">
        <v>77</v>
      </c>
      <c r="B39" s="88" t="s">
        <v>78</v>
      </c>
      <c r="C39" s="97"/>
      <c r="D39" s="97"/>
      <c r="E39" s="97"/>
      <c r="F39" s="97"/>
      <c r="G39" s="97"/>
      <c r="H39" s="97"/>
    </row>
    <row r="40" ht="14.15" customHeight="1" spans="1:8">
      <c r="A40" s="88" t="s">
        <v>79</v>
      </c>
      <c r="B40" s="88" t="s">
        <v>80</v>
      </c>
      <c r="C40" s="97"/>
      <c r="D40" s="97"/>
      <c r="E40" s="97"/>
      <c r="F40" s="97"/>
      <c r="G40" s="97"/>
      <c r="H40" s="97"/>
    </row>
    <row r="41" ht="14.15" customHeight="1" spans="1:8">
      <c r="A41" s="88" t="s">
        <v>81</v>
      </c>
      <c r="B41" s="88" t="s">
        <v>82</v>
      </c>
      <c r="C41" s="97"/>
      <c r="D41" s="97"/>
      <c r="E41" s="97"/>
      <c r="F41" s="97"/>
      <c r="G41" s="97"/>
      <c r="H41" s="97"/>
    </row>
    <row r="42" ht="14.15" customHeight="1" spans="1:8">
      <c r="A42" s="88" t="s">
        <v>83</v>
      </c>
      <c r="B42" s="88" t="s">
        <v>84</v>
      </c>
      <c r="C42" s="97"/>
      <c r="D42" s="97"/>
      <c r="E42" s="97"/>
      <c r="F42" s="97"/>
      <c r="G42" s="97"/>
      <c r="H42" s="97"/>
    </row>
    <row r="43" ht="14.15" customHeight="1" spans="1:8">
      <c r="A43" s="88" t="s">
        <v>85</v>
      </c>
      <c r="B43" s="88" t="s">
        <v>86</v>
      </c>
      <c r="C43" s="97"/>
      <c r="D43" s="97"/>
      <c r="E43" s="97"/>
      <c r="F43" s="97"/>
      <c r="G43" s="97"/>
      <c r="H43" s="97"/>
    </row>
    <row r="44" ht="14.15" customHeight="1" spans="1:8">
      <c r="A44" s="88" t="s">
        <v>87</v>
      </c>
      <c r="B44" s="88" t="s">
        <v>88</v>
      </c>
      <c r="C44" s="97"/>
      <c r="D44" s="97"/>
      <c r="E44" s="97"/>
      <c r="F44" s="97"/>
      <c r="G44" s="97"/>
      <c r="H44" s="97"/>
    </row>
    <row r="45" ht="14.15" customHeight="1" spans="1:8">
      <c r="A45" s="88" t="s">
        <v>89</v>
      </c>
      <c r="B45" s="88" t="s">
        <v>90</v>
      </c>
      <c r="C45" s="97"/>
      <c r="D45" s="97"/>
      <c r="E45" s="97"/>
      <c r="F45" s="97"/>
      <c r="G45" s="97"/>
      <c r="H45" s="97"/>
    </row>
    <row r="46" ht="14.15" customHeight="1" spans="1:8">
      <c r="A46" s="88" t="s">
        <v>91</v>
      </c>
      <c r="B46" s="88" t="s">
        <v>92</v>
      </c>
      <c r="C46" s="97"/>
      <c r="D46" s="97"/>
      <c r="E46" s="97"/>
      <c r="F46" s="97"/>
      <c r="G46" s="97"/>
      <c r="H46" s="97"/>
    </row>
    <row r="47" ht="14.15" customHeight="1" spans="1:8">
      <c r="A47" s="88" t="s">
        <v>93</v>
      </c>
      <c r="B47" s="88" t="s">
        <v>94</v>
      </c>
      <c r="C47" s="97"/>
      <c r="D47" s="97"/>
      <c r="E47" s="97"/>
      <c r="F47" s="97"/>
      <c r="G47" s="97"/>
      <c r="H47" s="97"/>
    </row>
    <row r="48" s="96" customFormat="1" ht="14.15" customHeight="1" spans="1:8">
      <c r="A48" s="98" t="s">
        <v>95</v>
      </c>
      <c r="B48" s="98" t="s">
        <v>96</v>
      </c>
      <c r="C48" s="99">
        <f t="shared" ref="C48:H48" si="4">SUM(C36:C47)</f>
        <v>0</v>
      </c>
      <c r="D48" s="99">
        <f t="shared" si="4"/>
        <v>0</v>
      </c>
      <c r="E48" s="99">
        <f t="shared" si="4"/>
        <v>0</v>
      </c>
      <c r="F48" s="99">
        <f t="shared" si="4"/>
        <v>0</v>
      </c>
      <c r="G48" s="99">
        <f t="shared" si="4"/>
        <v>0</v>
      </c>
      <c r="H48" s="99">
        <f t="shared" si="4"/>
        <v>0</v>
      </c>
    </row>
    <row r="49" ht="14.15" customHeight="1" spans="1:8">
      <c r="A49" s="88" t="s">
        <v>97</v>
      </c>
      <c r="B49" s="88" t="s">
        <v>98</v>
      </c>
      <c r="C49" s="97"/>
      <c r="D49" s="97"/>
      <c r="E49" s="97"/>
      <c r="F49" s="97"/>
      <c r="G49" s="97"/>
      <c r="H49" s="97"/>
    </row>
    <row r="50" ht="14.15" customHeight="1" spans="1:8">
      <c r="A50" s="88" t="s">
        <v>99</v>
      </c>
      <c r="B50" s="88" t="s">
        <v>100</v>
      </c>
      <c r="C50" s="97"/>
      <c r="D50" s="97"/>
      <c r="E50" s="97"/>
      <c r="F50" s="97"/>
      <c r="G50" s="97"/>
      <c r="H50" s="97"/>
    </row>
    <row r="51" ht="14.15" customHeight="1" spans="1:8">
      <c r="A51" s="88" t="s">
        <v>101</v>
      </c>
      <c r="B51" s="88" t="s">
        <v>102</v>
      </c>
      <c r="C51" s="97"/>
      <c r="D51" s="97"/>
      <c r="E51" s="97"/>
      <c r="F51" s="97"/>
      <c r="G51" s="97"/>
      <c r="H51" s="97"/>
    </row>
    <row r="52" ht="14.15" customHeight="1" spans="1:8">
      <c r="A52" s="88" t="s">
        <v>103</v>
      </c>
      <c r="B52" s="88" t="s">
        <v>104</v>
      </c>
      <c r="C52" s="97"/>
      <c r="D52" s="97"/>
      <c r="E52" s="97"/>
      <c r="F52" s="97"/>
      <c r="G52" s="97"/>
      <c r="H52" s="97"/>
    </row>
    <row r="53" ht="14.15" customHeight="1" spans="1:8">
      <c r="A53" s="88" t="s">
        <v>105</v>
      </c>
      <c r="B53" s="88" t="s">
        <v>106</v>
      </c>
      <c r="C53" s="97"/>
      <c r="D53" s="97"/>
      <c r="E53" s="97"/>
      <c r="F53" s="97"/>
      <c r="G53" s="97"/>
      <c r="H53" s="97"/>
    </row>
    <row r="54" ht="14.15" customHeight="1" spans="1:8">
      <c r="A54" s="88" t="s">
        <v>107</v>
      </c>
      <c r="B54" s="88" t="s">
        <v>108</v>
      </c>
      <c r="C54" s="97"/>
      <c r="D54" s="97"/>
      <c r="E54" s="97"/>
      <c r="F54" s="97"/>
      <c r="G54" s="97"/>
      <c r="H54" s="97"/>
    </row>
    <row r="55" ht="14.15" customHeight="1" spans="1:8">
      <c r="A55" s="88" t="s">
        <v>109</v>
      </c>
      <c r="B55" s="88" t="s">
        <v>110</v>
      </c>
      <c r="C55" s="97"/>
      <c r="D55" s="97"/>
      <c r="E55" s="97"/>
      <c r="F55" s="97"/>
      <c r="G55" s="97"/>
      <c r="H55" s="97"/>
    </row>
    <row r="56" s="96" customFormat="1" ht="14.15" customHeight="1" spans="1:8">
      <c r="A56" s="98" t="s">
        <v>111</v>
      </c>
      <c r="B56" s="98" t="s">
        <v>112</v>
      </c>
      <c r="C56" s="99">
        <f t="shared" ref="C56:H56" si="5">SUM(C49:C55)</f>
        <v>0</v>
      </c>
      <c r="D56" s="99">
        <f t="shared" si="5"/>
        <v>0</v>
      </c>
      <c r="E56" s="99">
        <f t="shared" si="5"/>
        <v>0</v>
      </c>
      <c r="F56" s="99">
        <f t="shared" si="5"/>
        <v>0</v>
      </c>
      <c r="G56" s="99">
        <f t="shared" si="5"/>
        <v>0</v>
      </c>
      <c r="H56" s="99">
        <f t="shared" si="5"/>
        <v>0</v>
      </c>
    </row>
    <row r="57" s="96" customFormat="1" ht="14.15" customHeight="1" spans="1:8">
      <c r="A57" s="98" t="s">
        <v>113</v>
      </c>
      <c r="B57" s="98" t="s">
        <v>114</v>
      </c>
      <c r="C57" s="99">
        <f t="shared" ref="C57:H57" si="6">C48+C56</f>
        <v>0</v>
      </c>
      <c r="D57" s="99">
        <f t="shared" si="6"/>
        <v>0</v>
      </c>
      <c r="E57" s="99">
        <f t="shared" si="6"/>
        <v>0</v>
      </c>
      <c r="F57" s="99">
        <f t="shared" si="6"/>
        <v>0</v>
      </c>
      <c r="G57" s="99">
        <f t="shared" si="6"/>
        <v>0</v>
      </c>
      <c r="H57" s="99">
        <f t="shared" si="6"/>
        <v>0</v>
      </c>
    </row>
    <row r="58" ht="14.15" customHeight="1" spans="1:8">
      <c r="A58" s="88" t="s">
        <v>115</v>
      </c>
      <c r="B58" s="88" t="s">
        <v>116</v>
      </c>
      <c r="C58" s="97"/>
      <c r="D58" s="97"/>
      <c r="E58" s="97"/>
      <c r="F58" s="97"/>
      <c r="G58" s="97"/>
      <c r="H58" s="97"/>
    </row>
    <row r="59" ht="14.15" customHeight="1" spans="1:8">
      <c r="A59" s="88" t="s">
        <v>117</v>
      </c>
      <c r="B59" s="88" t="s">
        <v>118</v>
      </c>
      <c r="C59" s="97"/>
      <c r="D59" s="97"/>
      <c r="E59" s="97"/>
      <c r="F59" s="97"/>
      <c r="G59" s="97"/>
      <c r="H59" s="97"/>
    </row>
    <row r="60" ht="14.15" customHeight="1" spans="1:8">
      <c r="A60" s="88" t="s">
        <v>119</v>
      </c>
      <c r="B60" s="88" t="s">
        <v>120</v>
      </c>
      <c r="C60" s="97"/>
      <c r="D60" s="97"/>
      <c r="E60" s="97"/>
      <c r="F60" s="97"/>
      <c r="G60" s="97"/>
      <c r="H60" s="97"/>
    </row>
    <row r="61" ht="14.15" customHeight="1" spans="1:8">
      <c r="A61" s="88"/>
      <c r="B61" s="101" t="s">
        <v>121</v>
      </c>
      <c r="C61" s="97"/>
      <c r="D61" s="97"/>
      <c r="E61" s="97"/>
      <c r="F61" s="97"/>
      <c r="G61" s="97"/>
      <c r="H61" s="97"/>
    </row>
    <row r="62" ht="14.15" customHeight="1" spans="1:8">
      <c r="A62" s="88" t="s">
        <v>122</v>
      </c>
      <c r="B62" s="88" t="s">
        <v>123</v>
      </c>
      <c r="C62" s="97"/>
      <c r="D62" s="97"/>
      <c r="E62" s="97"/>
      <c r="F62" s="97"/>
      <c r="G62" s="97"/>
      <c r="H62" s="97"/>
    </row>
    <row r="63" ht="14.15" customHeight="1" spans="1:8">
      <c r="A63" s="88" t="s">
        <v>124</v>
      </c>
      <c r="B63" s="88" t="s">
        <v>125</v>
      </c>
      <c r="C63" s="97"/>
      <c r="D63" s="97"/>
      <c r="E63" s="97"/>
      <c r="F63" s="97"/>
      <c r="G63" s="97"/>
      <c r="H63" s="97"/>
    </row>
    <row r="64" ht="14.15" customHeight="1" spans="1:8">
      <c r="A64" s="88" t="s">
        <v>126</v>
      </c>
      <c r="B64" s="88" t="s">
        <v>127</v>
      </c>
      <c r="C64" s="97"/>
      <c r="D64" s="97"/>
      <c r="E64" s="97"/>
      <c r="F64" s="97"/>
      <c r="G64" s="97"/>
      <c r="H64" s="97"/>
    </row>
    <row r="65" s="96" customFormat="1" ht="14.15" customHeight="1" spans="1:8">
      <c r="A65" s="98" t="s">
        <v>128</v>
      </c>
      <c r="B65" s="98" t="s">
        <v>129</v>
      </c>
      <c r="C65" s="99">
        <f t="shared" ref="C65:H65" si="7">SUM(C58:C64)</f>
        <v>0</v>
      </c>
      <c r="D65" s="99">
        <f t="shared" si="7"/>
        <v>0</v>
      </c>
      <c r="E65" s="99">
        <f t="shared" si="7"/>
        <v>0</v>
      </c>
      <c r="F65" s="99">
        <f t="shared" si="7"/>
        <v>0</v>
      </c>
      <c r="G65" s="99">
        <f t="shared" si="7"/>
        <v>0</v>
      </c>
      <c r="H65" s="99">
        <f t="shared" si="7"/>
        <v>0</v>
      </c>
    </row>
    <row r="66" ht="14.15" customHeight="1" spans="1:8">
      <c r="A66" s="88" t="s">
        <v>130</v>
      </c>
      <c r="B66" s="88" t="s">
        <v>131</v>
      </c>
      <c r="C66" s="97"/>
      <c r="D66" s="97"/>
      <c r="E66" s="97"/>
      <c r="F66" s="97"/>
      <c r="G66" s="97"/>
      <c r="H66" s="97"/>
    </row>
    <row r="67" s="96" customFormat="1" ht="14.15" customHeight="1" spans="1:8">
      <c r="A67" s="98" t="s">
        <v>132</v>
      </c>
      <c r="B67" s="98" t="s">
        <v>133</v>
      </c>
      <c r="C67" s="99">
        <f t="shared" ref="C67:H67" si="8">C65+C66</f>
        <v>0</v>
      </c>
      <c r="D67" s="99">
        <f t="shared" si="8"/>
        <v>0</v>
      </c>
      <c r="E67" s="99">
        <f t="shared" si="8"/>
        <v>0</v>
      </c>
      <c r="F67" s="99">
        <f t="shared" si="8"/>
        <v>0</v>
      </c>
      <c r="G67" s="99">
        <f t="shared" si="8"/>
        <v>0</v>
      </c>
      <c r="H67" s="99">
        <f t="shared" si="8"/>
        <v>0</v>
      </c>
    </row>
    <row r="68" s="96" customFormat="1" ht="14.15" customHeight="1" spans="1:8">
      <c r="A68" s="98" t="s">
        <v>134</v>
      </c>
      <c r="B68" s="98" t="s">
        <v>135</v>
      </c>
      <c r="C68" s="99">
        <f t="shared" ref="C68:H68" si="9">C67+C57</f>
        <v>0</v>
      </c>
      <c r="D68" s="99">
        <f t="shared" si="9"/>
        <v>0</v>
      </c>
      <c r="E68" s="99">
        <f t="shared" si="9"/>
        <v>0</v>
      </c>
      <c r="F68" s="99">
        <f t="shared" si="9"/>
        <v>0</v>
      </c>
      <c r="G68" s="99">
        <f t="shared" si="9"/>
        <v>0</v>
      </c>
      <c r="H68" s="99">
        <f t="shared" si="9"/>
        <v>0</v>
      </c>
    </row>
    <row r="69" spans="3:8">
      <c r="C69" s="102">
        <f t="shared" ref="C69:H69" si="10">C68-C35</f>
        <v>0</v>
      </c>
      <c r="D69" s="102">
        <f t="shared" si="10"/>
        <v>0</v>
      </c>
      <c r="E69" s="102">
        <f t="shared" si="10"/>
        <v>0</v>
      </c>
      <c r="F69" s="102">
        <f t="shared" si="10"/>
        <v>0</v>
      </c>
      <c r="G69" s="102">
        <f t="shared" si="10"/>
        <v>0</v>
      </c>
      <c r="H69" s="102">
        <f t="shared" si="10"/>
        <v>0</v>
      </c>
    </row>
  </sheetData>
  <autoFilter ref="A1:H69">
    <extLst/>
  </autoFilter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  <ignoredErrors>
    <ignoredError sqref="F1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H43"/>
  <sheetViews>
    <sheetView zoomScale="115" zoomScaleNormal="115" workbookViewId="0">
      <pane xSplit="1" ySplit="1" topLeftCell="B2" activePane="bottomRight" state="frozen"/>
      <selection/>
      <selection pane="topRight"/>
      <selection pane="bottomLeft"/>
      <selection pane="bottomRight" activeCell="H2" sqref="H2"/>
    </sheetView>
  </sheetViews>
  <sheetFormatPr defaultColWidth="9" defaultRowHeight="12.75" outlineLevelCol="7"/>
  <cols>
    <col min="1" max="1" width="8.54285714285714" customWidth="1"/>
    <col min="2" max="2" width="31.5428571428571" customWidth="1"/>
    <col min="3" max="3" width="12.8190476190476" customWidth="1"/>
    <col min="4" max="4" width="14" style="92" customWidth="1"/>
    <col min="5" max="6" width="14.1809523809524" customWidth="1"/>
    <col min="7" max="7" width="13.5428571428571" customWidth="1"/>
    <col min="8" max="8" width="14.1809523809524" customWidth="1"/>
  </cols>
  <sheetData>
    <row r="1" ht="22" customHeight="1" spans="1:8">
      <c r="A1" s="85" t="s">
        <v>0</v>
      </c>
      <c r="B1" s="85" t="s">
        <v>1</v>
      </c>
      <c r="C1" s="85" t="s">
        <v>136</v>
      </c>
      <c r="D1" s="86">
        <v>43100</v>
      </c>
      <c r="E1" s="86">
        <v>43465</v>
      </c>
      <c r="F1" s="86">
        <v>43830</v>
      </c>
      <c r="G1" s="86">
        <v>44196</v>
      </c>
      <c r="H1" s="87">
        <v>44500</v>
      </c>
    </row>
    <row r="2" ht="14.15" customHeight="1" spans="1:8">
      <c r="A2" s="88" t="s">
        <v>137</v>
      </c>
      <c r="B2" s="88" t="s">
        <v>138</v>
      </c>
      <c r="C2" s="91">
        <f t="shared" ref="C2:H2" si="0">C3+C4</f>
        <v>0</v>
      </c>
      <c r="D2" s="93">
        <f t="shared" si="0"/>
        <v>0</v>
      </c>
      <c r="E2" s="93">
        <f t="shared" si="0"/>
        <v>0</v>
      </c>
      <c r="F2" s="93">
        <f t="shared" si="0"/>
        <v>0</v>
      </c>
      <c r="G2" s="93">
        <f t="shared" si="0"/>
        <v>0</v>
      </c>
      <c r="H2" s="93">
        <f t="shared" si="0"/>
        <v>0</v>
      </c>
    </row>
    <row r="3" ht="14.15" customHeight="1" spans="1:8">
      <c r="A3" s="88" t="s">
        <v>139</v>
      </c>
      <c r="B3" s="88" t="s">
        <v>140</v>
      </c>
      <c r="C3" s="90"/>
      <c r="E3" s="92"/>
      <c r="F3" s="94"/>
      <c r="G3" s="94"/>
      <c r="H3" s="94"/>
    </row>
    <row r="4" ht="14.15" customHeight="1" spans="1:8">
      <c r="A4" s="88" t="s">
        <v>141</v>
      </c>
      <c r="B4" s="88" t="s">
        <v>142</v>
      </c>
      <c r="C4" s="90"/>
      <c r="D4" s="94"/>
      <c r="E4" s="94"/>
      <c r="F4" s="94"/>
      <c r="G4" s="94"/>
      <c r="H4" s="94"/>
    </row>
    <row r="5" ht="14.15" customHeight="1" spans="1:8">
      <c r="A5" s="88" t="s">
        <v>143</v>
      </c>
      <c r="B5" s="88" t="s">
        <v>144</v>
      </c>
      <c r="C5" s="91">
        <f t="shared" ref="C5:H5" si="1">C6+C7</f>
        <v>0</v>
      </c>
      <c r="D5" s="93">
        <f t="shared" si="1"/>
        <v>0</v>
      </c>
      <c r="E5" s="93">
        <f t="shared" si="1"/>
        <v>0</v>
      </c>
      <c r="F5" s="93">
        <f t="shared" si="1"/>
        <v>0</v>
      </c>
      <c r="G5" s="93">
        <f t="shared" si="1"/>
        <v>0</v>
      </c>
      <c r="H5" s="93">
        <f t="shared" si="1"/>
        <v>0</v>
      </c>
    </row>
    <row r="6" ht="14.15" customHeight="1" spans="1:8">
      <c r="A6" s="88" t="s">
        <v>145</v>
      </c>
      <c r="B6" s="88" t="s">
        <v>146</v>
      </c>
      <c r="C6" s="90"/>
      <c r="E6" s="92"/>
      <c r="F6" s="92"/>
      <c r="G6" s="94"/>
      <c r="H6" s="94"/>
    </row>
    <row r="7" ht="14.15" customHeight="1" spans="1:8">
      <c r="A7" s="88" t="s">
        <v>147</v>
      </c>
      <c r="B7" s="88" t="s">
        <v>148</v>
      </c>
      <c r="C7" s="90"/>
      <c r="D7" s="94"/>
      <c r="E7" s="94"/>
      <c r="F7" s="92"/>
      <c r="G7" s="94"/>
      <c r="H7" s="94"/>
    </row>
    <row r="8" ht="14.15" customHeight="1" spans="1:8">
      <c r="A8" s="88" t="s">
        <v>149</v>
      </c>
      <c r="B8" s="88" t="s">
        <v>150</v>
      </c>
      <c r="C8" s="90"/>
      <c r="D8" s="94"/>
      <c r="E8" s="94"/>
      <c r="F8" s="92"/>
      <c r="G8" s="94"/>
      <c r="H8" s="94"/>
    </row>
    <row r="9" ht="14.15" customHeight="1" spans="1:8">
      <c r="A9" s="88" t="s">
        <v>151</v>
      </c>
      <c r="B9" s="88" t="s">
        <v>152</v>
      </c>
      <c r="C9" s="90"/>
      <c r="D9" s="94"/>
      <c r="E9" s="94"/>
      <c r="F9" s="92"/>
      <c r="G9" s="94"/>
      <c r="H9" s="94"/>
    </row>
    <row r="10" ht="14.15" customHeight="1" spans="1:8">
      <c r="A10" s="88" t="s">
        <v>153</v>
      </c>
      <c r="B10" s="88" t="s">
        <v>154</v>
      </c>
      <c r="C10" s="90"/>
      <c r="D10" s="94"/>
      <c r="E10" s="94"/>
      <c r="F10" s="92"/>
      <c r="G10" s="94"/>
      <c r="H10" s="94"/>
    </row>
    <row r="11" ht="13.5" customHeight="1" spans="1:8">
      <c r="A11" s="88" t="s">
        <v>155</v>
      </c>
      <c r="B11" s="88" t="s">
        <v>156</v>
      </c>
      <c r="C11" s="90"/>
      <c r="D11" s="94"/>
      <c r="E11" s="94"/>
      <c r="F11" s="92"/>
      <c r="G11" s="94"/>
      <c r="H11" s="94"/>
    </row>
    <row r="12" ht="13.5" customHeight="1" spans="1:8">
      <c r="A12" s="88" t="s">
        <v>157</v>
      </c>
      <c r="B12" s="88" t="s">
        <v>158</v>
      </c>
      <c r="C12" s="90"/>
      <c r="D12" s="94"/>
      <c r="E12" s="94"/>
      <c r="F12" s="92"/>
      <c r="G12" s="94"/>
      <c r="H12" s="94"/>
    </row>
    <row r="13" ht="14.15" customHeight="1" spans="1:8">
      <c r="A13" s="88" t="s">
        <v>159</v>
      </c>
      <c r="B13" s="88" t="s">
        <v>160</v>
      </c>
      <c r="C13" s="90"/>
      <c r="D13" s="94"/>
      <c r="E13" s="94"/>
      <c r="F13" s="94"/>
      <c r="G13" s="94"/>
      <c r="H13" s="94"/>
    </row>
    <row r="14" ht="14.15" customHeight="1" spans="1:8">
      <c r="A14" s="88" t="s">
        <v>161</v>
      </c>
      <c r="B14" s="88" t="s">
        <v>162</v>
      </c>
      <c r="C14" s="90"/>
      <c r="D14" s="94"/>
      <c r="E14" s="94"/>
      <c r="F14" s="92"/>
      <c r="G14" s="94"/>
      <c r="H14" s="94"/>
    </row>
    <row r="15" ht="14.15" customHeight="1" spans="1:8">
      <c r="A15" s="88" t="s">
        <v>163</v>
      </c>
      <c r="B15" s="88" t="s">
        <v>164</v>
      </c>
      <c r="C15" s="91">
        <f t="shared" ref="C15:H15" si="2">C2-C5-C8-C9-C10-C11-C12+C13+C14</f>
        <v>0</v>
      </c>
      <c r="D15" s="93">
        <f t="shared" si="2"/>
        <v>0</v>
      </c>
      <c r="E15" s="93">
        <f t="shared" si="2"/>
        <v>0</v>
      </c>
      <c r="F15" s="93">
        <f t="shared" si="2"/>
        <v>0</v>
      </c>
      <c r="G15" s="93">
        <f t="shared" si="2"/>
        <v>0</v>
      </c>
      <c r="H15" s="93">
        <f t="shared" si="2"/>
        <v>0</v>
      </c>
    </row>
    <row r="16" ht="14.15" customHeight="1" spans="1:8">
      <c r="A16" s="88" t="s">
        <v>165</v>
      </c>
      <c r="B16" s="88" t="s">
        <v>166</v>
      </c>
      <c r="C16" s="90"/>
      <c r="D16" s="94"/>
      <c r="E16" s="94"/>
      <c r="F16" s="92"/>
      <c r="G16" s="94"/>
      <c r="H16" s="94"/>
    </row>
    <row r="17" ht="14.15" customHeight="1" spans="1:8">
      <c r="A17" s="88" t="s">
        <v>167</v>
      </c>
      <c r="B17" s="88" t="s">
        <v>168</v>
      </c>
      <c r="C17" s="90"/>
      <c r="D17" s="94"/>
      <c r="E17" s="94"/>
      <c r="F17" s="92"/>
      <c r="G17" s="94"/>
      <c r="H17" s="94"/>
    </row>
    <row r="18" ht="14.15" customHeight="1" spans="1:8">
      <c r="A18" s="88" t="s">
        <v>169</v>
      </c>
      <c r="B18" s="88" t="s">
        <v>170</v>
      </c>
      <c r="C18" s="91">
        <f t="shared" ref="C18:H18" si="3">C15+C16-C17</f>
        <v>0</v>
      </c>
      <c r="D18" s="93">
        <f t="shared" si="3"/>
        <v>0</v>
      </c>
      <c r="E18" s="93">
        <f t="shared" si="3"/>
        <v>0</v>
      </c>
      <c r="F18" s="93">
        <f t="shared" si="3"/>
        <v>0</v>
      </c>
      <c r="G18" s="93">
        <f t="shared" si="3"/>
        <v>0</v>
      </c>
      <c r="H18" s="93">
        <f t="shared" si="3"/>
        <v>0</v>
      </c>
    </row>
    <row r="19" ht="14.15" customHeight="1" spans="1:8">
      <c r="A19" s="88" t="s">
        <v>171</v>
      </c>
      <c r="B19" s="88" t="s">
        <v>172</v>
      </c>
      <c r="C19" s="90"/>
      <c r="D19" s="94"/>
      <c r="E19" s="94"/>
      <c r="F19" s="94"/>
      <c r="G19" s="94"/>
      <c r="H19" s="94"/>
    </row>
    <row r="20" ht="14.15" customHeight="1" spans="1:8">
      <c r="A20" s="88" t="s">
        <v>173</v>
      </c>
      <c r="B20" s="88" t="s">
        <v>174</v>
      </c>
      <c r="C20" s="91">
        <f t="shared" ref="C20:H20" si="4">C18-C19</f>
        <v>0</v>
      </c>
      <c r="D20" s="93">
        <f t="shared" si="4"/>
        <v>0</v>
      </c>
      <c r="E20" s="93">
        <f t="shared" si="4"/>
        <v>0</v>
      </c>
      <c r="F20" s="93">
        <f t="shared" si="4"/>
        <v>0</v>
      </c>
      <c r="G20" s="93">
        <f t="shared" si="4"/>
        <v>0</v>
      </c>
      <c r="H20" s="93">
        <f t="shared" si="4"/>
        <v>0</v>
      </c>
    </row>
    <row r="21" ht="14.15" customHeight="1" spans="1:8">
      <c r="A21" s="88" t="s">
        <v>175</v>
      </c>
      <c r="B21" s="88" t="s">
        <v>176</v>
      </c>
      <c r="C21" s="90"/>
      <c r="D21" s="94"/>
      <c r="E21" s="94"/>
      <c r="F21" s="94"/>
      <c r="G21" s="94"/>
      <c r="H21" s="94"/>
    </row>
    <row r="22" ht="14.15" customHeight="1" spans="1:8">
      <c r="A22" s="88" t="s">
        <v>177</v>
      </c>
      <c r="B22" s="88" t="s">
        <v>178</v>
      </c>
      <c r="C22" s="91">
        <f t="shared" ref="C22:H22" si="5">C20-C21</f>
        <v>0</v>
      </c>
      <c r="D22" s="93">
        <f t="shared" si="5"/>
        <v>0</v>
      </c>
      <c r="E22" s="93">
        <f t="shared" si="5"/>
        <v>0</v>
      </c>
      <c r="F22" s="93">
        <f t="shared" si="5"/>
        <v>0</v>
      </c>
      <c r="G22" s="93">
        <f t="shared" si="5"/>
        <v>0</v>
      </c>
      <c r="H22" s="93">
        <f t="shared" si="5"/>
        <v>0</v>
      </c>
    </row>
    <row r="23" ht="14.15" customHeight="1" spans="1:8">
      <c r="A23" s="88" t="s">
        <v>179</v>
      </c>
      <c r="B23" s="88" t="s">
        <v>180</v>
      </c>
      <c r="C23" s="90"/>
      <c r="D23" s="94"/>
      <c r="E23" s="94"/>
      <c r="F23" s="94"/>
      <c r="G23" s="94"/>
      <c r="H23" s="94"/>
    </row>
    <row r="24" ht="14.15" customHeight="1" spans="1:8">
      <c r="A24" s="88" t="s">
        <v>181</v>
      </c>
      <c r="B24" s="88" t="s">
        <v>182</v>
      </c>
      <c r="C24" s="90"/>
      <c r="D24" s="94"/>
      <c r="E24" s="94"/>
      <c r="F24" s="94"/>
      <c r="G24" s="94"/>
      <c r="H24" s="94"/>
    </row>
    <row r="25" ht="14.15" customHeight="1" spans="1:8">
      <c r="A25" s="88" t="s">
        <v>183</v>
      </c>
      <c r="B25" s="88" t="s">
        <v>184</v>
      </c>
      <c r="C25" s="90"/>
      <c r="D25" s="94"/>
      <c r="E25" s="94"/>
      <c r="F25" s="94"/>
      <c r="G25" s="94"/>
      <c r="H25" s="94"/>
    </row>
    <row r="26" ht="14.15" customHeight="1" spans="1:8">
      <c r="A26" s="88" t="s">
        <v>185</v>
      </c>
      <c r="B26" s="88" t="s">
        <v>186</v>
      </c>
      <c r="C26" s="90"/>
      <c r="E26" s="92"/>
      <c r="F26" s="92"/>
      <c r="G26" s="92"/>
      <c r="H26" s="92"/>
    </row>
    <row r="27" ht="14.15" customHeight="1" spans="1:8">
      <c r="A27" s="88" t="s">
        <v>187</v>
      </c>
      <c r="B27" s="88" t="s">
        <v>188</v>
      </c>
      <c r="C27" s="90"/>
      <c r="D27" s="94"/>
      <c r="E27" s="94"/>
      <c r="F27" s="94"/>
      <c r="G27" s="94"/>
      <c r="H27" s="94"/>
    </row>
    <row r="28" ht="14.15" customHeight="1" spans="1:8">
      <c r="A28" s="88" t="s">
        <v>189</v>
      </c>
      <c r="B28" s="88" t="s">
        <v>190</v>
      </c>
      <c r="C28" s="90"/>
      <c r="E28" s="92"/>
      <c r="F28" s="92"/>
      <c r="G28" s="92"/>
      <c r="H28" s="92"/>
    </row>
    <row r="29" ht="14.15" customHeight="1" spans="1:8">
      <c r="A29" s="88" t="s">
        <v>191</v>
      </c>
      <c r="B29" s="88" t="s">
        <v>192</v>
      </c>
      <c r="C29" s="90"/>
      <c r="D29" s="94"/>
      <c r="E29" s="94"/>
      <c r="F29" s="94"/>
      <c r="G29" s="94"/>
      <c r="H29" s="94"/>
    </row>
    <row r="30" ht="14.15" customHeight="1" spans="1:8">
      <c r="A30" s="88" t="s">
        <v>193</v>
      </c>
      <c r="B30" s="88" t="s">
        <v>194</v>
      </c>
      <c r="C30" s="90"/>
      <c r="D30" s="94"/>
      <c r="E30" s="94"/>
      <c r="F30" s="94"/>
      <c r="G30" s="94"/>
      <c r="H30" s="94"/>
    </row>
    <row r="31" ht="14.15" customHeight="1" spans="1:8">
      <c r="A31" s="88" t="s">
        <v>195</v>
      </c>
      <c r="B31" s="88" t="s">
        <v>196</v>
      </c>
      <c r="C31" s="90"/>
      <c r="D31" s="94"/>
      <c r="E31" s="94"/>
      <c r="F31" s="94"/>
      <c r="G31" s="94"/>
      <c r="H31" s="94"/>
    </row>
    <row r="32" ht="14.15" customHeight="1" spans="1:8">
      <c r="A32" s="88" t="s">
        <v>197</v>
      </c>
      <c r="B32" s="88" t="s">
        <v>198</v>
      </c>
      <c r="C32" s="90"/>
      <c r="D32" s="94"/>
      <c r="E32" s="94"/>
      <c r="F32" s="94"/>
      <c r="G32" s="94"/>
      <c r="H32" s="94"/>
    </row>
    <row r="33" ht="14.15" customHeight="1" spans="1:8">
      <c r="A33" s="88" t="s">
        <v>199</v>
      </c>
      <c r="B33" s="88" t="s">
        <v>200</v>
      </c>
      <c r="C33" s="91">
        <f t="shared" ref="C33:H33" si="6">C22+C26+C32</f>
        <v>0</v>
      </c>
      <c r="D33" s="93">
        <f t="shared" si="6"/>
        <v>0</v>
      </c>
      <c r="E33" s="93">
        <f t="shared" si="6"/>
        <v>0</v>
      </c>
      <c r="F33" s="93">
        <f t="shared" si="6"/>
        <v>0</v>
      </c>
      <c r="G33" s="93">
        <f t="shared" si="6"/>
        <v>0</v>
      </c>
      <c r="H33" s="93">
        <f t="shared" si="6"/>
        <v>0</v>
      </c>
    </row>
    <row r="34" ht="14.15" customHeight="1" spans="1:8">
      <c r="A34" s="88" t="s">
        <v>201</v>
      </c>
      <c r="B34" s="88" t="s">
        <v>202</v>
      </c>
      <c r="C34" s="90"/>
      <c r="D34" s="94"/>
      <c r="E34" s="94"/>
      <c r="F34" s="94"/>
      <c r="G34" s="94"/>
      <c r="H34" s="94"/>
    </row>
    <row r="35" ht="14.15" customHeight="1" spans="1:8">
      <c r="A35" s="88" t="s">
        <v>203</v>
      </c>
      <c r="B35" s="88" t="s">
        <v>204</v>
      </c>
      <c r="C35" s="90"/>
      <c r="D35" s="94"/>
      <c r="E35" s="94"/>
      <c r="F35" s="94"/>
      <c r="G35" s="94"/>
      <c r="H35" s="94"/>
    </row>
    <row r="36" ht="14.15" customHeight="1" spans="1:8">
      <c r="A36" s="88" t="s">
        <v>205</v>
      </c>
      <c r="B36" s="88" t="s">
        <v>206</v>
      </c>
      <c r="C36" s="90"/>
      <c r="D36" s="94"/>
      <c r="E36" s="94"/>
      <c r="F36" s="94"/>
      <c r="G36" s="94"/>
      <c r="H36" s="94"/>
    </row>
    <row r="37" ht="14.15" customHeight="1" spans="1:8">
      <c r="A37" s="88" t="s">
        <v>207</v>
      </c>
      <c r="B37" s="88" t="s">
        <v>208</v>
      </c>
      <c r="C37" s="90"/>
      <c r="D37" s="94"/>
      <c r="E37" s="94"/>
      <c r="F37" s="94"/>
      <c r="G37" s="94"/>
      <c r="H37" s="94"/>
    </row>
    <row r="38" ht="14.15" customHeight="1" spans="1:8">
      <c r="A38" s="88" t="s">
        <v>209</v>
      </c>
      <c r="B38" s="88" t="s">
        <v>210</v>
      </c>
      <c r="C38" s="90"/>
      <c r="D38" s="94"/>
      <c r="E38" s="94"/>
      <c r="F38" s="94"/>
      <c r="G38" s="94"/>
      <c r="H38" s="94"/>
    </row>
    <row r="39" ht="14.15" customHeight="1" spans="1:8">
      <c r="A39" s="88" t="s">
        <v>211</v>
      </c>
      <c r="B39" s="88" t="s">
        <v>125</v>
      </c>
      <c r="C39" s="91">
        <f>C33-C36</f>
        <v>0</v>
      </c>
      <c r="D39" s="93">
        <f>D33-D36-D38</f>
        <v>0</v>
      </c>
      <c r="E39" s="93">
        <f>E33-E36-E38</f>
        <v>0</v>
      </c>
      <c r="F39" s="93">
        <f>F33-F36</f>
        <v>0</v>
      </c>
      <c r="G39" s="93">
        <f>G33-G36-G38</f>
        <v>0</v>
      </c>
      <c r="H39" s="93">
        <f>H33-H36-H38</f>
        <v>0</v>
      </c>
    </row>
    <row r="40" ht="14.15" customHeight="1" spans="1:8">
      <c r="A40" s="88" t="s">
        <v>212</v>
      </c>
      <c r="B40" s="88" t="s">
        <v>213</v>
      </c>
      <c r="C40" s="90"/>
      <c r="D40" s="94"/>
      <c r="E40" s="94"/>
      <c r="F40" s="94"/>
      <c r="G40" s="94"/>
      <c r="H40" s="94"/>
    </row>
    <row r="41" ht="14.15" customHeight="1" spans="1:8">
      <c r="A41" s="88" t="s">
        <v>214</v>
      </c>
      <c r="B41" s="88" t="s">
        <v>215</v>
      </c>
      <c r="C41" s="90"/>
      <c r="D41" s="94"/>
      <c r="E41" s="94"/>
      <c r="F41" s="94"/>
      <c r="G41" s="94"/>
      <c r="H41" s="94"/>
    </row>
    <row r="42" ht="14.15" customHeight="1" spans="1:8">
      <c r="A42" s="88" t="s">
        <v>216</v>
      </c>
      <c r="B42" s="88" t="s">
        <v>217</v>
      </c>
      <c r="C42" s="90"/>
      <c r="D42" s="94"/>
      <c r="E42" s="95"/>
      <c r="F42" s="94"/>
      <c r="G42" s="94"/>
      <c r="H42" s="94"/>
    </row>
    <row r="43" ht="14.15" customHeight="1" spans="1:8">
      <c r="A43" s="88" t="s">
        <v>218</v>
      </c>
      <c r="B43" s="88" t="s">
        <v>219</v>
      </c>
      <c r="C43" s="90"/>
      <c r="D43" s="94">
        <v>0</v>
      </c>
      <c r="E43" s="95">
        <v>0</v>
      </c>
      <c r="F43" s="94">
        <v>0</v>
      </c>
      <c r="G43" s="94">
        <v>0</v>
      </c>
      <c r="H43" s="94">
        <v>0</v>
      </c>
    </row>
  </sheetData>
  <autoFilter ref="A1:H43">
    <extLst/>
  </autoFilter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G39"/>
  <sheetViews>
    <sheetView tabSelected="1" zoomScale="130" zoomScaleNormal="130" workbookViewId="0">
      <pane xSplit="1" ySplit="1" topLeftCell="B2" activePane="bottomRight" state="frozen"/>
      <selection/>
      <selection pane="topRight"/>
      <selection pane="bottomLeft"/>
      <selection pane="bottomRight" activeCell="G2" sqref="G2"/>
    </sheetView>
  </sheetViews>
  <sheetFormatPr defaultColWidth="9" defaultRowHeight="12.75" outlineLevelCol="6"/>
  <cols>
    <col min="1" max="1" width="8.54285714285714" customWidth="1"/>
    <col min="2" max="2" width="25.5428571428571" customWidth="1"/>
    <col min="3" max="7" width="16.1809523809524" customWidth="1"/>
  </cols>
  <sheetData>
    <row r="1" ht="22" customHeight="1" spans="1:7">
      <c r="A1" s="85" t="s">
        <v>0</v>
      </c>
      <c r="B1" s="85" t="s">
        <v>1</v>
      </c>
      <c r="C1" s="86">
        <v>43100</v>
      </c>
      <c r="D1" s="86">
        <v>43465</v>
      </c>
      <c r="E1" s="86">
        <v>43830</v>
      </c>
      <c r="F1" s="86">
        <v>44196</v>
      </c>
      <c r="G1" s="87">
        <v>44500</v>
      </c>
    </row>
    <row r="2" ht="14.15" customHeight="1" spans="1:7">
      <c r="A2" s="88" t="s">
        <v>220</v>
      </c>
      <c r="B2" s="88" t="s">
        <v>221</v>
      </c>
      <c r="C2" s="89"/>
      <c r="D2" s="89"/>
      <c r="E2" s="89"/>
      <c r="F2" s="89"/>
      <c r="G2" s="89"/>
    </row>
    <row r="3" ht="14.15" customHeight="1" spans="1:7">
      <c r="A3" s="88" t="s">
        <v>222</v>
      </c>
      <c r="B3" s="88" t="s">
        <v>223</v>
      </c>
      <c r="C3" s="90"/>
      <c r="D3" s="90"/>
      <c r="E3" s="90"/>
      <c r="F3" s="90"/>
      <c r="G3" s="90"/>
    </row>
    <row r="4" ht="14.15" customHeight="1" spans="1:7">
      <c r="A4" s="88" t="s">
        <v>224</v>
      </c>
      <c r="B4" s="88" t="s">
        <v>225</v>
      </c>
      <c r="C4" s="90"/>
      <c r="D4" s="90"/>
      <c r="E4" s="90"/>
      <c r="F4" s="90"/>
      <c r="G4" s="90"/>
    </row>
    <row r="5" ht="14.15" customHeight="1" spans="1:7">
      <c r="A5" s="88" t="s">
        <v>226</v>
      </c>
      <c r="B5" s="88" t="s">
        <v>227</v>
      </c>
      <c r="C5" s="90"/>
      <c r="D5" s="90"/>
      <c r="E5" s="90"/>
      <c r="F5" s="90"/>
      <c r="G5" s="90"/>
    </row>
    <row r="6" ht="14.15" customHeight="1" spans="1:7">
      <c r="A6" s="88" t="s">
        <v>228</v>
      </c>
      <c r="B6" s="88" t="s">
        <v>229</v>
      </c>
      <c r="C6" s="91">
        <f>SUM(C3:C5)</f>
        <v>0</v>
      </c>
      <c r="D6" s="91">
        <f>SUM(D3:D5)</f>
        <v>0</v>
      </c>
      <c r="E6" s="91">
        <f>SUM(E3:E5)</f>
        <v>0</v>
      </c>
      <c r="F6" s="91">
        <f>SUM(F3:F5)</f>
        <v>0</v>
      </c>
      <c r="G6" s="91">
        <f>SUM(G3:G5)</f>
        <v>0</v>
      </c>
    </row>
    <row r="7" ht="14.15" customHeight="1" spans="1:7">
      <c r="A7" s="88" t="s">
        <v>230</v>
      </c>
      <c r="B7" s="88" t="s">
        <v>231</v>
      </c>
      <c r="C7" s="90"/>
      <c r="D7" s="90"/>
      <c r="E7" s="90"/>
      <c r="F7" s="90"/>
      <c r="G7" s="90"/>
    </row>
    <row r="8" ht="14.15" customHeight="1" spans="1:7">
      <c r="A8" s="88" t="s">
        <v>232</v>
      </c>
      <c r="B8" s="88" t="s">
        <v>233</v>
      </c>
      <c r="C8" s="90"/>
      <c r="D8" s="90"/>
      <c r="E8" s="90"/>
      <c r="F8" s="90"/>
      <c r="G8" s="90"/>
    </row>
    <row r="9" ht="14.15" customHeight="1" spans="1:7">
      <c r="A9" s="88" t="s">
        <v>234</v>
      </c>
      <c r="B9" s="88" t="s">
        <v>235</v>
      </c>
      <c r="C9" s="90"/>
      <c r="D9" s="90"/>
      <c r="E9" s="90"/>
      <c r="F9" s="90"/>
      <c r="G9" s="90"/>
    </row>
    <row r="10" ht="14.15" customHeight="1" spans="1:7">
      <c r="A10" s="88" t="s">
        <v>236</v>
      </c>
      <c r="B10" s="88" t="s">
        <v>237</v>
      </c>
      <c r="C10" s="90"/>
      <c r="D10" s="90"/>
      <c r="E10" s="90"/>
      <c r="F10" s="90"/>
      <c r="G10" s="90"/>
    </row>
    <row r="11" ht="14.15" customHeight="1" spans="1:7">
      <c r="A11" s="88" t="s">
        <v>238</v>
      </c>
      <c r="B11" s="88" t="s">
        <v>239</v>
      </c>
      <c r="C11" s="91">
        <f>SUM(C7:C10)</f>
        <v>0</v>
      </c>
      <c r="D11" s="91">
        <f>SUM(D7:D10)</f>
        <v>0</v>
      </c>
      <c r="E11" s="91">
        <f>SUM(E7:E10)</f>
        <v>0</v>
      </c>
      <c r="F11" s="91">
        <f>SUM(F7:F10)</f>
        <v>0</v>
      </c>
      <c r="G11" s="91">
        <f>SUM(G7:G10)</f>
        <v>0</v>
      </c>
    </row>
    <row r="12" ht="14.15" customHeight="1" spans="1:7">
      <c r="A12" s="88" t="s">
        <v>240</v>
      </c>
      <c r="B12" s="88" t="s">
        <v>241</v>
      </c>
      <c r="C12" s="91">
        <f>C6-C11</f>
        <v>0</v>
      </c>
      <c r="D12" s="91">
        <f>D6-D11</f>
        <v>0</v>
      </c>
      <c r="E12" s="91">
        <f>E6-E11</f>
        <v>0</v>
      </c>
      <c r="F12" s="91">
        <f>F6-F11</f>
        <v>0</v>
      </c>
      <c r="G12" s="91">
        <f>G6-G11</f>
        <v>0</v>
      </c>
    </row>
    <row r="13" ht="14.15" customHeight="1" spans="1:7">
      <c r="A13" s="88" t="s">
        <v>242</v>
      </c>
      <c r="B13" s="88" t="s">
        <v>243</v>
      </c>
      <c r="C13" s="90"/>
      <c r="D13" s="90"/>
      <c r="E13" s="90"/>
      <c r="F13" s="90"/>
      <c r="G13" s="90"/>
    </row>
    <row r="14" ht="14.15" customHeight="1" spans="1:7">
      <c r="A14" s="88" t="s">
        <v>244</v>
      </c>
      <c r="B14" s="88" t="s">
        <v>245</v>
      </c>
      <c r="C14" s="90"/>
      <c r="D14" s="90"/>
      <c r="E14" s="90"/>
      <c r="F14" s="90"/>
      <c r="G14" s="90"/>
    </row>
    <row r="15" ht="14.15" customHeight="1" spans="1:7">
      <c r="A15" s="88" t="s">
        <v>246</v>
      </c>
      <c r="B15" s="88" t="s">
        <v>247</v>
      </c>
      <c r="C15" s="90"/>
      <c r="D15" s="90"/>
      <c r="E15" s="90"/>
      <c r="F15" s="90"/>
      <c r="G15" s="90"/>
    </row>
    <row r="16" ht="23.25" customHeight="1" spans="1:7">
      <c r="A16" s="88" t="s">
        <v>248</v>
      </c>
      <c r="B16" s="88" t="s">
        <v>249</v>
      </c>
      <c r="C16" s="90"/>
      <c r="D16" s="90"/>
      <c r="E16" s="90"/>
      <c r="F16" s="90"/>
      <c r="G16" s="90"/>
    </row>
    <row r="17" ht="14.15" customHeight="1" spans="1:7">
      <c r="A17" s="88" t="s">
        <v>250</v>
      </c>
      <c r="B17" s="88" t="s">
        <v>251</v>
      </c>
      <c r="C17" s="90"/>
      <c r="D17" s="90"/>
      <c r="E17" s="90"/>
      <c r="F17" s="90"/>
      <c r="G17" s="90"/>
    </row>
    <row r="18" ht="14.15" customHeight="1" spans="1:7">
      <c r="A18" s="88" t="s">
        <v>252</v>
      </c>
      <c r="B18" s="88" t="s">
        <v>253</v>
      </c>
      <c r="C18" s="90"/>
      <c r="D18" s="90"/>
      <c r="E18" s="90"/>
      <c r="F18" s="90"/>
      <c r="G18" s="90"/>
    </row>
    <row r="19" ht="14.15" customHeight="1" spans="1:7">
      <c r="A19" s="88" t="s">
        <v>254</v>
      </c>
      <c r="B19" s="88" t="s">
        <v>255</v>
      </c>
      <c r="C19" s="91">
        <f>SUM(C14:C18)</f>
        <v>0</v>
      </c>
      <c r="D19" s="91">
        <f>SUM(D14:D18)</f>
        <v>0</v>
      </c>
      <c r="E19" s="91">
        <f>SUM(E14:E18)</f>
        <v>0</v>
      </c>
      <c r="F19" s="91">
        <f>SUM(F14:F18)</f>
        <v>0</v>
      </c>
      <c r="G19" s="91">
        <f>SUM(G14:G18)</f>
        <v>0</v>
      </c>
    </row>
    <row r="20" ht="14.15" customHeight="1" spans="1:7">
      <c r="A20" s="88" t="s">
        <v>256</v>
      </c>
      <c r="B20" s="88" t="s">
        <v>257</v>
      </c>
      <c r="C20" s="90"/>
      <c r="D20" s="90"/>
      <c r="E20" s="90"/>
      <c r="F20" s="90"/>
      <c r="G20" s="90"/>
    </row>
    <row r="21" ht="14.15" customHeight="1" spans="1:7">
      <c r="A21" s="88" t="s">
        <v>258</v>
      </c>
      <c r="B21" s="88" t="s">
        <v>259</v>
      </c>
      <c r="C21" s="90"/>
      <c r="D21" s="90"/>
      <c r="E21" s="90"/>
      <c r="F21" s="90"/>
      <c r="G21" s="90"/>
    </row>
    <row r="22" ht="14.15" customHeight="1" spans="1:7">
      <c r="A22" s="88" t="s">
        <v>260</v>
      </c>
      <c r="B22" s="88" t="s">
        <v>261</v>
      </c>
      <c r="C22" s="90"/>
      <c r="D22" s="90"/>
      <c r="E22" s="90"/>
      <c r="F22" s="90"/>
      <c r="G22" s="90"/>
    </row>
    <row r="23" ht="14.15" customHeight="1" spans="1:7">
      <c r="A23" s="88" t="s">
        <v>262</v>
      </c>
      <c r="B23" s="88" t="s">
        <v>263</v>
      </c>
      <c r="C23" s="90"/>
      <c r="D23" s="90"/>
      <c r="E23" s="90"/>
      <c r="F23" s="90"/>
      <c r="G23" s="90"/>
    </row>
    <row r="24" ht="14.15" customHeight="1" spans="1:7">
      <c r="A24" s="88" t="s">
        <v>264</v>
      </c>
      <c r="B24" s="88" t="s">
        <v>265</v>
      </c>
      <c r="C24" s="91">
        <f>SUM(C20:C23)</f>
        <v>0</v>
      </c>
      <c r="D24" s="91">
        <f>SUM(D20:D23)</f>
        <v>0</v>
      </c>
      <c r="E24" s="91">
        <f>SUM(E20:E23)</f>
        <v>0</v>
      </c>
      <c r="F24" s="91">
        <f>SUM(F20:F23)</f>
        <v>0</v>
      </c>
      <c r="G24" s="91">
        <f>SUM(G20:G23)</f>
        <v>0</v>
      </c>
    </row>
    <row r="25" ht="14.15" customHeight="1" spans="1:7">
      <c r="A25" s="88" t="s">
        <v>266</v>
      </c>
      <c r="B25" s="88" t="s">
        <v>267</v>
      </c>
      <c r="C25" s="91">
        <f>C19-C24</f>
        <v>0</v>
      </c>
      <c r="D25" s="91">
        <f>D19-D24</f>
        <v>0</v>
      </c>
      <c r="E25" s="91">
        <f>E19-E24</f>
        <v>0</v>
      </c>
      <c r="F25" s="91">
        <f>F19-F24</f>
        <v>0</v>
      </c>
      <c r="G25" s="91">
        <f>G19-G24</f>
        <v>0</v>
      </c>
    </row>
    <row r="26" ht="14.15" customHeight="1" spans="1:7">
      <c r="A26" s="88" t="s">
        <v>268</v>
      </c>
      <c r="B26" s="88" t="s">
        <v>269</v>
      </c>
      <c r="C26" s="90"/>
      <c r="D26" s="90"/>
      <c r="E26" s="90"/>
      <c r="F26" s="90"/>
      <c r="G26" s="90"/>
    </row>
    <row r="27" ht="14.15" customHeight="1" spans="1:7">
      <c r="A27" s="88" t="s">
        <v>270</v>
      </c>
      <c r="B27" s="88" t="s">
        <v>271</v>
      </c>
      <c r="C27" s="90"/>
      <c r="D27" s="90"/>
      <c r="E27" s="90"/>
      <c r="F27" s="90"/>
      <c r="G27" s="90"/>
    </row>
    <row r="28" ht="14.15" customHeight="1" spans="1:7">
      <c r="A28" s="88" t="s">
        <v>272</v>
      </c>
      <c r="B28" s="88" t="s">
        <v>273</v>
      </c>
      <c r="C28" s="90"/>
      <c r="D28" s="90"/>
      <c r="E28" s="90"/>
      <c r="F28" s="90"/>
      <c r="G28" s="90"/>
    </row>
    <row r="29" ht="14.15" customHeight="1" spans="1:7">
      <c r="A29" s="88" t="s">
        <v>274</v>
      </c>
      <c r="B29" s="88" t="s">
        <v>275</v>
      </c>
      <c r="C29" s="90"/>
      <c r="D29" s="90"/>
      <c r="E29" s="90"/>
      <c r="F29" s="90"/>
      <c r="G29" s="90"/>
    </row>
    <row r="30" ht="14.15" customHeight="1" spans="1:7">
      <c r="A30" s="88" t="s">
        <v>276</v>
      </c>
      <c r="B30" s="88" t="s">
        <v>277</v>
      </c>
      <c r="C30" s="91">
        <f>SUM(C27:C29)</f>
        <v>0</v>
      </c>
      <c r="D30" s="91">
        <f>SUM(D27:D29)</f>
        <v>0</v>
      </c>
      <c r="E30" s="91">
        <f>SUM(E27:E29)</f>
        <v>0</v>
      </c>
      <c r="F30" s="91">
        <f>SUM(F27:F29)</f>
        <v>0</v>
      </c>
      <c r="G30" s="91">
        <f>SUM(G27:G29)</f>
        <v>0</v>
      </c>
    </row>
    <row r="31" ht="14.15" customHeight="1" spans="1:7">
      <c r="A31" s="88" t="s">
        <v>278</v>
      </c>
      <c r="B31" s="88" t="s">
        <v>279</v>
      </c>
      <c r="C31" s="90"/>
      <c r="D31" s="90"/>
      <c r="E31" s="90"/>
      <c r="F31" s="90"/>
      <c r="G31" s="90"/>
    </row>
    <row r="32" ht="14.15" customHeight="1" spans="1:7">
      <c r="A32" s="88" t="s">
        <v>280</v>
      </c>
      <c r="B32" s="88" t="s">
        <v>281</v>
      </c>
      <c r="C32" s="90"/>
      <c r="D32" s="90"/>
      <c r="E32" s="90"/>
      <c r="F32" s="90"/>
      <c r="G32" s="90"/>
    </row>
    <row r="33" ht="14.15" customHeight="1" spans="1:7">
      <c r="A33" s="88" t="s">
        <v>282</v>
      </c>
      <c r="B33" s="88" t="s">
        <v>283</v>
      </c>
      <c r="C33" s="90"/>
      <c r="D33" s="90"/>
      <c r="E33" s="90"/>
      <c r="F33" s="90"/>
      <c r="G33" s="90"/>
    </row>
    <row r="34" ht="14.15" customHeight="1" spans="1:7">
      <c r="A34" s="88" t="s">
        <v>284</v>
      </c>
      <c r="B34" s="88" t="s">
        <v>285</v>
      </c>
      <c r="C34" s="91">
        <f>SUM(C31:C33)</f>
        <v>0</v>
      </c>
      <c r="D34" s="91">
        <f>SUM(D31:D33)</f>
        <v>0</v>
      </c>
      <c r="E34" s="91">
        <f>SUM(E31:E33)</f>
        <v>0</v>
      </c>
      <c r="F34" s="91">
        <f>SUM(F31:F33)</f>
        <v>0</v>
      </c>
      <c r="G34" s="91">
        <f>SUM(G31:G33)</f>
        <v>0</v>
      </c>
    </row>
    <row r="35" ht="14.15" customHeight="1" spans="1:7">
      <c r="A35" s="88" t="s">
        <v>286</v>
      </c>
      <c r="B35" s="88" t="s">
        <v>287</v>
      </c>
      <c r="C35" s="91">
        <f>C30-C34</f>
        <v>0</v>
      </c>
      <c r="D35" s="91">
        <f>D30-D34</f>
        <v>0</v>
      </c>
      <c r="E35" s="91">
        <f>E30-E34</f>
        <v>0</v>
      </c>
      <c r="F35" s="91">
        <f>F30-F34</f>
        <v>0</v>
      </c>
      <c r="G35" s="91">
        <f>G30-G34</f>
        <v>0</v>
      </c>
    </row>
    <row r="36" ht="14.15" customHeight="1" spans="1:7">
      <c r="A36" s="88" t="s">
        <v>288</v>
      </c>
      <c r="B36" s="88" t="s">
        <v>289</v>
      </c>
      <c r="C36" s="90"/>
      <c r="D36" s="90"/>
      <c r="E36" s="90"/>
      <c r="F36" s="90"/>
      <c r="G36" s="90"/>
    </row>
    <row r="37" ht="14.15" customHeight="1" spans="1:7">
      <c r="A37" s="88" t="s">
        <v>290</v>
      </c>
      <c r="B37" s="88" t="s">
        <v>291</v>
      </c>
      <c r="C37" s="91">
        <f>C12+C25+C35+C36</f>
        <v>0</v>
      </c>
      <c r="D37" s="91">
        <f>D12+D25+D35+D36</f>
        <v>0</v>
      </c>
      <c r="E37" s="91">
        <f>E12+E25+E35+E36</f>
        <v>0</v>
      </c>
      <c r="F37" s="91">
        <f>F12+F25+F35+F36</f>
        <v>0</v>
      </c>
      <c r="G37" s="91">
        <f>G12+G25+G35+G36</f>
        <v>0</v>
      </c>
    </row>
    <row r="38" ht="14.15" customHeight="1" spans="1:7">
      <c r="A38" s="88" t="s">
        <v>292</v>
      </c>
      <c r="B38" s="88" t="s">
        <v>293</v>
      </c>
      <c r="C38" s="90"/>
      <c r="D38" s="90"/>
      <c r="E38" s="90"/>
      <c r="F38" s="90"/>
      <c r="G38" s="90"/>
    </row>
    <row r="39" ht="14.15" customHeight="1" spans="1:7">
      <c r="A39" s="88" t="s">
        <v>294</v>
      </c>
      <c r="B39" s="88" t="s">
        <v>295</v>
      </c>
      <c r="C39" s="91">
        <f>C37+C38</f>
        <v>0</v>
      </c>
      <c r="D39" s="91">
        <f>D37+D38</f>
        <v>0</v>
      </c>
      <c r="E39" s="91">
        <f>E37+E38</f>
        <v>0</v>
      </c>
      <c r="F39" s="91">
        <f>F37+F38</f>
        <v>0</v>
      </c>
      <c r="G39" s="91">
        <f>G37+G38</f>
        <v>0</v>
      </c>
    </row>
  </sheetData>
  <autoFilter ref="A1:G39">
    <extLst/>
  </autoFilter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J75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E1" sqref="E1"/>
    </sheetView>
  </sheetViews>
  <sheetFormatPr defaultColWidth="10.2666666666667" defaultRowHeight="14.25"/>
  <cols>
    <col min="1" max="1" width="20.7238095238095" style="61" customWidth="1"/>
    <col min="2" max="2" width="13.5428571428571" style="62" customWidth="1"/>
    <col min="3" max="3" width="13.5428571428571" style="63" customWidth="1"/>
    <col min="4" max="5" width="13.5428571428571" style="64" customWidth="1"/>
    <col min="6" max="16384" width="10.2666666666667" style="61"/>
  </cols>
  <sheetData>
    <row r="1" ht="12.75" spans="1:5">
      <c r="A1" s="65" t="s">
        <v>296</v>
      </c>
      <c r="B1" s="66">
        <v>43100</v>
      </c>
      <c r="C1" s="66">
        <f>DATE(YEAR(B1)+1,MONTH(B1),DAY(B1))</f>
        <v>43465</v>
      </c>
      <c r="D1" s="67">
        <f>DATE(YEAR(B1)+2,MONTH(B1),DAY(B1))</f>
        <v>43830</v>
      </c>
      <c r="E1" s="67">
        <f>bs!H1</f>
        <v>44500</v>
      </c>
    </row>
    <row r="2" ht="12.75" spans="1:5">
      <c r="A2" s="68" t="s">
        <v>297</v>
      </c>
      <c r="B2" s="69">
        <f>ROUND(HLOOKUP(B1,bs!$D$1:$AC$68,ROW(bs!D7),FALSE),0)/IF(LEN($G$6)&gt;4,10000,1)</f>
        <v>0</v>
      </c>
      <c r="C2" s="69">
        <f>ROUND(HLOOKUP(C1,bs!$D$1:$AC$68,ROW(bs!E7),FALSE),0)/IF(LEN($G$6)&gt;4,10000,1)</f>
        <v>0</v>
      </c>
      <c r="D2" s="69">
        <f>ROUND(HLOOKUP(D1,bs!$D$1:$AC$68,ROW(bs!F7),FALSE),0)/IF(LEN($G$6)&gt;4,10000,1)</f>
        <v>0</v>
      </c>
      <c r="E2" s="69">
        <f>ROUND(HLOOKUP(E1,bs!$D$1:$AC$68,ROW(bs!G7),FALSE),0)/IF(LEN($G$6)&gt;4,10000,1)</f>
        <v>0</v>
      </c>
    </row>
    <row r="3" ht="12.75" spans="1:5">
      <c r="A3" s="68" t="s">
        <v>298</v>
      </c>
      <c r="B3" s="69">
        <f>ROUND(HLOOKUP(B1,bs!$D$1:$AC$68,ROW(bs!D5),FALSE),0)/IF(LEN($G$6)&gt;4,10000,1)</f>
        <v>0</v>
      </c>
      <c r="C3" s="69">
        <f>ROUND(HLOOKUP(C1,bs!$D$1:$AC$68,ROW(bs!E5),FALSE),0)/IF(LEN($G$6)&gt;4,10000,1)</f>
        <v>0</v>
      </c>
      <c r="D3" s="69">
        <f>ROUND(HLOOKUP(D1,bs!$D$1:$AC$68,ROW(bs!F5),FALSE),0)/IF(LEN($G$6)&gt;4,10000,1)</f>
        <v>0</v>
      </c>
      <c r="E3" s="69">
        <f>ROUND(HLOOKUP(E1,bs!$D$1:$AC$68,ROW(bs!G5),FALSE),0)/IF(LEN($G$6)&gt;4,10000,1)</f>
        <v>0</v>
      </c>
    </row>
    <row r="4" ht="12.75" spans="1:5">
      <c r="A4" s="68" t="s">
        <v>299</v>
      </c>
      <c r="B4" s="69">
        <f>ROUND(HLOOKUP(B1,bs!$D$1:$AC$68,ROW(bs!D13),FALSE),0)/IF(LEN($G$6)&gt;4,10000,1)</f>
        <v>0</v>
      </c>
      <c r="C4" s="69">
        <f>ROUND(HLOOKUP(C1,bs!$D$1:$AC$68,ROW(bs!E13),FALSE),0)/IF(LEN($G$6)&gt;4,10000,1)</f>
        <v>0</v>
      </c>
      <c r="D4" s="69">
        <f>ROUND(HLOOKUP(D1,bs!$D$1:$AC$68,ROW(bs!F13),FALSE),0)/IF(LEN($G$6)&gt;4,10000,1)</f>
        <v>0</v>
      </c>
      <c r="E4" s="69">
        <f>ROUND(HLOOKUP(E1,bs!$D$1:$AC$68,ROW(bs!G13),FALSE),0)/IF(LEN($G$6)&gt;4,10000,1)</f>
        <v>0</v>
      </c>
    </row>
    <row r="5" ht="12.75" spans="1:5">
      <c r="A5" s="68" t="s">
        <v>38</v>
      </c>
      <c r="B5" s="69">
        <f>ROUND(HLOOKUP(B1,bs!$D$1:$AC$68,ROW(bs!D22),FALSE),0)/IF(LEN($G$6)&gt;4,10000,1)</f>
        <v>0</v>
      </c>
      <c r="C5" s="69">
        <f>ROUND(HLOOKUP(C1,bs!$D$1:$AC$68,ROW(bs!E22),FALSE),0)/IF(LEN($G$6)&gt;4,10000,1)</f>
        <v>0</v>
      </c>
      <c r="D5" s="69">
        <f>ROUND(HLOOKUP(D1,bs!$D$1:$AC$68,ROW(bs!F22),FALSE),0)/IF(LEN($G$6)&gt;4,10000,1)</f>
        <v>0</v>
      </c>
      <c r="E5" s="69">
        <f>ROUND(HLOOKUP(E1,bs!$D$1:$AC$68,ROW(bs!G22),FALSE),0)/IF(LEN($G$6)&gt;4,10000,1)</f>
        <v>0</v>
      </c>
    </row>
    <row r="6" spans="1:7">
      <c r="A6" s="68" t="s">
        <v>48</v>
      </c>
      <c r="B6" s="69">
        <f>ROUND(HLOOKUP(B1,bs!$D$1:$AC$68,ROW(bs!D24),FALSE),0)/IF(LEN($G$6)&gt;4,10000,1)</f>
        <v>0</v>
      </c>
      <c r="C6" s="69">
        <f>ROUND(HLOOKUP(C1,bs!$D$1:$AC$68,ROW(bs!E24),FALSE),0)/IF(LEN($G$6)&gt;4,10000,1)</f>
        <v>0</v>
      </c>
      <c r="D6" s="69">
        <f>ROUND(HLOOKUP(D1,bs!$D$1:$AC$68,ROW(bs!F24),FALSE),0)/IF(LEN($G$6)&gt;4,10000,1)</f>
        <v>0</v>
      </c>
      <c r="E6" s="69">
        <f>ROUND(HLOOKUP(E1,bs!$D$1:$AC$68,ROW(bs!G24),FALSE),0)/IF(LEN($G$6)&gt;4,10000,1)</f>
        <v>0</v>
      </c>
      <c r="G6" s="70" t="s">
        <v>300</v>
      </c>
    </row>
    <row r="7" ht="12.75" spans="1:5">
      <c r="A7" s="68" t="s">
        <v>301</v>
      </c>
      <c r="B7" s="69">
        <f>ROUND(HLOOKUP(B1,bs!$D$1:$AC$68,ROW(bs!D35),FALSE),0)/IF(LEN($G$6)&gt;4,10000,1)</f>
        <v>0</v>
      </c>
      <c r="C7" s="69">
        <f>ROUND(HLOOKUP(C1,bs!$D$1:$AC$68,ROW(bs!E35),FALSE),0)/IF(LEN($G$6)&gt;4,10000,1)</f>
        <v>0</v>
      </c>
      <c r="D7" s="69">
        <f>ROUND(HLOOKUP(D1,bs!$D$1:$AC$68,ROW(bs!F35),FALSE),0)/IF(LEN($G$6)&gt;4,10000,1)</f>
        <v>0</v>
      </c>
      <c r="E7" s="69">
        <f>ROUND(HLOOKUP(E1,bs!$D$1:$AC$68,ROW(bs!G35),FALSE),0)/IF(LEN($G$6)&gt;4,10000,1)</f>
        <v>0</v>
      </c>
    </row>
    <row r="8" ht="12.75" spans="1:5">
      <c r="A8" s="68" t="s">
        <v>72</v>
      </c>
      <c r="B8" s="69">
        <f>ROUND(HLOOKUP(B1,bs!$D$1:$AC$68,ROW(bs!D36),FALSE),0)/IF(LEN($G$6)&gt;4,10000,1)</f>
        <v>0</v>
      </c>
      <c r="C8" s="69">
        <f>ROUND(HLOOKUP(C1,bs!$D$1:$AC$68,ROW(bs!E36),FALSE),0)/IF(LEN($G$6)&gt;4,10000,1)</f>
        <v>0</v>
      </c>
      <c r="D8" s="69">
        <f>ROUND(HLOOKUP(D1,bs!$D$1:$AC$68,ROW(bs!F36),FALSE),0)/IF(LEN($G$6)&gt;4,10000,1)</f>
        <v>0</v>
      </c>
      <c r="E8" s="69">
        <f>ROUND(HLOOKUP(E1,bs!$D$1:$AC$68,ROW(bs!G36),FALSE),0)/IF(LEN($G$6)&gt;4,10000,1)</f>
        <v>0</v>
      </c>
    </row>
    <row r="9" ht="12.75" spans="1:5">
      <c r="A9" s="68" t="s">
        <v>90</v>
      </c>
      <c r="B9" s="69">
        <f>ROUND(HLOOKUP(B1,bs!$D$1:$AC$68,ROW(bs!D45),FALSE),0)/IF(LEN($G$6)&gt;4,10000,1)</f>
        <v>0</v>
      </c>
      <c r="C9" s="69">
        <f>ROUND(HLOOKUP(C1,bs!$D$1:$AC$68,ROW(bs!E45),FALSE),0)/IF(LEN($G$6)&gt;4,10000,1)</f>
        <v>0</v>
      </c>
      <c r="D9" s="69">
        <f>ROUND(HLOOKUP(D1,bs!$D$1:$AC$68,ROW(bs!F45),FALSE),0)/IF(LEN($G$6)&gt;4,10000,1)</f>
        <v>0</v>
      </c>
      <c r="E9" s="69">
        <f>ROUND(HLOOKUP(E1,bs!$D$1:$AC$68,ROW(bs!G45),FALSE),0)/IF(LEN($G$6)&gt;4,10000,1)</f>
        <v>0</v>
      </c>
    </row>
    <row r="10" ht="12.75" spans="1:5">
      <c r="A10" s="68" t="s">
        <v>302</v>
      </c>
      <c r="B10" s="69">
        <f>ROUND(HLOOKUP(B1,bs!$D$1:$AC$68,ROW(bs!D48),FALSE),0)/IF(LEN($G$6)&gt;4,10000,1)</f>
        <v>0</v>
      </c>
      <c r="C10" s="69">
        <f>ROUND(HLOOKUP(C1,bs!$D$1:$AC$68,ROW(bs!E48),FALSE),0)/IF(LEN($G$6)&gt;4,10000,1)</f>
        <v>0</v>
      </c>
      <c r="D10" s="69">
        <f>ROUND(HLOOKUP(D1,bs!$D$1:$AC$68,ROW(bs!F48),FALSE),0)/IF(LEN($G$6)&gt;4,10000,1)</f>
        <v>0</v>
      </c>
      <c r="E10" s="69">
        <f>ROUND(HLOOKUP(E1,bs!$D$1:$AC$68,ROW(bs!G48),FALSE),0)/IF(LEN($G$6)&gt;4,10000,1)</f>
        <v>0</v>
      </c>
    </row>
    <row r="11" ht="12.75" spans="1:5">
      <c r="A11" s="68" t="s">
        <v>98</v>
      </c>
      <c r="B11" s="69">
        <f>ROUND(HLOOKUP(B1,bs!$D$1:$AC$68,ROW(bs!D49),FALSE),0)/IF(LEN($G$6)&gt;4,10000,1)</f>
        <v>0</v>
      </c>
      <c r="C11" s="69">
        <f>ROUND(HLOOKUP(C1,bs!$D$1:$AC$68,ROW(bs!E49),FALSE),0)/IF(LEN($G$6)&gt;4,10000,1)</f>
        <v>0</v>
      </c>
      <c r="D11" s="69">
        <f>ROUND(HLOOKUP(D1,bs!$D$1:$AC$68,ROW(bs!F49),FALSE),0)/IF(LEN($G$6)&gt;4,10000,1)</f>
        <v>0</v>
      </c>
      <c r="E11" s="69">
        <f>ROUND(HLOOKUP(E1,bs!$D$1:$AC$68,ROW(bs!G49),FALSE),0)/IF(LEN($G$6)&gt;4,10000,1)</f>
        <v>0</v>
      </c>
    </row>
    <row r="12" ht="12.75" spans="1:5">
      <c r="A12" s="68" t="s">
        <v>102</v>
      </c>
      <c r="B12" s="69">
        <f>ROUND(HLOOKUP(B1,bs!$D$1:$AC$68,ROW(bs!D51),FALSE),0)/IF(LEN($G$6)&gt;4,10000,1)</f>
        <v>0</v>
      </c>
      <c r="C12" s="69">
        <f>ROUND(HLOOKUP(C1,bs!$D$1:$AC$68,ROW(bs!E51),FALSE),0)/IF(LEN($G$6)&gt;4,10000,1)</f>
        <v>0</v>
      </c>
      <c r="D12" s="69">
        <f>ROUND(HLOOKUP(D1,bs!$D$1:$AC$68,ROW(bs!F51),FALSE),0)/IF(LEN($G$6)&gt;4,10000,1)</f>
        <v>0</v>
      </c>
      <c r="E12" s="69">
        <f>ROUND(HLOOKUP(E1,bs!$D$1:$AC$68,ROW(bs!G51),FALSE),0)/IF(LEN($G$6)&gt;4,10000,1)</f>
        <v>0</v>
      </c>
    </row>
    <row r="13" ht="12.75" spans="1:5">
      <c r="A13" s="68" t="s">
        <v>303</v>
      </c>
      <c r="B13" s="69">
        <f>ROUND(HLOOKUP(B1,bs!$D$1:$AC$68,ROW(bs!D56),FALSE),0)/IF(LEN($G$6)&gt;4,10000,1)</f>
        <v>0</v>
      </c>
      <c r="C13" s="69">
        <f>ROUND(HLOOKUP(C1,bs!$D$1:$AC$68,ROW(bs!E56),FALSE),0)/IF(LEN($G$6)&gt;4,10000,1)</f>
        <v>0</v>
      </c>
      <c r="D13" s="69">
        <f>ROUND(HLOOKUP(D1,bs!$D$1:$AC$68,ROW(bs!F56),FALSE),0)/IF(LEN($G$6)&gt;4,10000,1)</f>
        <v>0</v>
      </c>
      <c r="E13" s="69">
        <f>ROUND(HLOOKUP(E1,bs!$D$1:$AC$68,ROW(bs!G56),FALSE),0)/IF(LEN($G$6)&gt;4,10000,1)</f>
        <v>0</v>
      </c>
    </row>
    <row r="14" ht="12.75" spans="1:5">
      <c r="A14" s="68" t="s">
        <v>304</v>
      </c>
      <c r="B14" s="69">
        <f>ROUND(HLOOKUP(B1,bs!$D$1:$AC$68,ROW(bs!D57),FALSE),0)/IF(LEN($G$6)&gt;4,10000,1)</f>
        <v>0</v>
      </c>
      <c r="C14" s="69">
        <f>ROUND(HLOOKUP(C1,bs!$D$1:$AC$68,ROW(bs!E57),FALSE),0)/IF(LEN($G$6)&gt;4,10000,1)</f>
        <v>0</v>
      </c>
      <c r="D14" s="69">
        <f>ROUND(HLOOKUP(D1,bs!$D$1:$AC$68,ROW(bs!F57),FALSE),0)/IF(LEN($G$6)&gt;4,10000,1)</f>
        <v>0</v>
      </c>
      <c r="E14" s="69">
        <f>ROUND(HLOOKUP(E1,bs!$D$1:$AC$68,ROW(bs!G57),FALSE),0)/IF(LEN($G$6)&gt;4,10000,1)</f>
        <v>0</v>
      </c>
    </row>
    <row r="15" ht="12.75" spans="1:5">
      <c r="A15" s="68" t="s">
        <v>305</v>
      </c>
      <c r="B15" s="69">
        <f>ROUND(HLOOKUP(B1,bs!$D$1:$AC$68,ROW(bs!D67),FALSE),0)/IF(LEN($G$6)&gt;4,10000,1)</f>
        <v>0</v>
      </c>
      <c r="C15" s="69">
        <f>ROUND(HLOOKUP(C1,bs!$D$1:$AC$68,ROW(bs!E67),FALSE),0)/IF(LEN($G$6)&gt;4,10000,1)</f>
        <v>0</v>
      </c>
      <c r="D15" s="69">
        <f>ROUND(HLOOKUP(D1,bs!$D$1:$AC$68,ROW(bs!F67),FALSE),0)/IF(LEN($G$6)&gt;4,10000,1)</f>
        <v>0</v>
      </c>
      <c r="E15" s="69">
        <f>ROUND(HLOOKUP(E1,bs!$D$1:$AC$68,ROW(bs!G67),FALSE),0)/IF(LEN($G$6)&gt;4,10000,1)</f>
        <v>0</v>
      </c>
    </row>
    <row r="16" ht="12.75" spans="1:5">
      <c r="A16" s="68" t="s">
        <v>140</v>
      </c>
      <c r="B16" s="69">
        <f>ROUND(HLOOKUP(B1,pl!$D$1:$CL$43,ROW(pl!D2),FALSE),0)/IF(LEN($G$6)&gt;4,10000,1)</f>
        <v>0</v>
      </c>
      <c r="C16" s="69">
        <f>ROUND(HLOOKUP(C1,pl!$D$1:$CL$43,ROW(pl!E2),FALSE),0)/IF(LEN($G$6)&gt;4,10000,1)</f>
        <v>0</v>
      </c>
      <c r="D16" s="69">
        <f>ROUND(HLOOKUP(D1,pl!$D$1:$CL$43,ROW(pl!F2),FALSE),0)/IF(LEN($G$6)&gt;4,10000,1)</f>
        <v>0</v>
      </c>
      <c r="E16" s="69">
        <f>ROUND(HLOOKUP(E1,pl!$D$1:$CL$43,ROW(pl!G2),FALSE),0)/IF(LEN($G$6)&gt;4,10000,1)</f>
        <v>0</v>
      </c>
    </row>
    <row r="17" ht="12.75" spans="1:5">
      <c r="A17" s="68" t="s">
        <v>146</v>
      </c>
      <c r="B17" s="69">
        <f>ROUND(HLOOKUP(B1,pl!$D$1:$CL$43,ROW(pl!D5),FALSE),0)/IF(LEN($G$6)&gt;4,10000,1)</f>
        <v>0</v>
      </c>
      <c r="C17" s="69">
        <f>ROUND(HLOOKUP(C1,pl!$D$1:$CL$43,ROW(pl!E5),FALSE),0)/IF(LEN($G$6)&gt;4,10000,1)</f>
        <v>0</v>
      </c>
      <c r="D17" s="69">
        <f>ROUND(HLOOKUP(D1,pl!$D$1:$CL$43,ROW(pl!F5),FALSE),0)/IF(LEN($G$6)&gt;4,10000,1)</f>
        <v>0</v>
      </c>
      <c r="E17" s="69">
        <f>ROUND(HLOOKUP(E1,pl!$D$1:$CL$43,ROW(pl!G5),FALSE),0)/IF(LEN($G$6)&gt;4,10000,1)</f>
        <v>0</v>
      </c>
    </row>
    <row r="18" ht="12.75" spans="1:5">
      <c r="A18" s="68" t="s">
        <v>306</v>
      </c>
      <c r="B18" s="69">
        <f>ROUND(HLOOKUP(B1,pl!$D$1:$CL$43,ROW(pl!D9),FALSE),0)/IF(LEN($G$6)&gt;4,10000,1)</f>
        <v>0</v>
      </c>
      <c r="C18" s="69">
        <f>ROUND(HLOOKUP(C1,pl!$D$1:$CL$43,ROW(pl!E9),FALSE),0)/IF(LEN($G$6)&gt;4,10000,1)</f>
        <v>0</v>
      </c>
      <c r="D18" s="69">
        <f>ROUND(HLOOKUP(D1,pl!$D$1:$CL$43,ROW(pl!F9),FALSE),0)/IF(LEN($G$6)&gt;4,10000,1)</f>
        <v>0</v>
      </c>
      <c r="E18" s="69">
        <f>ROUND(HLOOKUP(E1,pl!$D$1:$CL$43,ROW(pl!G9),FALSE),0)/IF(LEN($G$6)&gt;4,10000,1)</f>
        <v>0</v>
      </c>
    </row>
    <row r="19" ht="12.75" spans="1:5">
      <c r="A19" s="68" t="s">
        <v>154</v>
      </c>
      <c r="B19" s="69">
        <f>ROUND(HLOOKUP(B1,pl!$D$1:$CL$43,ROW(pl!D10),FALSE),0)/IF(LEN($G$6)&gt;4,10000,1)</f>
        <v>0</v>
      </c>
      <c r="C19" s="69">
        <f>ROUND(HLOOKUP(C1,pl!$D$1:$CL$43,ROW(pl!E10),FALSE),0)/IF(LEN($G$6)&gt;4,10000,1)</f>
        <v>0</v>
      </c>
      <c r="D19" s="69">
        <f>ROUND(HLOOKUP(D1,pl!$D$1:$CL$43,ROW(pl!F10),FALSE),0)/IF(LEN($G$6)&gt;4,10000,1)</f>
        <v>0</v>
      </c>
      <c r="E19" s="69">
        <f>ROUND(HLOOKUP(E1,pl!$D$1:$CL$43,ROW(pl!G10),FALSE),0)/IF(LEN($G$6)&gt;4,10000,1)</f>
        <v>0</v>
      </c>
    </row>
    <row r="20" spans="1:10">
      <c r="A20" s="68" t="s">
        <v>156</v>
      </c>
      <c r="B20" s="69">
        <f>ROUND(HLOOKUP(B1,pl!$D$1:$CL$43,ROW(pl!D11),FALSE),0)/IF(LEN($G$6)&gt;4,10000,1)</f>
        <v>0</v>
      </c>
      <c r="C20" s="69">
        <f>ROUND(HLOOKUP(C1,pl!$D$1:$CL$43,ROW(pl!E11),FALSE),0)/IF(LEN($G$6)&gt;4,10000,1)</f>
        <v>0</v>
      </c>
      <c r="D20" s="69">
        <f>ROUND(HLOOKUP(D1,pl!$D$1:$CL$43,ROW(pl!F11),FALSE),0)/IF(LEN($G$6)&gt;4,10000,1)</f>
        <v>0</v>
      </c>
      <c r="E20" s="69">
        <f>ROUND(HLOOKUP(E1,pl!$D$1:$CL$43,ROW(pl!G11),FALSE),0)/IF(LEN($G$6)&gt;4,10000,1)</f>
        <v>0</v>
      </c>
      <c r="F20" s="71"/>
      <c r="G20" s="71"/>
      <c r="H20" s="72"/>
      <c r="I20" s="72"/>
      <c r="J20" s="72"/>
    </row>
    <row r="21" ht="12.75" spans="1:5">
      <c r="A21" s="68" t="s">
        <v>164</v>
      </c>
      <c r="B21" s="69">
        <f>ROUND(HLOOKUP(B1,pl!$D$1:$CL$43,ROW(pl!D15),FALSE),0)/IF(LEN($G$6)&gt;4,10000,1)</f>
        <v>0</v>
      </c>
      <c r="C21" s="69">
        <f>ROUND(HLOOKUP(C1,pl!$D$1:$CL$43,ROW(pl!E15),FALSE),0)/IF(LEN($G$6)&gt;4,10000,1)</f>
        <v>0</v>
      </c>
      <c r="D21" s="69">
        <f>ROUND(HLOOKUP(D1,pl!$D$1:$CL$43,ROW(pl!F15),FALSE),0)/IF(LEN($G$6)&gt;4,10000,1)</f>
        <v>0</v>
      </c>
      <c r="E21" s="69">
        <f>ROUND(HLOOKUP(E1,pl!$D$1:$CL$43,ROW(pl!G15),FALSE),0)/IF(LEN($G$6)&gt;4,10000,1)</f>
        <v>0</v>
      </c>
    </row>
    <row r="22" ht="12.75" spans="1:5">
      <c r="A22" s="68" t="s">
        <v>170</v>
      </c>
      <c r="B22" s="69">
        <f>ROUND(HLOOKUP(B1,pl!$D$1:$CL$43,ROW(pl!D18),FALSE),0)/IF(LEN($G$6)&gt;4,10000,1)</f>
        <v>0</v>
      </c>
      <c r="C22" s="69">
        <f>ROUND(HLOOKUP(C1,pl!$D$1:$CL$43,ROW(pl!E18),FALSE),0)/IF(LEN($G$6)&gt;4,10000,1)</f>
        <v>0</v>
      </c>
      <c r="D22" s="69">
        <f>ROUND(HLOOKUP(D1,pl!$D$1:$CL$43,ROW(pl!F18),FALSE),0)/IF(LEN($G$6)&gt;4,10000,1)</f>
        <v>0</v>
      </c>
      <c r="E22" s="69">
        <f>ROUND(HLOOKUP(E1,pl!$D$1:$CL$43,ROW(pl!G18),FALSE),0)/IF(LEN($G$6)&gt;4,10000,1)</f>
        <v>0</v>
      </c>
    </row>
    <row r="23" ht="12.75" spans="1:5">
      <c r="A23" s="68" t="s">
        <v>174</v>
      </c>
      <c r="B23" s="69">
        <f>ROUND(HLOOKUP(B1,pl!$D$1:$CL$43,ROW(pl!D20),FALSE),0)/IF(LEN($G$6)&gt;4,10000,1)</f>
        <v>0</v>
      </c>
      <c r="C23" s="69">
        <f>ROUND(HLOOKUP(C1,pl!$D$1:$CL$43,ROW(pl!E20),FALSE),0)/IF(LEN($G$6)&gt;4,10000,1)</f>
        <v>0</v>
      </c>
      <c r="D23" s="69">
        <f>ROUND(HLOOKUP(D1,pl!$D$1:$CL$43,ROW(pl!F20),FALSE),0)/IF(LEN($G$6)&gt;4,10000,1)</f>
        <v>0</v>
      </c>
      <c r="E23" s="69">
        <f>ROUND(HLOOKUP(E1,pl!$D$1:$CL$43,ROW(pl!G20),FALSE),0)/IF(LEN($G$6)&gt;4,10000,1)</f>
        <v>0</v>
      </c>
    </row>
    <row r="24" ht="12.75" spans="1:5">
      <c r="A24" s="68" t="s">
        <v>307</v>
      </c>
      <c r="B24" s="69">
        <f>ROUND(HLOOKUP(B1,cf!$C$1:$CL$39,ROW(pl!C35),FALSE),0)/IF(LEN($G$6)&gt;4,10000,1)</f>
        <v>0</v>
      </c>
      <c r="C24" s="69">
        <f>ROUND(HLOOKUP(C1,cf!$C$1:$CL$39,ROW(pl!D35),FALSE),0)/IF(LEN($G$6)&gt;4,10000,1)</f>
        <v>0</v>
      </c>
      <c r="D24" s="69">
        <f>ROUND(HLOOKUP(D1,cf!$C$1:$CL$39,ROW(pl!E35),FALSE),0)/IF(LEN($G$6)&gt;4,10000,1)</f>
        <v>0</v>
      </c>
      <c r="E24" s="69">
        <f>ROUND(HLOOKUP(E1,cf!$C$1:$CL$39,ROW(pl!F35),FALSE),0)/IF(LEN($G$6)&gt;4,10000,1)</f>
        <v>0</v>
      </c>
    </row>
    <row r="25" ht="12.75" spans="1:5">
      <c r="A25" s="68" t="s">
        <v>308</v>
      </c>
      <c r="B25" s="69">
        <f>ROUND(HLOOKUP(B1,cf!$C$1:$CL$39,ROW(pl!C12),FALSE),0)/IF(LEN($G$6)&gt;4,10000,1)</f>
        <v>0</v>
      </c>
      <c r="C25" s="69">
        <f>ROUND(HLOOKUP(C1,cf!$C$1:$CL$39,ROW(pl!D12),FALSE),0)/IF(LEN($G$6)&gt;4,10000,1)</f>
        <v>0</v>
      </c>
      <c r="D25" s="69">
        <f>ROUND(HLOOKUP(D1,cf!$C$1:$CL$39,ROW(pl!E12),FALSE),0)/IF(LEN($G$6)&gt;4,10000,1)</f>
        <v>0</v>
      </c>
      <c r="E25" s="69">
        <f>ROUND(HLOOKUP(E1,cf!$C$1:$CL$39,ROW(pl!F12),FALSE),0)/IF(LEN($G$6)&gt;4,10000,1)</f>
        <v>0</v>
      </c>
    </row>
    <row r="26" ht="12.75" spans="1:5">
      <c r="A26" s="73" t="s">
        <v>309</v>
      </c>
      <c r="B26" s="74"/>
      <c r="C26" s="74"/>
      <c r="D26" s="74"/>
      <c r="E26" s="74"/>
    </row>
    <row r="27" ht="12.75" spans="1:5">
      <c r="A27" s="68" t="s">
        <v>310</v>
      </c>
      <c r="B27" s="75" t="e">
        <f>B4/B10</f>
        <v>#DIV/0!</v>
      </c>
      <c r="C27" s="75" t="e">
        <f>C4/C10</f>
        <v>#DIV/0!</v>
      </c>
      <c r="D27" s="75" t="e">
        <f>D4/D10</f>
        <v>#DIV/0!</v>
      </c>
      <c r="E27" s="75" t="e">
        <f>E4/E10</f>
        <v>#DIV/0!</v>
      </c>
    </row>
    <row r="28" ht="12.75" spans="1:5">
      <c r="A28" s="68" t="s">
        <v>311</v>
      </c>
      <c r="B28" s="75" t="e">
        <f>(B4-B2)/B10</f>
        <v>#DIV/0!</v>
      </c>
      <c r="C28" s="75" t="e">
        <f>(C4-C2)/C10</f>
        <v>#DIV/0!</v>
      </c>
      <c r="D28" s="75" t="e">
        <f>(D4-D2)/D10</f>
        <v>#DIV/0!</v>
      </c>
      <c r="E28" s="75" t="e">
        <f>(E4-E2)/E10</f>
        <v>#DIV/0!</v>
      </c>
    </row>
    <row r="29" ht="12.75" spans="1:5">
      <c r="A29" s="68" t="s">
        <v>312</v>
      </c>
      <c r="B29" s="76" t="e">
        <f>B15/B7</f>
        <v>#DIV/0!</v>
      </c>
      <c r="C29" s="77" t="e">
        <f>C15/C7</f>
        <v>#DIV/0!</v>
      </c>
      <c r="D29" s="78" t="e">
        <f>D15/D7</f>
        <v>#DIV/0!</v>
      </c>
      <c r="E29" s="78" t="e">
        <f>E15/E7</f>
        <v>#DIV/0!</v>
      </c>
    </row>
    <row r="30" ht="12.75" spans="1:5">
      <c r="A30" s="68" t="s">
        <v>313</v>
      </c>
      <c r="B30" s="76" t="e">
        <f>B14/B7</f>
        <v>#DIV/0!</v>
      </c>
      <c r="C30" s="77" t="e">
        <f>C14/C7</f>
        <v>#DIV/0!</v>
      </c>
      <c r="D30" s="78" t="e">
        <f>D14/D7</f>
        <v>#DIV/0!</v>
      </c>
      <c r="E30" s="78" t="e">
        <f>E14/E7</f>
        <v>#DIV/0!</v>
      </c>
    </row>
    <row r="31" ht="12.75" spans="1:5">
      <c r="A31" s="68" t="s">
        <v>314</v>
      </c>
      <c r="B31" s="76" t="e">
        <f>B10/B14</f>
        <v>#DIV/0!</v>
      </c>
      <c r="C31" s="77" t="e">
        <f>C10/C14</f>
        <v>#DIV/0!</v>
      </c>
      <c r="D31" s="78" t="e">
        <f>D10/D14</f>
        <v>#DIV/0!</v>
      </c>
      <c r="E31" s="78" t="e">
        <f>E10/E14</f>
        <v>#DIV/0!</v>
      </c>
    </row>
    <row r="32" ht="12.75" spans="1:5">
      <c r="A32" s="68" t="s">
        <v>315</v>
      </c>
      <c r="B32" s="75" t="e">
        <f>(B22+B20)/B20</f>
        <v>#DIV/0!</v>
      </c>
      <c r="C32" s="75" t="e">
        <f>(C22+C20)/C20</f>
        <v>#DIV/0!</v>
      </c>
      <c r="D32" s="75" t="e">
        <f>(D22+D20)/D20</f>
        <v>#DIV/0!</v>
      </c>
      <c r="E32" s="75" t="e">
        <f>(E22+E20)/E20</f>
        <v>#DIV/0!</v>
      </c>
    </row>
    <row r="33" ht="12.75" spans="1:5">
      <c r="A33" s="79" t="s">
        <v>316</v>
      </c>
      <c r="B33" s="80"/>
      <c r="C33" s="80"/>
      <c r="D33" s="80"/>
      <c r="E33" s="80"/>
    </row>
    <row r="34" ht="12.75" spans="1:5">
      <c r="A34" s="68" t="s">
        <v>317</v>
      </c>
      <c r="B34" s="75" t="e">
        <f>0+(B17/(B2+C2)*2)</f>
        <v>#DIV/0!</v>
      </c>
      <c r="C34" s="75" t="e">
        <f>C17/(C2+D2)*2</f>
        <v>#DIV/0!</v>
      </c>
      <c r="D34" s="75" t="e">
        <f>D17/(D2+E2)*2</f>
        <v>#DIV/0!</v>
      </c>
      <c r="E34" s="75" t="e">
        <f>E17/E2</f>
        <v>#DIV/0!</v>
      </c>
    </row>
    <row r="35" ht="12.75" spans="1:5">
      <c r="A35" s="68" t="s">
        <v>318</v>
      </c>
      <c r="B35" s="75" t="e">
        <f>0+(B16/(B7+C7)*2)</f>
        <v>#DIV/0!</v>
      </c>
      <c r="C35" s="75" t="e">
        <f>C16/(C7+D7)*2</f>
        <v>#DIV/0!</v>
      </c>
      <c r="D35" s="75" t="e">
        <f>D16/(D7+E7)*2</f>
        <v>#DIV/0!</v>
      </c>
      <c r="E35" s="75" t="e">
        <f>E16/E7</f>
        <v>#DIV/0!</v>
      </c>
    </row>
    <row r="36" ht="12.75" spans="1:5">
      <c r="A36" s="68" t="s">
        <v>319</v>
      </c>
      <c r="B36" s="75" t="e">
        <f>0+(B16/(B3+C3)*2)</f>
        <v>#DIV/0!</v>
      </c>
      <c r="C36" s="75" t="e">
        <f>C16/(C3+D3)*2</f>
        <v>#DIV/0!</v>
      </c>
      <c r="D36" s="75" t="e">
        <f>D16/(D3+E3)*2</f>
        <v>#DIV/0!</v>
      </c>
      <c r="E36" s="75" t="e">
        <f>E16/E3</f>
        <v>#DIV/0!</v>
      </c>
    </row>
    <row r="37" ht="12.75" spans="1:5">
      <c r="A37" s="68" t="s">
        <v>320</v>
      </c>
      <c r="B37" s="76" t="e">
        <f>0+(B17/B16)</f>
        <v>#DIV/0!</v>
      </c>
      <c r="C37" s="77" t="e">
        <f>C17/C16</f>
        <v>#DIV/0!</v>
      </c>
      <c r="D37" s="78" t="e">
        <f>D17/D16</f>
        <v>#DIV/0!</v>
      </c>
      <c r="E37" s="78" t="e">
        <f>E17/E16</f>
        <v>#DIV/0!</v>
      </c>
    </row>
    <row r="38" ht="12.75" spans="1:5">
      <c r="A38" s="68" t="s">
        <v>321</v>
      </c>
      <c r="B38" s="76" t="e">
        <f>0+(B18/B16)</f>
        <v>#DIV/0!</v>
      </c>
      <c r="C38" s="77" t="e">
        <f>C18/C16</f>
        <v>#DIV/0!</v>
      </c>
      <c r="D38" s="78" t="e">
        <f>D18/D16</f>
        <v>#DIV/0!</v>
      </c>
      <c r="E38" s="78" t="e">
        <f>E18/E16</f>
        <v>#DIV/0!</v>
      </c>
    </row>
    <row r="39" ht="12.75" spans="1:5">
      <c r="A39" s="68" t="s">
        <v>322</v>
      </c>
      <c r="B39" s="76" t="e">
        <f>0+(B19/B16)</f>
        <v>#DIV/0!</v>
      </c>
      <c r="C39" s="77" t="e">
        <f>C19/C16</f>
        <v>#DIV/0!</v>
      </c>
      <c r="D39" s="78" t="e">
        <f>D19/D16</f>
        <v>#DIV/0!</v>
      </c>
      <c r="E39" s="78" t="e">
        <f>E19/E16</f>
        <v>#DIV/0!</v>
      </c>
    </row>
    <row r="40" ht="12.75" spans="1:5">
      <c r="A40" s="68" t="s">
        <v>323</v>
      </c>
      <c r="B40" s="76" t="e">
        <f>0+(B20/B16)</f>
        <v>#DIV/0!</v>
      </c>
      <c r="C40" s="77" t="e">
        <f>C20/C16</f>
        <v>#DIV/0!</v>
      </c>
      <c r="D40" s="78" t="e">
        <f>D20/D16</f>
        <v>#DIV/0!</v>
      </c>
      <c r="E40" s="78" t="e">
        <f>E20/E16</f>
        <v>#DIV/0!</v>
      </c>
    </row>
    <row r="41" ht="12.75" spans="1:5">
      <c r="A41" s="79" t="s">
        <v>324</v>
      </c>
      <c r="B41" s="80"/>
      <c r="C41" s="80"/>
      <c r="D41" s="80"/>
      <c r="E41" s="80"/>
    </row>
    <row r="42" ht="12.75" spans="1:5">
      <c r="A42" s="68" t="s">
        <v>325</v>
      </c>
      <c r="B42" s="76" t="e">
        <f>B23/B16</f>
        <v>#DIV/0!</v>
      </c>
      <c r="C42" s="77" t="e">
        <f>C23/C16</f>
        <v>#DIV/0!</v>
      </c>
      <c r="D42" s="78" t="e">
        <f>D23/D16</f>
        <v>#DIV/0!</v>
      </c>
      <c r="E42" s="78" t="e">
        <f>E23/E16</f>
        <v>#DIV/0!</v>
      </c>
    </row>
    <row r="43" ht="12.75" spans="1:5">
      <c r="A43" s="68" t="s">
        <v>326</v>
      </c>
      <c r="B43" s="76" t="e">
        <f>B21/B16</f>
        <v>#DIV/0!</v>
      </c>
      <c r="C43" s="77" t="e">
        <f>C21/C16</f>
        <v>#DIV/0!</v>
      </c>
      <c r="D43" s="78" t="e">
        <f>D21/D16</f>
        <v>#DIV/0!</v>
      </c>
      <c r="E43" s="78" t="e">
        <f>E21/E16</f>
        <v>#DIV/0!</v>
      </c>
    </row>
    <row r="44" ht="12.75" spans="1:5">
      <c r="A44" s="68" t="s">
        <v>327</v>
      </c>
      <c r="B44" s="76" t="e">
        <f>B22/(B7+C7)*2</f>
        <v>#DIV/0!</v>
      </c>
      <c r="C44" s="77" t="e">
        <f>C22/(C7+D7)*2</f>
        <v>#DIV/0!</v>
      </c>
      <c r="D44" s="78" t="e">
        <f>D22/(D7+E7)*2</f>
        <v>#DIV/0!</v>
      </c>
      <c r="E44" s="78" t="e">
        <f>E22/E7</f>
        <v>#DIV/0!</v>
      </c>
    </row>
    <row r="45" ht="12.75" spans="1:5">
      <c r="A45" s="68" t="s">
        <v>328</v>
      </c>
      <c r="B45" s="76" t="e">
        <f>B23/(B7+C7)*2</f>
        <v>#DIV/0!</v>
      </c>
      <c r="C45" s="77" t="e">
        <f>C23/(C7+D7)*2</f>
        <v>#DIV/0!</v>
      </c>
      <c r="D45" s="78" t="e">
        <f>D23/(D7+E7)*2</f>
        <v>#DIV/0!</v>
      </c>
      <c r="E45" s="78" t="e">
        <f>E23/E7</f>
        <v>#DIV/0!</v>
      </c>
    </row>
    <row r="46" ht="12.75" spans="1:5">
      <c r="A46" s="68" t="s">
        <v>329</v>
      </c>
      <c r="B46" s="76" t="e">
        <f>B23/(B15+C15)*2</f>
        <v>#DIV/0!</v>
      </c>
      <c r="C46" s="77" t="e">
        <f>C23/(C15+D15)*2</f>
        <v>#DIV/0!</v>
      </c>
      <c r="D46" s="78" t="e">
        <f>D23/(D15+E15)*2</f>
        <v>#DIV/0!</v>
      </c>
      <c r="E46" s="78" t="e">
        <f>E23/E15</f>
        <v>#DIV/0!</v>
      </c>
    </row>
    <row r="47" ht="12.75" spans="1:5">
      <c r="A47" s="79" t="s">
        <v>330</v>
      </c>
      <c r="B47" s="80"/>
      <c r="C47" s="80"/>
      <c r="D47" s="80"/>
      <c r="E47" s="80"/>
    </row>
    <row r="48" ht="12.75" spans="1:5">
      <c r="A48" s="68" t="s">
        <v>331</v>
      </c>
      <c r="B48" s="76" t="e">
        <f>(B16-C16)/C16</f>
        <v>#DIV/0!</v>
      </c>
      <c r="C48" s="81" t="e">
        <f>(C16-D16)/D16</f>
        <v>#DIV/0!</v>
      </c>
      <c r="D48" s="78" t="e">
        <f>(D16-E16)/E16</f>
        <v>#DIV/0!</v>
      </c>
      <c r="E48" s="78" t="str">
        <f>IFERROR((E16-F16)/F16,"-")</f>
        <v>-</v>
      </c>
    </row>
    <row r="49" ht="12.75" spans="1:5">
      <c r="A49" s="68" t="s">
        <v>332</v>
      </c>
      <c r="B49" s="76" t="e">
        <f>(B23-C23)/C23</f>
        <v>#DIV/0!</v>
      </c>
      <c r="C49" s="81" t="e">
        <f>(C23-D23)/D23</f>
        <v>#DIV/0!</v>
      </c>
      <c r="D49" s="78" t="e">
        <f>(D23-E23)/E23</f>
        <v>#DIV/0!</v>
      </c>
      <c r="E49" s="78" t="str">
        <f>IFERROR((E23-F23)/F23,"-")</f>
        <v>-</v>
      </c>
    </row>
    <row r="50" ht="12.75" spans="1:5">
      <c r="A50" s="68" t="s">
        <v>333</v>
      </c>
      <c r="B50" s="76" t="e">
        <f>(B7-C7)/C7</f>
        <v>#DIV/0!</v>
      </c>
      <c r="C50" s="81" t="e">
        <f>(C7-D7)/D7</f>
        <v>#DIV/0!</v>
      </c>
      <c r="D50" s="78" t="e">
        <f>(D7-E7)/E7</f>
        <v>#DIV/0!</v>
      </c>
      <c r="E50" s="78" t="str">
        <f>IFERROR((E7-F7)/F7,"-")</f>
        <v>-</v>
      </c>
    </row>
    <row r="51" ht="12.75" spans="1:5">
      <c r="A51" s="68" t="s">
        <v>334</v>
      </c>
      <c r="B51" s="76" t="e">
        <f>(B15-C15)/C15</f>
        <v>#DIV/0!</v>
      </c>
      <c r="C51" s="81" t="e">
        <f>(C15-D15)/D15</f>
        <v>#DIV/0!</v>
      </c>
      <c r="D51" s="78" t="e">
        <f>(D15-E15)/E15</f>
        <v>#DIV/0!</v>
      </c>
      <c r="E51" s="78" t="str">
        <f>IFERROR((E15-F15)/F15,"-")</f>
        <v>-</v>
      </c>
    </row>
    <row r="52" ht="12.75" spans="1:5">
      <c r="A52" s="68" t="s">
        <v>335</v>
      </c>
      <c r="B52" s="76" t="e">
        <f t="shared" ref="B52:D53" si="0">(B21-C21)/C21</f>
        <v>#DIV/0!</v>
      </c>
      <c r="C52" s="81" t="e">
        <f t="shared" si="0"/>
        <v>#DIV/0!</v>
      </c>
      <c r="D52" s="78" t="e">
        <f t="shared" si="0"/>
        <v>#DIV/0!</v>
      </c>
      <c r="E52" s="78" t="str">
        <f>IFERROR((E21-F21)/F21,"-")</f>
        <v>-</v>
      </c>
    </row>
    <row r="53" ht="12.75" spans="1:5">
      <c r="A53" s="68" t="s">
        <v>336</v>
      </c>
      <c r="B53" s="76" t="e">
        <f t="shared" si="0"/>
        <v>#DIV/0!</v>
      </c>
      <c r="C53" s="81" t="e">
        <f t="shared" si="0"/>
        <v>#DIV/0!</v>
      </c>
      <c r="D53" s="78" t="e">
        <f t="shared" si="0"/>
        <v>#DIV/0!</v>
      </c>
      <c r="E53" s="78" t="str">
        <f>IFERROR((E22-F22)/F22,"-")</f>
        <v>-</v>
      </c>
    </row>
    <row r="54" ht="12.75" spans="1:5">
      <c r="A54" s="79" t="s">
        <v>337</v>
      </c>
      <c r="B54" s="80"/>
      <c r="C54" s="80"/>
      <c r="D54" s="80"/>
      <c r="E54" s="80"/>
    </row>
    <row r="55" ht="12.75" spans="1:5">
      <c r="A55" s="68" t="s">
        <v>313</v>
      </c>
      <c r="B55" s="76" t="e">
        <f>B14/B7</f>
        <v>#DIV/0!</v>
      </c>
      <c r="C55" s="81" t="e">
        <f>C14/C7</f>
        <v>#DIV/0!</v>
      </c>
      <c r="D55" s="78" t="e">
        <f>D14/D7</f>
        <v>#DIV/0!</v>
      </c>
      <c r="E55" s="78" t="e">
        <f>E14/E7</f>
        <v>#DIV/0!</v>
      </c>
    </row>
    <row r="56" ht="12.75" spans="1:5">
      <c r="A56" s="68" t="s">
        <v>338</v>
      </c>
      <c r="B56" s="76" t="e">
        <f>B13/B7</f>
        <v>#DIV/0!</v>
      </c>
      <c r="C56" s="81" t="e">
        <f>C13/C7</f>
        <v>#DIV/0!</v>
      </c>
      <c r="D56" s="78" t="e">
        <f>D13/D7</f>
        <v>#DIV/0!</v>
      </c>
      <c r="E56" s="78" t="e">
        <f>E13/E7</f>
        <v>#DIV/0!</v>
      </c>
    </row>
    <row r="57" ht="12.75" spans="1:5">
      <c r="A57" s="79" t="s">
        <v>339</v>
      </c>
      <c r="B57" s="80"/>
      <c r="C57" s="80"/>
      <c r="D57" s="80"/>
      <c r="E57" s="80"/>
    </row>
    <row r="58" ht="25.5" spans="1:5">
      <c r="A58" s="68" t="s">
        <v>340</v>
      </c>
      <c r="B58" s="75" t="e">
        <f>B25/B23</f>
        <v>#DIV/0!</v>
      </c>
      <c r="C58" s="75" t="e">
        <f>C25/C23</f>
        <v>#DIV/0!</v>
      </c>
      <c r="D58" s="75" t="e">
        <f>D25/D23</f>
        <v>#DIV/0!</v>
      </c>
      <c r="E58" s="75" t="e">
        <f>E25/E23</f>
        <v>#DIV/0!</v>
      </c>
    </row>
    <row r="60" ht="12.75" spans="1:5">
      <c r="A60" s="82" t="str">
        <f>A41</f>
        <v>盈利能力分析</v>
      </c>
      <c r="B60" s="82"/>
      <c r="C60" s="82"/>
      <c r="D60" s="82"/>
      <c r="E60" s="82"/>
    </row>
    <row r="61" ht="12.75" spans="1:5">
      <c r="A61" s="83" t="str">
        <f>A1</f>
        <v>项目</v>
      </c>
      <c r="B61" s="84">
        <f>B1</f>
        <v>43100</v>
      </c>
      <c r="C61" s="84">
        <f>C1</f>
        <v>43465</v>
      </c>
      <c r="D61" s="84">
        <f t="shared" ref="D61:E61" si="1">D1</f>
        <v>43830</v>
      </c>
      <c r="E61" s="84">
        <f t="shared" si="1"/>
        <v>44500</v>
      </c>
    </row>
    <row r="62" ht="12.75" spans="1:5">
      <c r="A62" s="68" t="s">
        <v>325</v>
      </c>
      <c r="B62" s="76" t="e">
        <f>B42</f>
        <v>#DIV/0!</v>
      </c>
      <c r="C62" s="76" t="e">
        <f t="shared" ref="C62:E62" si="2">C42</f>
        <v>#DIV/0!</v>
      </c>
      <c r="D62" s="76" t="e">
        <f t="shared" si="2"/>
        <v>#DIV/0!</v>
      </c>
      <c r="E62" s="76" t="e">
        <f t="shared" si="2"/>
        <v>#DIV/0!</v>
      </c>
    </row>
    <row r="63" ht="12.75" spans="1:5">
      <c r="A63" s="68" t="s">
        <v>326</v>
      </c>
      <c r="B63" s="76" t="e">
        <f t="shared" ref="B63:E66" si="3">B43</f>
        <v>#DIV/0!</v>
      </c>
      <c r="C63" s="76" t="e">
        <f t="shared" si="3"/>
        <v>#DIV/0!</v>
      </c>
      <c r="D63" s="76" t="e">
        <f t="shared" si="3"/>
        <v>#DIV/0!</v>
      </c>
      <c r="E63" s="76" t="e">
        <f t="shared" si="3"/>
        <v>#DIV/0!</v>
      </c>
    </row>
    <row r="64" ht="12.75" spans="1:5">
      <c r="A64" s="68" t="s">
        <v>327</v>
      </c>
      <c r="B64" s="76" t="e">
        <f t="shared" si="3"/>
        <v>#DIV/0!</v>
      </c>
      <c r="C64" s="76" t="e">
        <f t="shared" si="3"/>
        <v>#DIV/0!</v>
      </c>
      <c r="D64" s="76" t="e">
        <f t="shared" si="3"/>
        <v>#DIV/0!</v>
      </c>
      <c r="E64" s="76" t="e">
        <f t="shared" si="3"/>
        <v>#DIV/0!</v>
      </c>
    </row>
    <row r="65" ht="12.75" spans="1:5">
      <c r="A65" s="68" t="s">
        <v>328</v>
      </c>
      <c r="B65" s="76" t="e">
        <f t="shared" si="3"/>
        <v>#DIV/0!</v>
      </c>
      <c r="C65" s="76" t="e">
        <f t="shared" si="3"/>
        <v>#DIV/0!</v>
      </c>
      <c r="D65" s="76" t="e">
        <f t="shared" si="3"/>
        <v>#DIV/0!</v>
      </c>
      <c r="E65" s="76" t="e">
        <f t="shared" si="3"/>
        <v>#DIV/0!</v>
      </c>
    </row>
    <row r="66" ht="12.75" spans="1:5">
      <c r="A66" s="68" t="s">
        <v>329</v>
      </c>
      <c r="B66" s="76" t="e">
        <f t="shared" si="3"/>
        <v>#DIV/0!</v>
      </c>
      <c r="C66" s="76" t="e">
        <f t="shared" si="3"/>
        <v>#DIV/0!</v>
      </c>
      <c r="D66" s="76" t="e">
        <f t="shared" si="3"/>
        <v>#DIV/0!</v>
      </c>
      <c r="E66" s="76" t="e">
        <f t="shared" si="3"/>
        <v>#DIV/0!</v>
      </c>
    </row>
    <row r="68" ht="12.75" spans="1:5">
      <c r="A68" s="82" t="str">
        <f>A26</f>
        <v>偿债能力分析</v>
      </c>
      <c r="B68" s="82"/>
      <c r="C68" s="82"/>
      <c r="D68" s="82"/>
      <c r="E68" s="82"/>
    </row>
    <row r="69" ht="12.75" spans="1:5">
      <c r="A69" s="83" t="str">
        <f>A1</f>
        <v>项目</v>
      </c>
      <c r="B69" s="84">
        <f t="shared" ref="B69:E69" si="4">B1</f>
        <v>43100</v>
      </c>
      <c r="C69" s="84">
        <f t="shared" si="4"/>
        <v>43465</v>
      </c>
      <c r="D69" s="84">
        <f t="shared" si="4"/>
        <v>43830</v>
      </c>
      <c r="E69" s="84">
        <f t="shared" si="4"/>
        <v>44500</v>
      </c>
    </row>
    <row r="70" ht="12.75" spans="1:5">
      <c r="A70" s="68" t="str">
        <f>A27</f>
        <v>流动比率</v>
      </c>
      <c r="B70" s="75" t="e">
        <f t="shared" ref="B70:E75" si="5">B27</f>
        <v>#DIV/0!</v>
      </c>
      <c r="C70" s="75" t="e">
        <f t="shared" si="5"/>
        <v>#DIV/0!</v>
      </c>
      <c r="D70" s="75" t="e">
        <f t="shared" si="5"/>
        <v>#DIV/0!</v>
      </c>
      <c r="E70" s="75" t="e">
        <f t="shared" si="5"/>
        <v>#DIV/0!</v>
      </c>
    </row>
    <row r="71" ht="12.75" spans="1:5">
      <c r="A71" s="68" t="str">
        <f t="shared" ref="A71:A75" si="6">A28</f>
        <v>速动比率</v>
      </c>
      <c r="B71" s="75" t="e">
        <f t="shared" si="5"/>
        <v>#DIV/0!</v>
      </c>
      <c r="C71" s="75" t="e">
        <f t="shared" si="5"/>
        <v>#DIV/0!</v>
      </c>
      <c r="D71" s="75" t="e">
        <f t="shared" si="5"/>
        <v>#DIV/0!</v>
      </c>
      <c r="E71" s="75" t="e">
        <f t="shared" si="5"/>
        <v>#DIV/0!</v>
      </c>
    </row>
    <row r="72" ht="12.75" spans="1:5">
      <c r="A72" s="68" t="str">
        <f t="shared" si="6"/>
        <v>股东权益比(%)</v>
      </c>
      <c r="B72" s="76" t="e">
        <f t="shared" si="5"/>
        <v>#DIV/0!</v>
      </c>
      <c r="C72" s="77" t="e">
        <f t="shared" si="5"/>
        <v>#DIV/0!</v>
      </c>
      <c r="D72" s="78" t="e">
        <f t="shared" si="5"/>
        <v>#DIV/0!</v>
      </c>
      <c r="E72" s="78" t="e">
        <f t="shared" si="5"/>
        <v>#DIV/0!</v>
      </c>
    </row>
    <row r="73" ht="12.75" spans="1:5">
      <c r="A73" s="68" t="str">
        <f t="shared" si="6"/>
        <v>资产负债率(%)</v>
      </c>
      <c r="B73" s="76" t="e">
        <f t="shared" si="5"/>
        <v>#DIV/0!</v>
      </c>
      <c r="C73" s="77" t="e">
        <f t="shared" si="5"/>
        <v>#DIV/0!</v>
      </c>
      <c r="D73" s="78" t="e">
        <f t="shared" si="5"/>
        <v>#DIV/0!</v>
      </c>
      <c r="E73" s="78" t="e">
        <f t="shared" si="5"/>
        <v>#DIV/0!</v>
      </c>
    </row>
    <row r="74" ht="12.75" spans="1:5">
      <c r="A74" s="68" t="str">
        <f t="shared" si="6"/>
        <v>流动负债率(%)</v>
      </c>
      <c r="B74" s="76" t="e">
        <f t="shared" si="5"/>
        <v>#DIV/0!</v>
      </c>
      <c r="C74" s="77" t="e">
        <f t="shared" si="5"/>
        <v>#DIV/0!</v>
      </c>
      <c r="D74" s="78" t="e">
        <f t="shared" si="5"/>
        <v>#DIV/0!</v>
      </c>
      <c r="E74" s="78" t="e">
        <f t="shared" si="5"/>
        <v>#DIV/0!</v>
      </c>
    </row>
    <row r="75" ht="12.75" spans="1:5">
      <c r="A75" s="68" t="str">
        <f t="shared" si="6"/>
        <v>EBITDA利息倍数</v>
      </c>
      <c r="B75" s="75" t="e">
        <f t="shared" si="5"/>
        <v>#DIV/0!</v>
      </c>
      <c r="C75" s="75" t="e">
        <f t="shared" si="5"/>
        <v>#DIV/0!</v>
      </c>
      <c r="D75" s="75" t="e">
        <f t="shared" si="5"/>
        <v>#DIV/0!</v>
      </c>
      <c r="E75" s="75" t="e">
        <f t="shared" si="5"/>
        <v>#DIV/0!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bs!$D$1:$R$1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K11"/>
  <sheetViews>
    <sheetView topLeftCell="B1" workbookViewId="0">
      <selection activeCell="A20" sqref="A20"/>
    </sheetView>
  </sheetViews>
  <sheetFormatPr defaultColWidth="9" defaultRowHeight="12.75"/>
  <cols>
    <col min="1" max="1" width="36.1809523809524" customWidth="1"/>
    <col min="2" max="2" width="19.5428571428571" customWidth="1"/>
    <col min="3" max="3" width="17.2666666666667" customWidth="1"/>
    <col min="4" max="4" width="15.8190476190476" customWidth="1"/>
    <col min="5" max="5" width="17.2666666666667" customWidth="1"/>
    <col min="6" max="6" width="14.2666666666667" customWidth="1"/>
    <col min="7" max="7" width="26.7238095238095" customWidth="1"/>
    <col min="8" max="8" width="13.1809523809524" customWidth="1"/>
    <col min="9" max="9" width="13.5428571428571" customWidth="1"/>
    <col min="10" max="10" width="14.2666666666667" customWidth="1"/>
    <col min="11" max="11" width="13.5428571428571" customWidth="1"/>
  </cols>
  <sheetData>
    <row r="1" ht="14.25" spans="1:11">
      <c r="A1" s="48" t="s">
        <v>296</v>
      </c>
      <c r="B1" s="49">
        <f>'财务分析-万位'!B1</f>
        <v>43100</v>
      </c>
      <c r="C1" s="49">
        <f>'财务分析-万位'!C1</f>
        <v>43465</v>
      </c>
      <c r="D1" s="49">
        <f>'财务分析-万位'!D1</f>
        <v>43830</v>
      </c>
      <c r="E1" s="50">
        <f>'财务分析-万位'!E1</f>
        <v>44500</v>
      </c>
      <c r="F1" t="s">
        <v>300</v>
      </c>
      <c r="G1" s="51" t="str">
        <f>A1</f>
        <v>项目</v>
      </c>
      <c r="H1" s="52">
        <f>B1</f>
        <v>43100</v>
      </c>
      <c r="I1" s="52">
        <f>C1</f>
        <v>43465</v>
      </c>
      <c r="J1" s="52">
        <f>D1</f>
        <v>43830</v>
      </c>
      <c r="K1" s="60">
        <f>E1</f>
        <v>44500</v>
      </c>
    </row>
    <row r="2" ht="15.75" spans="1:11">
      <c r="A2" s="48" t="s">
        <v>341</v>
      </c>
      <c r="B2" s="53">
        <f>B3-B4</f>
        <v>0</v>
      </c>
      <c r="C2" s="53">
        <f>C3-C4</f>
        <v>0</v>
      </c>
      <c r="D2" s="53">
        <f>D3-D4</f>
        <v>0</v>
      </c>
      <c r="E2" s="53">
        <f>E3-E4</f>
        <v>0</v>
      </c>
      <c r="G2" s="54" t="str">
        <f t="shared" ref="G2:G11" si="0">A2</f>
        <v>经营活动现金流量净额</v>
      </c>
      <c r="H2" s="55">
        <f t="shared" ref="H2:H11" si="1">ROUND(B2,0)/IF(LEN($F$1)&gt;4,10000,1)</f>
        <v>0</v>
      </c>
      <c r="I2" s="55">
        <f t="shared" ref="I2:I11" si="2">ROUND(C2,0)/IF(LEN($F$1)&gt;4,10000,1)</f>
        <v>0</v>
      </c>
      <c r="J2" s="55">
        <f t="shared" ref="J2:J11" si="3">ROUND(D2,0)/IF(LEN($F$1)&gt;4,10000,1)</f>
        <v>0</v>
      </c>
      <c r="K2" s="55">
        <f t="shared" ref="K2:K11" si="4">ROUND(E2,0)/IF(LEN($F$1)&gt;4,10000,1)</f>
        <v>0</v>
      </c>
    </row>
    <row r="3" ht="15.75" spans="1:11">
      <c r="A3" s="56" t="s">
        <v>342</v>
      </c>
      <c r="B3" s="57">
        <f>HLOOKUP(B1,cf!$C$1:$CL$39,ROW(cf!C6))</f>
        <v>0</v>
      </c>
      <c r="C3" s="57">
        <f>HLOOKUP(C1,cf!$C$1:$CL$39,ROW(cf!D6))</f>
        <v>0</v>
      </c>
      <c r="D3" s="57">
        <f>HLOOKUP(D1,cf!$C$1:$CL$39,ROW(cf!E6))</f>
        <v>0</v>
      </c>
      <c r="E3" s="57">
        <f>HLOOKUP(E1,cf!$C$1:$CL$39,ROW(cf!F6))</f>
        <v>0</v>
      </c>
      <c r="G3" s="58" t="str">
        <f t="shared" si="0"/>
        <v>经营活动现金流入</v>
      </c>
      <c r="H3" s="55">
        <f t="shared" si="1"/>
        <v>0</v>
      </c>
      <c r="I3" s="55">
        <f t="shared" si="2"/>
        <v>0</v>
      </c>
      <c r="J3" s="55">
        <f t="shared" si="3"/>
        <v>0</v>
      </c>
      <c r="K3" s="55">
        <f t="shared" si="4"/>
        <v>0</v>
      </c>
    </row>
    <row r="4" ht="15.75" spans="1:11">
      <c r="A4" s="56" t="s">
        <v>343</v>
      </c>
      <c r="B4" s="57">
        <f>HLOOKUP(B1,cf!$C$1:$CL$39,ROW(cf!C11))</f>
        <v>0</v>
      </c>
      <c r="C4" s="57">
        <f>HLOOKUP(C1,cf!$C$1:$CL$39,ROW(cf!D11))</f>
        <v>0</v>
      </c>
      <c r="D4" s="57">
        <f>HLOOKUP(D1,cf!$C$1:$CL$39,ROW(cf!E11))</f>
        <v>0</v>
      </c>
      <c r="E4" s="57">
        <f>HLOOKUP(E1,cf!$C$1:$CL$39,ROW(cf!F11))</f>
        <v>0</v>
      </c>
      <c r="G4" s="58" t="str">
        <f t="shared" si="0"/>
        <v>经营活动现金流出</v>
      </c>
      <c r="H4" s="55">
        <f t="shared" si="1"/>
        <v>0</v>
      </c>
      <c r="I4" s="55">
        <f t="shared" si="2"/>
        <v>0</v>
      </c>
      <c r="J4" s="55">
        <f t="shared" si="3"/>
        <v>0</v>
      </c>
      <c r="K4" s="55">
        <f t="shared" si="4"/>
        <v>0</v>
      </c>
    </row>
    <row r="5" ht="15.75" spans="1:11">
      <c r="A5" s="48" t="s">
        <v>344</v>
      </c>
      <c r="B5" s="53">
        <f>B6-B7</f>
        <v>0</v>
      </c>
      <c r="C5" s="53">
        <f>C6-C7</f>
        <v>0</v>
      </c>
      <c r="D5" s="53">
        <f>D6-D7</f>
        <v>0</v>
      </c>
      <c r="E5" s="53">
        <f>E6-E7</f>
        <v>0</v>
      </c>
      <c r="G5" s="54" t="str">
        <f t="shared" si="0"/>
        <v>投资活动现金流量净额</v>
      </c>
      <c r="H5" s="55">
        <f t="shared" si="1"/>
        <v>0</v>
      </c>
      <c r="I5" s="55">
        <f t="shared" si="2"/>
        <v>0</v>
      </c>
      <c r="J5" s="55">
        <f t="shared" si="3"/>
        <v>0</v>
      </c>
      <c r="K5" s="55">
        <f t="shared" si="4"/>
        <v>0</v>
      </c>
    </row>
    <row r="6" ht="15.75" spans="1:11">
      <c r="A6" s="56" t="s">
        <v>345</v>
      </c>
      <c r="B6" s="57">
        <f>HLOOKUP(B1,cf!$C$1:$CL$39,ROW(cf!C19))</f>
        <v>0</v>
      </c>
      <c r="C6" s="57">
        <f>HLOOKUP(C1,cf!$C$1:$CL$39,ROW(cf!D19))</f>
        <v>0</v>
      </c>
      <c r="D6" s="57">
        <f>HLOOKUP(D1,cf!$C$1:$CL$39,ROW(cf!E19))</f>
        <v>0</v>
      </c>
      <c r="E6" s="57">
        <f>HLOOKUP(E1,cf!$C$1:$CL$39,ROW(cf!F19))</f>
        <v>0</v>
      </c>
      <c r="G6" s="58" t="str">
        <f t="shared" si="0"/>
        <v>投资活动现金流入</v>
      </c>
      <c r="H6" s="55">
        <f t="shared" si="1"/>
        <v>0</v>
      </c>
      <c r="I6" s="55">
        <f t="shared" si="2"/>
        <v>0</v>
      </c>
      <c r="J6" s="55">
        <f t="shared" si="3"/>
        <v>0</v>
      </c>
      <c r="K6" s="55">
        <f t="shared" si="4"/>
        <v>0</v>
      </c>
    </row>
    <row r="7" ht="15.75" spans="1:11">
      <c r="A7" s="56" t="s">
        <v>346</v>
      </c>
      <c r="B7" s="57">
        <f>HLOOKUP(B1,cf!$C$1:$CL$39,ROW(cf!C24))</f>
        <v>0</v>
      </c>
      <c r="C7" s="57">
        <f>HLOOKUP(C1,cf!$C$1:$CL$39,ROW(cf!D24))</f>
        <v>0</v>
      </c>
      <c r="D7" s="57">
        <f>HLOOKUP(D1,cf!$C$1:$CL$39,ROW(cf!E24))</f>
        <v>0</v>
      </c>
      <c r="E7" s="57">
        <f>HLOOKUP(E1,cf!$C$1:$CL$39,ROW(cf!F24))</f>
        <v>0</v>
      </c>
      <c r="G7" s="58" t="str">
        <f t="shared" si="0"/>
        <v>投资活动现金流出</v>
      </c>
      <c r="H7" s="55">
        <f t="shared" si="1"/>
        <v>0</v>
      </c>
      <c r="I7" s="55">
        <f t="shared" si="2"/>
        <v>0</v>
      </c>
      <c r="J7" s="55">
        <f t="shared" si="3"/>
        <v>0</v>
      </c>
      <c r="K7" s="55">
        <f t="shared" si="4"/>
        <v>0</v>
      </c>
    </row>
    <row r="8" ht="15.75" spans="1:11">
      <c r="A8" s="48" t="s">
        <v>347</v>
      </c>
      <c r="B8" s="53">
        <f>B9-B10</f>
        <v>0</v>
      </c>
      <c r="C8" s="53">
        <f>C9-C10</f>
        <v>0</v>
      </c>
      <c r="D8" s="53">
        <f>D9-D10</f>
        <v>0</v>
      </c>
      <c r="E8" s="53">
        <f>E9-E10</f>
        <v>0</v>
      </c>
      <c r="G8" s="54" t="str">
        <f t="shared" si="0"/>
        <v>筹资活动现金流量净额</v>
      </c>
      <c r="H8" s="55">
        <f t="shared" si="1"/>
        <v>0</v>
      </c>
      <c r="I8" s="55">
        <f t="shared" si="2"/>
        <v>0</v>
      </c>
      <c r="J8" s="55">
        <f t="shared" si="3"/>
        <v>0</v>
      </c>
      <c r="K8" s="55">
        <f t="shared" si="4"/>
        <v>0</v>
      </c>
    </row>
    <row r="9" ht="15.75" spans="1:11">
      <c r="A9" s="56" t="s">
        <v>348</v>
      </c>
      <c r="B9" s="57">
        <f>HLOOKUP(B1,cf!$C$1:$CL$39,ROW(cf!C30))</f>
        <v>0</v>
      </c>
      <c r="C9" s="57">
        <f>HLOOKUP(C1,cf!$C$1:$CL$39,ROW(cf!D30))</f>
        <v>0</v>
      </c>
      <c r="D9" s="57">
        <f>HLOOKUP(D1,cf!$C$1:$CL$39,ROW(cf!E30))</f>
        <v>0</v>
      </c>
      <c r="E9" s="57">
        <f>HLOOKUP(E1,cf!$C$1:$CL$39,ROW(cf!F30))</f>
        <v>0</v>
      </c>
      <c r="G9" s="58" t="str">
        <f t="shared" si="0"/>
        <v>筹资活动现金流入</v>
      </c>
      <c r="H9" s="55">
        <f t="shared" si="1"/>
        <v>0</v>
      </c>
      <c r="I9" s="55">
        <f t="shared" si="2"/>
        <v>0</v>
      </c>
      <c r="J9" s="55">
        <f t="shared" si="3"/>
        <v>0</v>
      </c>
      <c r="K9" s="55">
        <f t="shared" si="4"/>
        <v>0</v>
      </c>
    </row>
    <row r="10" ht="15.75" spans="1:11">
      <c r="A10" s="56" t="s">
        <v>349</v>
      </c>
      <c r="B10" s="57">
        <f>HLOOKUP(B1,cf!$C$1:$CL$39,ROW(cf!C34))</f>
        <v>0</v>
      </c>
      <c r="C10" s="57">
        <f>HLOOKUP(C1,cf!$C$1:$CL$39,ROW(cf!D34))</f>
        <v>0</v>
      </c>
      <c r="D10" s="57">
        <f>HLOOKUP(D1,cf!$C$1:$CL$39,ROW(cf!E34))</f>
        <v>0</v>
      </c>
      <c r="E10" s="57">
        <f>HLOOKUP(E1,cf!$C$1:$CL$39,ROW(cf!F34))</f>
        <v>0</v>
      </c>
      <c r="G10" s="58" t="str">
        <f t="shared" si="0"/>
        <v>筹资活动现金流出</v>
      </c>
      <c r="H10" s="55">
        <f t="shared" si="1"/>
        <v>0</v>
      </c>
      <c r="I10" s="55">
        <f t="shared" si="2"/>
        <v>0</v>
      </c>
      <c r="J10" s="55">
        <f t="shared" si="3"/>
        <v>0</v>
      </c>
      <c r="K10" s="55">
        <f t="shared" si="4"/>
        <v>0</v>
      </c>
    </row>
    <row r="11" ht="28.5" spans="1:11">
      <c r="A11" s="56" t="s">
        <v>281</v>
      </c>
      <c r="B11" s="57">
        <f>HLOOKUP(B1,cf!$C$1:$CL$39,ROW(cf!C32))</f>
        <v>0</v>
      </c>
      <c r="C11" s="57">
        <f>HLOOKUP(C1,cf!$C$1:$CL$39,ROW(cf!D32))</f>
        <v>0</v>
      </c>
      <c r="D11" s="57">
        <f>HLOOKUP(D1,cf!$C$1:$CL$39,ROW(cf!E32))</f>
        <v>0</v>
      </c>
      <c r="E11" s="57">
        <f>HLOOKUP(E1,cf!$C$1:$CL$39,ROW(cf!F32))</f>
        <v>0</v>
      </c>
      <c r="G11" s="59" t="str">
        <f t="shared" si="0"/>
        <v>分配股利、利润或偿付利息支付的现金</v>
      </c>
      <c r="H11" s="55">
        <f t="shared" si="1"/>
        <v>0</v>
      </c>
      <c r="I11" s="55">
        <f t="shared" si="2"/>
        <v>0</v>
      </c>
      <c r="J11" s="55">
        <f t="shared" si="3"/>
        <v>0</v>
      </c>
      <c r="K11" s="55">
        <f t="shared" si="4"/>
        <v>0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11"/>
  <sheetViews>
    <sheetView workbookViewId="0">
      <selection activeCell="E11" sqref="E11"/>
    </sheetView>
  </sheetViews>
  <sheetFormatPr defaultColWidth="9" defaultRowHeight="12.75"/>
  <cols>
    <col min="1" max="1" width="28.7238095238095" customWidth="1"/>
    <col min="2" max="2" width="23.7238095238095" customWidth="1"/>
    <col min="3" max="3" width="16.2666666666667" customWidth="1"/>
    <col min="4" max="4" width="15.5428571428571" customWidth="1"/>
    <col min="5" max="5" width="19.4571428571429" customWidth="1"/>
    <col min="7" max="7" width="27.5428571428571" customWidth="1"/>
    <col min="8" max="8" width="13.5428571428571" customWidth="1"/>
    <col min="9" max="11" width="15.1809523809524" customWidth="1"/>
  </cols>
  <sheetData>
    <row r="1" ht="13.5" spans="1:11">
      <c r="A1" s="34" t="s">
        <v>296</v>
      </c>
      <c r="B1" s="35">
        <f>'财务分析-万位'!B1</f>
        <v>43100</v>
      </c>
      <c r="C1" s="36">
        <f>'财务分析-万位'!C1</f>
        <v>43465</v>
      </c>
      <c r="D1" s="36">
        <f>'财务分析-万位'!D1</f>
        <v>43830</v>
      </c>
      <c r="E1" s="36">
        <f>'财务分析-万位'!E1</f>
        <v>44500</v>
      </c>
      <c r="F1" s="37"/>
      <c r="G1" s="38" t="s">
        <v>296</v>
      </c>
      <c r="H1" s="39">
        <f>B1</f>
        <v>43100</v>
      </c>
      <c r="I1" s="39">
        <f>C1</f>
        <v>43465</v>
      </c>
      <c r="J1" s="39">
        <f>D1</f>
        <v>43830</v>
      </c>
      <c r="K1" s="39">
        <f>E1</f>
        <v>44500</v>
      </c>
    </row>
    <row r="2" ht="13.5" spans="1:11">
      <c r="A2" s="34"/>
      <c r="B2" s="40" t="s">
        <v>350</v>
      </c>
      <c r="C2" s="40" t="s">
        <v>350</v>
      </c>
      <c r="D2" s="40" t="s">
        <v>350</v>
      </c>
      <c r="E2" s="40" t="s">
        <v>350</v>
      </c>
      <c r="F2" s="37"/>
      <c r="G2" s="38"/>
      <c r="H2" s="41" t="s">
        <v>350</v>
      </c>
      <c r="I2" s="41" t="s">
        <v>350</v>
      </c>
      <c r="J2" s="41" t="s">
        <v>350</v>
      </c>
      <c r="K2" s="41" t="s">
        <v>350</v>
      </c>
    </row>
    <row r="3" ht="15" spans="1:11">
      <c r="A3" s="42" t="s">
        <v>351</v>
      </c>
      <c r="B3" s="43">
        <f>HLOOKUP(B1,cf!$C$1:$CL$39,ROW(cf!C3))</f>
        <v>0</v>
      </c>
      <c r="C3" s="43">
        <f>HLOOKUP(C1,cf!$C$1:$CL$39,ROW(cf!D3))</f>
        <v>0</v>
      </c>
      <c r="D3" s="43">
        <f>HLOOKUP(D1,cf!$C$1:$CL$39,ROW(cf!E3))</f>
        <v>0</v>
      </c>
      <c r="E3" s="43">
        <f>HLOOKUP(E1,cf!$C$1:$CL$39,ROW(cf!F3))</f>
        <v>0</v>
      </c>
      <c r="F3" s="37"/>
      <c r="G3" s="44" t="str">
        <f>A3</f>
        <v>销售商品收到的现金</v>
      </c>
      <c r="H3" s="45">
        <f>ROUND(B3/10000,0)</f>
        <v>0</v>
      </c>
      <c r="I3" s="45">
        <f>ROUND(C3/10000,0)</f>
        <v>0</v>
      </c>
      <c r="J3" s="45">
        <f>ROUND(D3/10000,0)</f>
        <v>0</v>
      </c>
      <c r="K3" s="45">
        <f>ROUND(E3/10000,0)</f>
        <v>0</v>
      </c>
    </row>
    <row r="4" ht="15" spans="1:11">
      <c r="A4" s="42" t="s">
        <v>140</v>
      </c>
      <c r="B4" s="46">
        <f>HLOOKUP(B1,pl!$D$1:$CL$43,ROW(pl!D3),FALSE)</f>
        <v>0</v>
      </c>
      <c r="C4" s="46">
        <f>HLOOKUP(C1,pl!$D$1:$CL$43,ROW(pl!E3),FALSE)</f>
        <v>0</v>
      </c>
      <c r="D4" s="43">
        <f>HLOOKUP(D1,pl!$D$1:$CL$43,ROW(pl!F3),FALSE)</f>
        <v>0</v>
      </c>
      <c r="E4" s="46">
        <f>HLOOKUP(E1,pl!$D$1:$CL$43,ROW(pl!G3),FALSE)</f>
        <v>0</v>
      </c>
      <c r="F4" s="37"/>
      <c r="G4" s="44" t="str">
        <f t="shared" ref="G4:G11" si="0">A4</f>
        <v>主营业务收入</v>
      </c>
      <c r="H4" s="45">
        <f t="shared" ref="H4:K10" si="1">ROUND(B4/10000,0)</f>
        <v>0</v>
      </c>
      <c r="I4" s="45">
        <f t="shared" si="1"/>
        <v>0</v>
      </c>
      <c r="J4" s="45">
        <f t="shared" si="1"/>
        <v>0</v>
      </c>
      <c r="K4" s="45">
        <f t="shared" si="1"/>
        <v>0</v>
      </c>
    </row>
    <row r="5" ht="31.5" customHeight="1" spans="1:11">
      <c r="A5" s="42" t="s">
        <v>231</v>
      </c>
      <c r="B5" s="43">
        <f>HLOOKUP(B1,cf!$C$1:$CL$39,ROW(cf!C7))</f>
        <v>0</v>
      </c>
      <c r="C5" s="43">
        <f>HLOOKUP(C1,cf!$C$1:$CL$39,ROW(cf!D7))</f>
        <v>0</v>
      </c>
      <c r="D5" s="43">
        <f>HLOOKUP(D1,cf!$C$1:$CL$39,ROW(cf!E7))</f>
        <v>0</v>
      </c>
      <c r="E5" s="43">
        <f>HLOOKUP(E1,cf!$C$1:$CL$39,ROW(cf!F7))</f>
        <v>0</v>
      </c>
      <c r="F5" s="37"/>
      <c r="G5" s="44" t="str">
        <f t="shared" si="0"/>
        <v>购买商品、接受劳务支付的现金</v>
      </c>
      <c r="H5" s="45">
        <f t="shared" si="1"/>
        <v>0</v>
      </c>
      <c r="I5" s="45">
        <f t="shared" si="1"/>
        <v>0</v>
      </c>
      <c r="J5" s="45">
        <f t="shared" si="1"/>
        <v>0</v>
      </c>
      <c r="K5" s="45">
        <f t="shared" si="1"/>
        <v>0</v>
      </c>
    </row>
    <row r="6" ht="23.25" customHeight="1" spans="1:11">
      <c r="A6" s="42" t="s">
        <v>146</v>
      </c>
      <c r="B6" s="43">
        <f>HLOOKUP(B1,pl!$D$1:$CL$43,ROW(pl!D6),FALSE)</f>
        <v>0</v>
      </c>
      <c r="C6" s="43">
        <f>HLOOKUP(C1,pl!$D$1:$CL$43,ROW(pl!E6),FALSE)</f>
        <v>0</v>
      </c>
      <c r="D6" s="43">
        <f>HLOOKUP(D1,pl!$D$1:$CL$43,ROW(pl!F6),FALSE)</f>
        <v>0</v>
      </c>
      <c r="E6" s="43">
        <f>HLOOKUP(E1,pl!$D$1:$CL$43,ROW(pl!G6),FALSE)</f>
        <v>0</v>
      </c>
      <c r="F6" s="37"/>
      <c r="G6" s="44" t="str">
        <f t="shared" si="0"/>
        <v>主营业务成本</v>
      </c>
      <c r="H6" s="45">
        <f t="shared" si="1"/>
        <v>0</v>
      </c>
      <c r="I6" s="45">
        <f t="shared" si="1"/>
        <v>0</v>
      </c>
      <c r="J6" s="45">
        <f t="shared" si="1"/>
        <v>0</v>
      </c>
      <c r="K6" s="45">
        <f t="shared" si="1"/>
        <v>0</v>
      </c>
    </row>
    <row r="7" ht="43.5" customHeight="1" spans="1:11">
      <c r="A7" s="42" t="s">
        <v>281</v>
      </c>
      <c r="B7" s="43">
        <f>HLOOKUP(B1,cf!$C$1:$CL$39,ROW(cf!C32))</f>
        <v>0</v>
      </c>
      <c r="C7" s="43">
        <f>HLOOKUP(C1,cf!$C$1:$CL$39,ROW(cf!D32))</f>
        <v>0</v>
      </c>
      <c r="D7" s="43">
        <f>HLOOKUP(D1,cf!$C$1:$CL$39,ROW(cf!E32))</f>
        <v>0</v>
      </c>
      <c r="E7" s="43">
        <f>HLOOKUP(E1,cf!$C$1:$CL$39,ROW(cf!F32))</f>
        <v>0</v>
      </c>
      <c r="F7" s="37"/>
      <c r="G7" s="44" t="str">
        <f t="shared" si="0"/>
        <v>分配股利、利润或偿付利息支付的现金</v>
      </c>
      <c r="H7" s="45">
        <f t="shared" si="1"/>
        <v>0</v>
      </c>
      <c r="I7" s="45">
        <f t="shared" si="1"/>
        <v>0</v>
      </c>
      <c r="J7" s="45">
        <f>ROUND(D7/10000,0)</f>
        <v>0</v>
      </c>
      <c r="K7" s="45">
        <f t="shared" si="1"/>
        <v>0</v>
      </c>
    </row>
    <row r="8" ht="15" spans="1:11">
      <c r="A8" s="42" t="s">
        <v>156</v>
      </c>
      <c r="B8" s="43">
        <f>HLOOKUP(B1,pl!$D$1:$CL$43,ROW(pl!D11),FALSE)</f>
        <v>0</v>
      </c>
      <c r="C8" s="43">
        <f>HLOOKUP(C1,pl!$D$1:$CL$43,ROW(pl!E11),FALSE)</f>
        <v>0</v>
      </c>
      <c r="D8" s="43">
        <f>HLOOKUP(D1,pl!$D$1:$CL$43,ROW(pl!F11),FALSE)</f>
        <v>0</v>
      </c>
      <c r="E8" s="43">
        <f>HLOOKUP(E1,pl!$D$1:$CL$43,ROW(pl!G11),FALSE)</f>
        <v>0</v>
      </c>
      <c r="F8" s="37"/>
      <c r="G8" s="44" t="str">
        <f t="shared" si="0"/>
        <v>财务费用</v>
      </c>
      <c r="H8" s="45">
        <f t="shared" si="1"/>
        <v>0</v>
      </c>
      <c r="I8" s="45">
        <f t="shared" si="1"/>
        <v>0</v>
      </c>
      <c r="J8" s="45">
        <f>ROUND(D8/10000,0)</f>
        <v>0</v>
      </c>
      <c r="K8" s="45">
        <f t="shared" si="1"/>
        <v>0</v>
      </c>
    </row>
    <row r="9" ht="15" spans="1:11">
      <c r="A9" s="42" t="s">
        <v>352</v>
      </c>
      <c r="B9" s="43">
        <f>HLOOKUP(B1,cf!$C$1:$CL$39,ROW(cf!C12))</f>
        <v>0</v>
      </c>
      <c r="C9" s="43">
        <f>HLOOKUP(C1,cf!$C$1:$CL$39,ROW(cf!D12))</f>
        <v>0</v>
      </c>
      <c r="D9" s="43">
        <f>HLOOKUP(D1,cf!$C$1:$CL$39,ROW(cf!E12))</f>
        <v>0</v>
      </c>
      <c r="E9" s="43">
        <f>HLOOKUP(E1,cf!$C$1:$CL$39,ROW(cf!F12))</f>
        <v>0</v>
      </c>
      <c r="F9" s="37"/>
      <c r="G9" s="44" t="str">
        <f t="shared" si="0"/>
        <v>经营性现金净流量</v>
      </c>
      <c r="H9" s="45">
        <f t="shared" si="1"/>
        <v>0</v>
      </c>
      <c r="I9" s="45">
        <f t="shared" si="1"/>
        <v>0</v>
      </c>
      <c r="J9" s="45">
        <f>ROUND(D9/10000,0)</f>
        <v>0</v>
      </c>
      <c r="K9" s="45">
        <f t="shared" si="1"/>
        <v>0</v>
      </c>
    </row>
    <row r="10" ht="15" spans="1:11">
      <c r="A10" s="42" t="s">
        <v>174</v>
      </c>
      <c r="B10" s="43">
        <f>HLOOKUP(B1,pl!$D$1:$CL$43,ROW(pl!D20),FALSE)</f>
        <v>0</v>
      </c>
      <c r="C10" s="43">
        <f>HLOOKUP(C1,pl!$D$1:$CL$43,ROW(pl!E20),FALSE)</f>
        <v>0</v>
      </c>
      <c r="D10" s="43">
        <f>HLOOKUP(D1,pl!$D$1:$CL$43,ROW(pl!F20),FALSE)</f>
        <v>0</v>
      </c>
      <c r="E10" s="43">
        <f>HLOOKUP(E1,pl!$D$1:$CL$43,ROW(pl!G20),FALSE)</f>
        <v>0</v>
      </c>
      <c r="F10" s="37"/>
      <c r="G10" s="44" t="str">
        <f t="shared" si="0"/>
        <v>净利润</v>
      </c>
      <c r="H10" s="45">
        <f t="shared" si="1"/>
        <v>0</v>
      </c>
      <c r="I10" s="45">
        <f t="shared" si="1"/>
        <v>0</v>
      </c>
      <c r="J10" s="45">
        <f t="shared" si="1"/>
        <v>0</v>
      </c>
      <c r="K10" s="45">
        <f t="shared" si="1"/>
        <v>0</v>
      </c>
    </row>
    <row r="11" ht="15" spans="1:11">
      <c r="A11" s="42" t="s">
        <v>353</v>
      </c>
      <c r="B11" s="43" t="e">
        <f>B9/B10</f>
        <v>#DIV/0!</v>
      </c>
      <c r="C11" s="43" t="e">
        <f>C9/C10</f>
        <v>#DIV/0!</v>
      </c>
      <c r="D11" s="43" t="e">
        <f>D9/D10</f>
        <v>#DIV/0!</v>
      </c>
      <c r="E11" s="43" t="e">
        <f>E9/E10</f>
        <v>#DIV/0!</v>
      </c>
      <c r="F11" s="37"/>
      <c r="G11" s="47" t="str">
        <f t="shared" si="0"/>
        <v>盈利现金比</v>
      </c>
      <c r="H11" s="45" t="e">
        <f>B11</f>
        <v>#DIV/0!</v>
      </c>
      <c r="I11" s="45" t="e">
        <f>C11</f>
        <v>#DIV/0!</v>
      </c>
      <c r="J11" s="45" t="e">
        <f>D11</f>
        <v>#DIV/0!</v>
      </c>
      <c r="K11" s="45" t="e">
        <f>E11</f>
        <v>#DIV/0!</v>
      </c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E33" sqref="E33"/>
    </sheetView>
  </sheetViews>
  <sheetFormatPr defaultColWidth="9" defaultRowHeight="12.75" outlineLevelCol="5"/>
  <cols>
    <col min="2" max="2" width="19.4571428571429" customWidth="1"/>
    <col min="3" max="3" width="12.2666666666667" customWidth="1"/>
    <col min="4" max="6" width="13.5428571428571" customWidth="1"/>
  </cols>
  <sheetData>
    <row r="2" ht="13.5" spans="6:6">
      <c r="F2" t="str">
        <f>'财务分析-万位'!G6</f>
        <v>单位：万元</v>
      </c>
    </row>
    <row r="3" ht="16.5" spans="2:6">
      <c r="B3" s="29" t="s">
        <v>354</v>
      </c>
      <c r="C3" s="30" t="str">
        <f>初始设置!D2</f>
        <v>2021/10/31</v>
      </c>
      <c r="D3" s="30">
        <f>'财务分析-万位'!C1</f>
        <v>43465</v>
      </c>
      <c r="E3" s="30">
        <f>'财务分析-万位'!D1</f>
        <v>43830</v>
      </c>
      <c r="F3" s="30">
        <f>'财务分析-万位'!E1</f>
        <v>44500</v>
      </c>
    </row>
    <row r="4" ht="16.5" spans="2:6">
      <c r="B4" s="31" t="s">
        <v>301</v>
      </c>
      <c r="C4" s="32">
        <f>'财务分析-万位'!B7</f>
        <v>0</v>
      </c>
      <c r="D4" s="32">
        <f>'财务分析-万位'!C7</f>
        <v>0</v>
      </c>
      <c r="E4" s="32">
        <f>'财务分析-万位'!D7</f>
        <v>0</v>
      </c>
      <c r="F4" s="32">
        <f>'财务分析-万位'!E7</f>
        <v>0</v>
      </c>
    </row>
    <row r="5" ht="16.5" spans="2:6">
      <c r="B5" s="31" t="s">
        <v>355</v>
      </c>
      <c r="C5" s="32">
        <f>'财务分析-万位'!B15</f>
        <v>0</v>
      </c>
      <c r="D5" s="32">
        <f>'财务分析-万位'!C15</f>
        <v>0</v>
      </c>
      <c r="E5" s="32">
        <f>'财务分析-万位'!D15</f>
        <v>0</v>
      </c>
      <c r="F5" s="32">
        <f>'财务分析-万位'!E15</f>
        <v>0</v>
      </c>
    </row>
    <row r="6" ht="16.5" spans="2:6">
      <c r="B6" s="31" t="s">
        <v>356</v>
      </c>
      <c r="C6" s="33" t="e">
        <f>'财务分析-万位'!B30</f>
        <v>#DIV/0!</v>
      </c>
      <c r="D6" s="33" t="e">
        <f>'财务分析-万位'!C30</f>
        <v>#DIV/0!</v>
      </c>
      <c r="E6" s="33" t="e">
        <f>'财务分析-万位'!D30</f>
        <v>#DIV/0!</v>
      </c>
      <c r="F6" s="33" t="e">
        <f>'财务分析-万位'!E30</f>
        <v>#DIV/0!</v>
      </c>
    </row>
    <row r="7" ht="16.5" spans="2:6">
      <c r="B7" s="31" t="s">
        <v>138</v>
      </c>
      <c r="C7" s="32">
        <f>'财务分析-万位'!B16</f>
        <v>0</v>
      </c>
      <c r="D7" s="32">
        <f>'财务分析-万位'!C16</f>
        <v>0</v>
      </c>
      <c r="E7" s="32">
        <f>'财务分析-万位'!D16</f>
        <v>0</v>
      </c>
      <c r="F7" s="32">
        <f>'财务分析-万位'!E16</f>
        <v>0</v>
      </c>
    </row>
    <row r="8" ht="16.5" spans="2:6">
      <c r="B8" s="31" t="s">
        <v>170</v>
      </c>
      <c r="C8" s="32">
        <f>'财务分析-万位'!B22</f>
        <v>0</v>
      </c>
      <c r="D8" s="32">
        <f>'财务分析-万位'!C22</f>
        <v>0</v>
      </c>
      <c r="E8" s="32">
        <f>'财务分析-万位'!D22</f>
        <v>0</v>
      </c>
      <c r="F8" s="32">
        <f>'财务分析-万位'!E22</f>
        <v>0</v>
      </c>
    </row>
    <row r="9" ht="16.5" spans="2:6">
      <c r="B9" s="31" t="s">
        <v>352</v>
      </c>
      <c r="C9" s="32">
        <f>'财务分析-万位'!B25</f>
        <v>0</v>
      </c>
      <c r="D9" s="32">
        <f>'财务分析-万位'!C25</f>
        <v>0</v>
      </c>
      <c r="E9" s="32">
        <f>'财务分析-万位'!D25</f>
        <v>0</v>
      </c>
      <c r="F9" s="32">
        <f>'财务分析-万位'!E25</f>
        <v>0</v>
      </c>
    </row>
    <row r="10" ht="16.5" spans="2:6">
      <c r="B10" s="31" t="s">
        <v>357</v>
      </c>
      <c r="C10" s="32">
        <f>'财务分析-万位'!B24</f>
        <v>0</v>
      </c>
      <c r="D10" s="32">
        <f>'财务分析-万位'!C24</f>
        <v>0</v>
      </c>
      <c r="E10" s="32">
        <f>'财务分析-万位'!D24</f>
        <v>0</v>
      </c>
      <c r="F10" s="32">
        <f>'财务分析-万位'!E24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1:J75"/>
  <sheetViews>
    <sheetView topLeftCell="B44" workbookViewId="0">
      <selection activeCell="B64" sqref="B64:J75"/>
    </sheetView>
  </sheetViews>
  <sheetFormatPr defaultColWidth="9" defaultRowHeight="12.75"/>
  <cols>
    <col min="2" max="2" width="25.7238095238095" style="7" customWidth="1"/>
    <col min="3" max="3" width="11.1809523809524" style="8" customWidth="1"/>
    <col min="4" max="4" width="9.81904761904762" style="8" customWidth="1"/>
    <col min="5" max="5" width="11.1809523809524" style="8" customWidth="1"/>
    <col min="6" max="6" width="11" style="8" customWidth="1"/>
    <col min="7" max="7" width="11.8190476190476" style="8" customWidth="1"/>
    <col min="8" max="8" width="11" style="8" customWidth="1"/>
    <col min="9" max="9" width="11.8190476190476" style="8" customWidth="1"/>
    <col min="10" max="10" width="9.26666666666667" style="8" customWidth="1"/>
  </cols>
  <sheetData>
    <row r="1" spans="10:10">
      <c r="J1" s="28" t="s">
        <v>300</v>
      </c>
    </row>
    <row r="2" spans="2:10">
      <c r="B2" s="9" t="s">
        <v>296</v>
      </c>
      <c r="C2" s="10">
        <f>'财务分析-万位'!B1</f>
        <v>43100</v>
      </c>
      <c r="D2" s="11"/>
      <c r="E2" s="10">
        <f>'财务分析-万位'!C1</f>
        <v>43465</v>
      </c>
      <c r="F2" s="11"/>
      <c r="G2" s="10">
        <f>'财务分析-万位'!D1</f>
        <v>43830</v>
      </c>
      <c r="H2" s="11"/>
      <c r="I2" s="10">
        <f>'财务分析-万位'!E1</f>
        <v>44500</v>
      </c>
      <c r="J2" s="11"/>
    </row>
    <row r="3" spans="2:10">
      <c r="B3" s="9"/>
      <c r="C3" s="12" t="s">
        <v>350</v>
      </c>
      <c r="D3" s="12" t="s">
        <v>358</v>
      </c>
      <c r="E3" s="12" t="s">
        <v>350</v>
      </c>
      <c r="F3" s="12" t="s">
        <v>358</v>
      </c>
      <c r="G3" s="12" t="s">
        <v>350</v>
      </c>
      <c r="H3" s="12" t="s">
        <v>358</v>
      </c>
      <c r="I3" s="12" t="s">
        <v>350</v>
      </c>
      <c r="J3" s="12" t="s">
        <v>358</v>
      </c>
    </row>
    <row r="4" spans="2:10">
      <c r="B4" s="13" t="s">
        <v>4</v>
      </c>
      <c r="C4" s="14">
        <f>ROUND(HLOOKUP($C$2,bs!$D$1:$AC$68,ROW(bs!D2),FALSE),0)/IF(LEN($J$1)&gt;4,10000,1)</f>
        <v>0</v>
      </c>
      <c r="D4" s="15" t="e">
        <f>C4/$C$37</f>
        <v>#DIV/0!</v>
      </c>
      <c r="E4" s="14">
        <f>ROUND(HLOOKUP($E$2,bs!$D$1:$AC$68,ROW(bs!F2),FALSE),0)/IF(LEN($J$1)&gt;4,10000,1)</f>
        <v>0</v>
      </c>
      <c r="F4" s="15" t="e">
        <f>E4/$E$37</f>
        <v>#DIV/0!</v>
      </c>
      <c r="G4" s="16">
        <f>ROUND(HLOOKUP($G$2,bs!$D$1:$AC$68,ROW(bs!H2),FALSE),0)/IF(LEN($J$1)&gt;4,10000,1)</f>
        <v>0</v>
      </c>
      <c r="H4" s="15" t="e">
        <f>G4/$G$37</f>
        <v>#DIV/0!</v>
      </c>
      <c r="I4" s="16">
        <f>ROUND(HLOOKUP($I$2,bs!$D$1:$AC$68,ROW(bs!J2),FALSE),0)/IF(LEN($J$1)&gt;4,10000,1)</f>
        <v>0</v>
      </c>
      <c r="J4" s="15" t="e">
        <f>I4/$I$37</f>
        <v>#DIV/0!</v>
      </c>
    </row>
    <row r="5" spans="2:10">
      <c r="B5" s="13" t="s">
        <v>6</v>
      </c>
      <c r="C5" s="14">
        <f>ROUND(HLOOKUP($C$2,bs!$D$1:$AC$68,ROW(bs!D3),FALSE),0)/IF(LEN($J$1)&gt;4,10000,1)</f>
        <v>0</v>
      </c>
      <c r="D5" s="15" t="e">
        <f t="shared" ref="D5:D37" si="0">C5/$C$37</f>
        <v>#DIV/0!</v>
      </c>
      <c r="E5" s="14">
        <f>ROUND(HLOOKUP($E$2,bs!$D$1:$AC$68,ROW(bs!F3),FALSE),0)/IF(LEN($J$1)&gt;4,10000,1)</f>
        <v>0</v>
      </c>
      <c r="F5" s="15" t="e">
        <f t="shared" ref="F5:F37" si="1">E5/$E$37</f>
        <v>#DIV/0!</v>
      </c>
      <c r="G5" s="16">
        <f>ROUND(HLOOKUP($G$2,bs!$D$1:$AC$68,ROW(bs!H3),FALSE),0)/IF(LEN($J$1)&gt;4,10000,1)</f>
        <v>0</v>
      </c>
      <c r="H5" s="15" t="e">
        <f t="shared" ref="H5:H37" si="2">G5/$G$37</f>
        <v>#DIV/0!</v>
      </c>
      <c r="I5" s="16">
        <f>ROUND(HLOOKUP($I$2,bs!$D$1:$AC$68,ROW(bs!J3),FALSE),0)/IF(LEN($J$1)&gt;4,10000,1)</f>
        <v>0</v>
      </c>
      <c r="J5" s="15" t="e">
        <f t="shared" ref="J5:J37" si="3">I5/$I$37</f>
        <v>#DIV/0!</v>
      </c>
    </row>
    <row r="6" spans="2:10">
      <c r="B6" s="13" t="s">
        <v>8</v>
      </c>
      <c r="C6" s="14">
        <f>ROUND(HLOOKUP($C$2,bs!$D$1:$AC$68,ROW(bs!D4),FALSE),0)/IF(LEN($J$1)&gt;4,10000,1)</f>
        <v>0</v>
      </c>
      <c r="D6" s="15" t="e">
        <f t="shared" si="0"/>
        <v>#DIV/0!</v>
      </c>
      <c r="E6" s="14">
        <f>ROUND(HLOOKUP($E$2,bs!$D$1:$AC$68,ROW(bs!F4),FALSE),0)/IF(LEN($J$1)&gt;4,10000,1)</f>
        <v>0</v>
      </c>
      <c r="F6" s="15" t="e">
        <f t="shared" si="1"/>
        <v>#DIV/0!</v>
      </c>
      <c r="G6" s="16">
        <f>ROUND(HLOOKUP($G$2,bs!$D$1:$AC$68,ROW(bs!H4),FALSE),0)/IF(LEN($J$1)&gt;4,10000,1)</f>
        <v>0</v>
      </c>
      <c r="H6" s="15" t="e">
        <f t="shared" si="2"/>
        <v>#DIV/0!</v>
      </c>
      <c r="I6" s="16">
        <f>ROUND(HLOOKUP($I$2,bs!$D$1:$AC$68,ROW(bs!J4),FALSE),0)/IF(LEN($J$1)&gt;4,10000,1)</f>
        <v>0</v>
      </c>
      <c r="J6" s="15" t="e">
        <f t="shared" si="3"/>
        <v>#DIV/0!</v>
      </c>
    </row>
    <row r="7" spans="2:10">
      <c r="B7" s="13" t="s">
        <v>10</v>
      </c>
      <c r="C7" s="14">
        <f>ROUND(HLOOKUP($C$2,bs!$D$1:$AC$68,ROW(bs!D5),FALSE),0)/IF(LEN($J$1)&gt;4,10000,1)</f>
        <v>0</v>
      </c>
      <c r="D7" s="15" t="e">
        <f t="shared" si="0"/>
        <v>#DIV/0!</v>
      </c>
      <c r="E7" s="14">
        <f>ROUND(HLOOKUP($E$2,bs!$D$1:$AC$68,ROW(bs!F5),FALSE),0)/IF(LEN($J$1)&gt;4,10000,1)</f>
        <v>0</v>
      </c>
      <c r="F7" s="15" t="e">
        <f t="shared" si="1"/>
        <v>#DIV/0!</v>
      </c>
      <c r="G7" s="16">
        <f>ROUND(HLOOKUP($G$2,bs!$D$1:$AC$68,ROW(bs!H5),FALSE),0)/IF(LEN($J$1)&gt;4,10000,1)</f>
        <v>0</v>
      </c>
      <c r="H7" s="15" t="e">
        <f t="shared" si="2"/>
        <v>#DIV/0!</v>
      </c>
      <c r="I7" s="16">
        <f>ROUND(HLOOKUP($I$2,bs!$D$1:$AC$68,ROW(bs!J5),FALSE),0)/IF(LEN($J$1)&gt;4,10000,1)</f>
        <v>0</v>
      </c>
      <c r="J7" s="15" t="e">
        <f t="shared" si="3"/>
        <v>#DIV/0!</v>
      </c>
    </row>
    <row r="8" spans="2:10">
      <c r="B8" s="13" t="s">
        <v>12</v>
      </c>
      <c r="C8" s="14">
        <f>ROUND(HLOOKUP($C$2,bs!$D$1:$AC$68,ROW(bs!D6),FALSE),0)/IF(LEN($J$1)&gt;4,10000,1)</f>
        <v>0</v>
      </c>
      <c r="D8" s="15" t="e">
        <f t="shared" si="0"/>
        <v>#DIV/0!</v>
      </c>
      <c r="E8" s="14">
        <f>ROUND(HLOOKUP($E$2,bs!$D$1:$AC$68,ROW(bs!F6),FALSE),0)/IF(LEN($J$1)&gt;4,10000,1)</f>
        <v>0</v>
      </c>
      <c r="F8" s="15" t="e">
        <f t="shared" si="1"/>
        <v>#DIV/0!</v>
      </c>
      <c r="G8" s="16">
        <f>ROUND(HLOOKUP($G$2,bs!$D$1:$AC$68,ROW(bs!H6),FALSE),0)/IF(LEN($J$1)&gt;4,10000,1)</f>
        <v>0</v>
      </c>
      <c r="H8" s="15" t="e">
        <f t="shared" si="2"/>
        <v>#DIV/0!</v>
      </c>
      <c r="I8" s="16">
        <f>ROUND(HLOOKUP($I$2,bs!$D$1:$AC$68,ROW(bs!J6),FALSE),0)/IF(LEN($J$1)&gt;4,10000,1)</f>
        <v>0</v>
      </c>
      <c r="J8" s="15" t="e">
        <f t="shared" si="3"/>
        <v>#DIV/0!</v>
      </c>
    </row>
    <row r="9" spans="2:10">
      <c r="B9" s="13" t="s">
        <v>14</v>
      </c>
      <c r="C9" s="14">
        <f>ROUND(HLOOKUP($C$2,bs!$D$1:$AC$68,ROW(bs!D7),FALSE),0)/IF(LEN($J$1)&gt;4,10000,1)</f>
        <v>0</v>
      </c>
      <c r="D9" s="15" t="e">
        <f t="shared" si="0"/>
        <v>#DIV/0!</v>
      </c>
      <c r="E9" s="14">
        <f>ROUND(HLOOKUP($E$2,bs!$D$1:$AC$68,ROW(bs!F7),FALSE),0)/IF(LEN($J$1)&gt;4,10000,1)</f>
        <v>0</v>
      </c>
      <c r="F9" s="15" t="e">
        <f t="shared" si="1"/>
        <v>#DIV/0!</v>
      </c>
      <c r="G9" s="16">
        <f>ROUND(HLOOKUP($G$2,bs!$D$1:$AC$68,ROW(bs!H7),FALSE),0)/IF(LEN($J$1)&gt;4,10000,1)</f>
        <v>0</v>
      </c>
      <c r="H9" s="15" t="e">
        <f t="shared" si="2"/>
        <v>#DIV/0!</v>
      </c>
      <c r="I9" s="16">
        <f>ROUND(HLOOKUP($I$2,bs!$D$1:$AC$68,ROW(bs!J7),FALSE),0)/IF(LEN($J$1)&gt;4,10000,1)</f>
        <v>0</v>
      </c>
      <c r="J9" s="15" t="e">
        <f t="shared" si="3"/>
        <v>#DIV/0!</v>
      </c>
    </row>
    <row r="10" spans="2:10">
      <c r="B10" s="13" t="s">
        <v>16</v>
      </c>
      <c r="C10" s="14">
        <f>ROUND(HLOOKUP($C$2,bs!$D$1:$AC$68,ROW(bs!D8),FALSE),0)/IF(LEN($J$1)&gt;4,10000,1)</f>
        <v>0</v>
      </c>
      <c r="D10" s="15" t="e">
        <f t="shared" si="0"/>
        <v>#DIV/0!</v>
      </c>
      <c r="E10" s="14">
        <f>ROUND(HLOOKUP($E$2,bs!$D$1:$AC$68,ROW(bs!F8),FALSE),0)/IF(LEN($J$1)&gt;4,10000,1)</f>
        <v>0</v>
      </c>
      <c r="F10" s="15" t="e">
        <f t="shared" si="1"/>
        <v>#DIV/0!</v>
      </c>
      <c r="G10" s="16">
        <f>ROUND(HLOOKUP($G$2,bs!$D$1:$AC$68,ROW(bs!H8),FALSE),0)/IF(LEN($J$1)&gt;4,10000,1)</f>
        <v>0</v>
      </c>
      <c r="H10" s="15" t="e">
        <f t="shared" si="2"/>
        <v>#DIV/0!</v>
      </c>
      <c r="I10" s="16">
        <f>ROUND(HLOOKUP($I$2,bs!$D$1:$AC$68,ROW(bs!J8),FALSE),0)/IF(LEN($J$1)&gt;4,10000,1)</f>
        <v>0</v>
      </c>
      <c r="J10" s="15" t="e">
        <f t="shared" si="3"/>
        <v>#DIV/0!</v>
      </c>
    </row>
    <row r="11" spans="2:10">
      <c r="B11" s="13" t="s">
        <v>18</v>
      </c>
      <c r="C11" s="14">
        <f>ROUND(HLOOKUP($C$2,bs!$D$1:$AC$68,ROW(bs!D9),FALSE),0)/IF(LEN($J$1)&gt;4,10000,1)</f>
        <v>0</v>
      </c>
      <c r="D11" s="15" t="e">
        <f t="shared" si="0"/>
        <v>#DIV/0!</v>
      </c>
      <c r="E11" s="14">
        <f>ROUND(HLOOKUP($E$2,bs!$D$1:$AC$68,ROW(bs!F9),FALSE),0)/IF(LEN($J$1)&gt;4,10000,1)</f>
        <v>0</v>
      </c>
      <c r="F11" s="15" t="e">
        <f t="shared" si="1"/>
        <v>#DIV/0!</v>
      </c>
      <c r="G11" s="16">
        <f>ROUND(HLOOKUP($G$2,bs!$D$1:$AC$68,ROW(bs!H9),FALSE),0)/IF(LEN($J$1)&gt;4,10000,1)</f>
        <v>0</v>
      </c>
      <c r="H11" s="15" t="e">
        <f t="shared" si="2"/>
        <v>#DIV/0!</v>
      </c>
      <c r="I11" s="16">
        <f>ROUND(HLOOKUP($I$2,bs!$D$1:$AC$68,ROW(bs!J9),FALSE),0)/IF(LEN($J$1)&gt;4,10000,1)</f>
        <v>0</v>
      </c>
      <c r="J11" s="15" t="e">
        <f t="shared" si="3"/>
        <v>#DIV/0!</v>
      </c>
    </row>
    <row r="12" spans="2:10">
      <c r="B12" s="13" t="s">
        <v>20</v>
      </c>
      <c r="C12" s="14">
        <f>ROUND(HLOOKUP($C$2,bs!$D$1:$AC$68,ROW(bs!D10),FALSE),0)/IF(LEN($J$1)&gt;4,10000,1)</f>
        <v>0</v>
      </c>
      <c r="D12" s="15" t="e">
        <f t="shared" si="0"/>
        <v>#DIV/0!</v>
      </c>
      <c r="E12" s="14">
        <f>ROUND(HLOOKUP($E$2,bs!$D$1:$AC$68,ROW(bs!F10),FALSE),0)/IF(LEN($J$1)&gt;4,10000,1)</f>
        <v>0</v>
      </c>
      <c r="F12" s="15" t="e">
        <f t="shared" si="1"/>
        <v>#DIV/0!</v>
      </c>
      <c r="G12" s="16">
        <f>ROUND(HLOOKUP($G$2,bs!$D$1:$AC$68,ROW(bs!H10),FALSE),0)/IF(LEN($J$1)&gt;4,10000,1)</f>
        <v>0</v>
      </c>
      <c r="H12" s="15" t="e">
        <f t="shared" si="2"/>
        <v>#DIV/0!</v>
      </c>
      <c r="I12" s="16">
        <f>ROUND(HLOOKUP($I$2,bs!$D$1:$AC$68,ROW(bs!J10),FALSE),0)/IF(LEN($J$1)&gt;4,10000,1)</f>
        <v>0</v>
      </c>
      <c r="J12" s="15" t="e">
        <f t="shared" si="3"/>
        <v>#DIV/0!</v>
      </c>
    </row>
    <row r="13" spans="2:10">
      <c r="B13" s="13" t="s">
        <v>22</v>
      </c>
      <c r="C13" s="14">
        <f>ROUND(HLOOKUP($C$2,bs!$D$1:$AC$68,ROW(bs!D11),FALSE),0)/IF(LEN($J$1)&gt;4,10000,1)</f>
        <v>0</v>
      </c>
      <c r="D13" s="15" t="e">
        <f t="shared" si="0"/>
        <v>#DIV/0!</v>
      </c>
      <c r="E13" s="14">
        <f>ROUND(HLOOKUP($E$2,bs!$D$1:$AC$68,ROW(bs!F11),FALSE),0)/IF(LEN($J$1)&gt;4,10000,1)</f>
        <v>0</v>
      </c>
      <c r="F13" s="15" t="e">
        <f t="shared" si="1"/>
        <v>#DIV/0!</v>
      </c>
      <c r="G13" s="16">
        <f>ROUND(HLOOKUP($G$2,bs!$D$1:$AC$68,ROW(bs!H11),FALSE),0)/IF(LEN($J$1)&gt;4,10000,1)</f>
        <v>0</v>
      </c>
      <c r="H13" s="15" t="e">
        <f t="shared" si="2"/>
        <v>#DIV/0!</v>
      </c>
      <c r="I13" s="16">
        <f>ROUND(HLOOKUP($I$2,bs!$D$1:$AC$68,ROW(bs!J11),FALSE),0)/IF(LEN($J$1)&gt;4,10000,1)</f>
        <v>0</v>
      </c>
      <c r="J13" s="15" t="e">
        <f t="shared" si="3"/>
        <v>#DIV/0!</v>
      </c>
    </row>
    <row r="14" spans="2:10">
      <c r="B14" s="13" t="s">
        <v>24</v>
      </c>
      <c r="C14" s="14">
        <f>ROUND(HLOOKUP($C$2,bs!$D$1:$AC$68,ROW(bs!D12),FALSE),0)/IF(LEN($J$1)&gt;4,10000,1)</f>
        <v>0</v>
      </c>
      <c r="D14" s="15" t="e">
        <f t="shared" si="0"/>
        <v>#DIV/0!</v>
      </c>
      <c r="E14" s="14">
        <f>ROUND(HLOOKUP($E$2,bs!$D$1:$AC$68,ROW(bs!F12),FALSE),0)/IF(LEN($J$1)&gt;4,10000,1)</f>
        <v>0</v>
      </c>
      <c r="F14" s="15" t="e">
        <f t="shared" si="1"/>
        <v>#DIV/0!</v>
      </c>
      <c r="G14" s="16">
        <f>ROUND(HLOOKUP($G$2,bs!$D$1:$AC$68,ROW(bs!H12),FALSE),0)/IF(LEN($J$1)&gt;4,10000,1)</f>
        <v>0</v>
      </c>
      <c r="H14" s="15" t="e">
        <f t="shared" si="2"/>
        <v>#DIV/0!</v>
      </c>
      <c r="I14" s="16">
        <f>ROUND(HLOOKUP($I$2,bs!$D$1:$AC$68,ROW(bs!J12),FALSE),0)/IF(LEN($J$1)&gt;4,10000,1)</f>
        <v>0</v>
      </c>
      <c r="J14" s="15" t="e">
        <f t="shared" si="3"/>
        <v>#DIV/0!</v>
      </c>
    </row>
    <row r="15" spans="2:10">
      <c r="B15" s="17" t="s">
        <v>26</v>
      </c>
      <c r="C15" s="18">
        <f>ROUND(HLOOKUP($C$2,bs!$D$1:$AC$68,ROW(bs!D13),FALSE),0)/IF(LEN($J$1)&gt;4,10000,1)</f>
        <v>0</v>
      </c>
      <c r="D15" s="19" t="e">
        <f t="shared" si="0"/>
        <v>#DIV/0!</v>
      </c>
      <c r="E15" s="18">
        <f>ROUND(HLOOKUP($E$2,bs!$D$1:$AC$68,ROW(bs!F13),FALSE),0)/IF(LEN($J$1)&gt;4,10000,1)</f>
        <v>0</v>
      </c>
      <c r="F15" s="19" t="e">
        <f t="shared" si="1"/>
        <v>#DIV/0!</v>
      </c>
      <c r="G15" s="20">
        <f>ROUND(HLOOKUP($G$2,bs!$D$1:$AC$68,ROW(bs!H13),FALSE),0)/IF(LEN($J$1)&gt;4,10000,1)</f>
        <v>0</v>
      </c>
      <c r="H15" s="19" t="e">
        <f t="shared" si="2"/>
        <v>#DIV/0!</v>
      </c>
      <c r="I15" s="20">
        <f>ROUND(HLOOKUP($I$2,bs!$D$1:$AC$68,ROW(bs!J13),FALSE),0)/IF(LEN($J$1)&gt;4,10000,1)</f>
        <v>0</v>
      </c>
      <c r="J15" s="19" t="e">
        <f t="shared" si="3"/>
        <v>#DIV/0!</v>
      </c>
    </row>
    <row r="16" spans="2:10">
      <c r="B16" s="13" t="s">
        <v>28</v>
      </c>
      <c r="C16" s="14">
        <f>ROUND(HLOOKUP($C$2,bs!$D$1:$AC$68,ROW(bs!D14),FALSE),0)/IF(LEN($J$1)&gt;4,10000,1)</f>
        <v>0</v>
      </c>
      <c r="D16" s="15" t="e">
        <f t="shared" si="0"/>
        <v>#DIV/0!</v>
      </c>
      <c r="E16" s="14">
        <f>ROUND(HLOOKUP($E$2,bs!$D$1:$AC$68,ROW(bs!F14),FALSE),0)/IF(LEN($J$1)&gt;4,10000,1)</f>
        <v>0</v>
      </c>
      <c r="F16" s="15" t="e">
        <f t="shared" si="1"/>
        <v>#DIV/0!</v>
      </c>
      <c r="G16" s="16">
        <f>ROUND(HLOOKUP($G$2,bs!$D$1:$AC$68,ROW(bs!H14),FALSE),0)/IF(LEN($J$1)&gt;4,10000,1)</f>
        <v>0</v>
      </c>
      <c r="H16" s="15" t="e">
        <f t="shared" si="2"/>
        <v>#DIV/0!</v>
      </c>
      <c r="I16" s="16">
        <f>ROUND(HLOOKUP($I$2,bs!$D$1:$AC$68,ROW(bs!J14),FALSE),0)/IF(LEN($J$1)&gt;4,10000,1)</f>
        <v>0</v>
      </c>
      <c r="J16" s="15" t="e">
        <f t="shared" si="3"/>
        <v>#DIV/0!</v>
      </c>
    </row>
    <row r="17" spans="2:10">
      <c r="B17" s="13" t="s">
        <v>30</v>
      </c>
      <c r="C17" s="14">
        <f>ROUND(HLOOKUP($C$2,bs!$D$1:$AC$68,ROW(bs!D15),FALSE),0)/IF(LEN($J$1)&gt;4,10000,1)</f>
        <v>0</v>
      </c>
      <c r="D17" s="15" t="e">
        <f t="shared" si="0"/>
        <v>#DIV/0!</v>
      </c>
      <c r="E17" s="14">
        <f>ROUND(HLOOKUP($E$2,bs!$D$1:$AC$68,ROW(bs!F15),FALSE),0)/IF(LEN($J$1)&gt;4,10000,1)</f>
        <v>0</v>
      </c>
      <c r="F17" s="15" t="e">
        <f t="shared" si="1"/>
        <v>#DIV/0!</v>
      </c>
      <c r="G17" s="16">
        <f>ROUND(HLOOKUP($G$2,bs!$D$1:$AC$68,ROW(bs!H15),FALSE),0)/IF(LEN($J$1)&gt;4,10000,1)</f>
        <v>0</v>
      </c>
      <c r="H17" s="15" t="e">
        <f t="shared" si="2"/>
        <v>#DIV/0!</v>
      </c>
      <c r="I17" s="16">
        <f>ROUND(HLOOKUP($I$2,bs!$D$1:$AC$68,ROW(bs!J15),FALSE),0)/IF(LEN($J$1)&gt;4,10000,1)</f>
        <v>0</v>
      </c>
      <c r="J17" s="15" t="e">
        <f t="shared" si="3"/>
        <v>#DIV/0!</v>
      </c>
    </row>
    <row r="18" spans="2:10">
      <c r="B18" s="13" t="s">
        <v>32</v>
      </c>
      <c r="C18" s="14">
        <f>ROUND(HLOOKUP($C$2,bs!$D$1:$AC$68,ROW(bs!D16),FALSE),0)/IF(LEN($J$1)&gt;4,10000,1)</f>
        <v>0</v>
      </c>
      <c r="D18" s="15" t="e">
        <f t="shared" si="0"/>
        <v>#DIV/0!</v>
      </c>
      <c r="E18" s="14">
        <f>ROUND(HLOOKUP($E$2,bs!$D$1:$AC$68,ROW(bs!F16),FALSE),0)/IF(LEN($J$1)&gt;4,10000,1)</f>
        <v>0</v>
      </c>
      <c r="F18" s="15" t="e">
        <f t="shared" si="1"/>
        <v>#DIV/0!</v>
      </c>
      <c r="G18" s="16">
        <f>ROUND(HLOOKUP($G$2,bs!$D$1:$AC$68,ROW(bs!H16),FALSE),0)/IF(LEN($J$1)&gt;4,10000,1)</f>
        <v>0</v>
      </c>
      <c r="H18" s="15" t="e">
        <f t="shared" si="2"/>
        <v>#DIV/0!</v>
      </c>
      <c r="I18" s="16">
        <f>ROUND(HLOOKUP($I$2,bs!$D$1:$AC$68,ROW(bs!J16),FALSE),0)/IF(LEN($J$1)&gt;4,10000,1)</f>
        <v>0</v>
      </c>
      <c r="J18" s="15" t="e">
        <f t="shared" si="3"/>
        <v>#DIV/0!</v>
      </c>
    </row>
    <row r="19" spans="2:10">
      <c r="B19" s="13" t="s">
        <v>34</v>
      </c>
      <c r="C19" s="14">
        <f>ROUND(HLOOKUP($C$2,bs!$D$1:$AC$68,ROW(bs!D17),FALSE),0)/IF(LEN($J$1)&gt;4,10000,1)</f>
        <v>0</v>
      </c>
      <c r="D19" s="15" t="e">
        <f t="shared" si="0"/>
        <v>#DIV/0!</v>
      </c>
      <c r="E19" s="14">
        <f>ROUND(HLOOKUP($E$2,bs!$D$1:$AC$68,ROW(bs!F17),FALSE),0)/IF(LEN($J$1)&gt;4,10000,1)</f>
        <v>0</v>
      </c>
      <c r="F19" s="15" t="e">
        <f t="shared" si="1"/>
        <v>#DIV/0!</v>
      </c>
      <c r="G19" s="16">
        <f>ROUND(HLOOKUP($G$2,bs!$D$1:$AC$68,ROW(bs!H17),FALSE),0)/IF(LEN($J$1)&gt;4,10000,1)</f>
        <v>0</v>
      </c>
      <c r="H19" s="15" t="e">
        <f t="shared" si="2"/>
        <v>#DIV/0!</v>
      </c>
      <c r="I19" s="16">
        <f>ROUND(HLOOKUP($I$2,bs!$D$1:$AC$68,ROW(bs!J17),FALSE),0)/IF(LEN($J$1)&gt;4,10000,1)</f>
        <v>0</v>
      </c>
      <c r="J19" s="15" t="e">
        <f t="shared" si="3"/>
        <v>#DIV/0!</v>
      </c>
    </row>
    <row r="20" spans="2:10">
      <c r="B20" s="13" t="s">
        <v>36</v>
      </c>
      <c r="C20" s="14">
        <f>ROUND(HLOOKUP($C$2,bs!$D$1:$AC$68,ROW(bs!D18),FALSE),0)/IF(LEN($J$1)&gt;4,10000,1)</f>
        <v>0</v>
      </c>
      <c r="D20" s="15" t="e">
        <f t="shared" si="0"/>
        <v>#DIV/0!</v>
      </c>
      <c r="E20" s="14">
        <f>ROUND(HLOOKUP($E$2,bs!$D$1:$AC$68,ROW(bs!F18),FALSE),0)/IF(LEN($J$1)&gt;4,10000,1)</f>
        <v>0</v>
      </c>
      <c r="F20" s="15" t="e">
        <f t="shared" si="1"/>
        <v>#DIV/0!</v>
      </c>
      <c r="G20" s="16">
        <f>ROUND(HLOOKUP($G$2,bs!$D$1:$AC$68,ROW(bs!H18),FALSE),0)/IF(LEN($J$1)&gt;4,10000,1)</f>
        <v>0</v>
      </c>
      <c r="H20" s="15" t="e">
        <f t="shared" si="2"/>
        <v>#DIV/0!</v>
      </c>
      <c r="I20" s="16">
        <f>ROUND(HLOOKUP($I$2,bs!$D$1:$AC$68,ROW(bs!J18),FALSE),0)/IF(LEN($J$1)&gt;4,10000,1)</f>
        <v>0</v>
      </c>
      <c r="J20" s="15" t="e">
        <f t="shared" si="3"/>
        <v>#DIV/0!</v>
      </c>
    </row>
    <row r="21" spans="2:10">
      <c r="B21" s="13" t="s">
        <v>38</v>
      </c>
      <c r="C21" s="14">
        <f>ROUND(HLOOKUP($C$2,bs!$D$1:$AC$68,ROW(bs!D19),FALSE),0)/IF(LEN($J$1)&gt;4,10000,1)</f>
        <v>0</v>
      </c>
      <c r="D21" s="15" t="e">
        <f t="shared" si="0"/>
        <v>#DIV/0!</v>
      </c>
      <c r="E21" s="14">
        <f>ROUND(HLOOKUP($E$2,bs!$D$1:$AC$68,ROW(bs!F19),FALSE),0)/IF(LEN($J$1)&gt;4,10000,1)</f>
        <v>0</v>
      </c>
      <c r="F21" s="15" t="e">
        <f t="shared" si="1"/>
        <v>#DIV/0!</v>
      </c>
      <c r="G21" s="16">
        <f>ROUND(HLOOKUP($G$2,bs!$D$1:$AC$68,ROW(bs!H19),FALSE),0)/IF(LEN($J$1)&gt;4,10000,1)</f>
        <v>0</v>
      </c>
      <c r="H21" s="15" t="e">
        <f t="shared" si="2"/>
        <v>#DIV/0!</v>
      </c>
      <c r="I21" s="16">
        <f>ROUND(HLOOKUP($I$2,bs!$D$1:$AC$68,ROW(bs!J19),FALSE),0)/IF(LEN($J$1)&gt;4,10000,1)</f>
        <v>0</v>
      </c>
      <c r="J21" s="15" t="e">
        <f t="shared" si="3"/>
        <v>#DIV/0!</v>
      </c>
    </row>
    <row r="22" spans="2:10">
      <c r="B22" s="13" t="s">
        <v>40</v>
      </c>
      <c r="C22" s="14">
        <f>ROUND(HLOOKUP($C$2,bs!$D$1:$AC$68,ROW(bs!D20),FALSE),0)/IF(LEN($J$1)&gt;4,10000,1)</f>
        <v>0</v>
      </c>
      <c r="D22" s="15" t="e">
        <f t="shared" si="0"/>
        <v>#DIV/0!</v>
      </c>
      <c r="E22" s="14">
        <f>ROUND(HLOOKUP($E$2,bs!$D$1:$AC$68,ROW(bs!F20),FALSE),0)/IF(LEN($J$1)&gt;4,10000,1)</f>
        <v>0</v>
      </c>
      <c r="F22" s="15" t="e">
        <f t="shared" si="1"/>
        <v>#DIV/0!</v>
      </c>
      <c r="G22" s="16">
        <f>ROUND(HLOOKUP($G$2,bs!$D$1:$AC$68,ROW(bs!H20),FALSE),0)/IF(LEN($J$1)&gt;4,10000,1)</f>
        <v>0</v>
      </c>
      <c r="H22" s="15" t="e">
        <f t="shared" si="2"/>
        <v>#DIV/0!</v>
      </c>
      <c r="I22" s="16">
        <f>ROUND(HLOOKUP($I$2,bs!$D$1:$AC$68,ROW(bs!J20),FALSE),0)/IF(LEN($J$1)&gt;4,10000,1)</f>
        <v>0</v>
      </c>
      <c r="J22" s="15" t="e">
        <f t="shared" si="3"/>
        <v>#DIV/0!</v>
      </c>
    </row>
    <row r="23" spans="2:10">
      <c r="B23" s="13" t="s">
        <v>42</v>
      </c>
      <c r="C23" s="14">
        <f>ROUND(HLOOKUP($C$2,bs!$D$1:$AC$68,ROW(bs!D21),FALSE),0)/IF(LEN($J$1)&gt;4,10000,1)</f>
        <v>0</v>
      </c>
      <c r="D23" s="15" t="e">
        <f t="shared" si="0"/>
        <v>#DIV/0!</v>
      </c>
      <c r="E23" s="14">
        <f>ROUND(HLOOKUP($E$2,bs!$D$1:$AC$68,ROW(bs!F21),FALSE),0)/IF(LEN($J$1)&gt;4,10000,1)</f>
        <v>0</v>
      </c>
      <c r="F23" s="15" t="e">
        <f t="shared" si="1"/>
        <v>#DIV/0!</v>
      </c>
      <c r="G23" s="16">
        <f>ROUND(HLOOKUP($G$2,bs!$D$1:$AC$68,ROW(bs!H21),FALSE),0)/IF(LEN($J$1)&gt;4,10000,1)</f>
        <v>0</v>
      </c>
      <c r="H23" s="15" t="e">
        <f t="shared" si="2"/>
        <v>#DIV/0!</v>
      </c>
      <c r="I23" s="16">
        <f>ROUND(HLOOKUP($I$2,bs!$D$1:$AC$68,ROW(bs!J21),FALSE),0)/IF(LEN($J$1)&gt;4,10000,1)</f>
        <v>0</v>
      </c>
      <c r="J23" s="15" t="e">
        <f t="shared" si="3"/>
        <v>#DIV/0!</v>
      </c>
    </row>
    <row r="24" spans="2:10">
      <c r="B24" s="13" t="s">
        <v>44</v>
      </c>
      <c r="C24" s="14">
        <f>ROUND(HLOOKUP($C$2,bs!$D$1:$AC$68,ROW(bs!D22),FALSE),0)/IF(LEN($J$1)&gt;4,10000,1)</f>
        <v>0</v>
      </c>
      <c r="D24" s="15" t="e">
        <f t="shared" si="0"/>
        <v>#DIV/0!</v>
      </c>
      <c r="E24" s="14">
        <f>ROUND(HLOOKUP($E$2,bs!$D$1:$AC$68,ROW(bs!F22),FALSE),0)/IF(LEN($J$1)&gt;4,10000,1)</f>
        <v>0</v>
      </c>
      <c r="F24" s="15" t="e">
        <f t="shared" si="1"/>
        <v>#DIV/0!</v>
      </c>
      <c r="G24" s="16">
        <f>ROUND(HLOOKUP($G$2,bs!$D$1:$AC$68,ROW(bs!H22),FALSE),0)/IF(LEN($J$1)&gt;4,10000,1)</f>
        <v>0</v>
      </c>
      <c r="H24" s="15" t="e">
        <f t="shared" si="2"/>
        <v>#DIV/0!</v>
      </c>
      <c r="I24" s="16">
        <f>ROUND(HLOOKUP($I$2,bs!$D$1:$AC$68,ROW(bs!J22),FALSE),0)/IF(LEN($J$1)&gt;4,10000,1)</f>
        <v>0</v>
      </c>
      <c r="J24" s="15" t="e">
        <f t="shared" si="3"/>
        <v>#DIV/0!</v>
      </c>
    </row>
    <row r="25" spans="2:10">
      <c r="B25" s="13" t="s">
        <v>46</v>
      </c>
      <c r="C25" s="14">
        <f>ROUND(HLOOKUP($C$2,bs!$D$1:$AC$68,ROW(bs!D23),FALSE),0)/IF(LEN($J$1)&gt;4,10000,1)</f>
        <v>0</v>
      </c>
      <c r="D25" s="15" t="e">
        <f t="shared" si="0"/>
        <v>#DIV/0!</v>
      </c>
      <c r="E25" s="14">
        <f>ROUND(HLOOKUP($E$2,bs!$D$1:$AC$68,ROW(bs!F23),FALSE),0)/IF(LEN($J$1)&gt;4,10000,1)</f>
        <v>0</v>
      </c>
      <c r="F25" s="15" t="e">
        <f t="shared" si="1"/>
        <v>#DIV/0!</v>
      </c>
      <c r="G25" s="16">
        <f>ROUND(HLOOKUP($G$2,bs!$D$1:$AC$68,ROW(bs!H23),FALSE),0)/IF(LEN($J$1)&gt;4,10000,1)</f>
        <v>0</v>
      </c>
      <c r="H25" s="15" t="e">
        <f t="shared" si="2"/>
        <v>#DIV/0!</v>
      </c>
      <c r="I25" s="16">
        <f>ROUND(HLOOKUP($I$2,bs!$D$1:$AC$68,ROW(bs!J23),FALSE),0)/IF(LEN($J$1)&gt;4,10000,1)</f>
        <v>0</v>
      </c>
      <c r="J25" s="15" t="e">
        <f t="shared" si="3"/>
        <v>#DIV/0!</v>
      </c>
    </row>
    <row r="26" spans="2:10">
      <c r="B26" s="13" t="s">
        <v>48</v>
      </c>
      <c r="C26" s="14">
        <f>ROUND(HLOOKUP($C$2,bs!$D$1:$AC$68,ROW(bs!D24),FALSE),0)/IF(LEN($J$1)&gt;4,10000,1)</f>
        <v>0</v>
      </c>
      <c r="D26" s="15" t="e">
        <f t="shared" si="0"/>
        <v>#DIV/0!</v>
      </c>
      <c r="E26" s="14">
        <f>ROUND(HLOOKUP($E$2,bs!$D$1:$AC$68,ROW(bs!F24),FALSE),0)/IF(LEN($J$1)&gt;4,10000,1)</f>
        <v>0</v>
      </c>
      <c r="F26" s="15" t="e">
        <f t="shared" si="1"/>
        <v>#DIV/0!</v>
      </c>
      <c r="G26" s="16">
        <f>ROUND(HLOOKUP($G$2,bs!$D$1:$AC$68,ROW(bs!H24),FALSE),0)/IF(LEN($J$1)&gt;4,10000,1)</f>
        <v>0</v>
      </c>
      <c r="H26" s="15" t="e">
        <f t="shared" si="2"/>
        <v>#DIV/0!</v>
      </c>
      <c r="I26" s="16">
        <f>ROUND(HLOOKUP($I$2,bs!$D$1:$AC$68,ROW(bs!J24),FALSE),0)/IF(LEN($J$1)&gt;4,10000,1)</f>
        <v>0</v>
      </c>
      <c r="J26" s="15" t="e">
        <f t="shared" si="3"/>
        <v>#DIV/0!</v>
      </c>
    </row>
    <row r="27" spans="2:10">
      <c r="B27" s="13" t="s">
        <v>50</v>
      </c>
      <c r="C27" s="14">
        <f>ROUND(HLOOKUP($C$2,bs!$D$1:$AC$68,ROW(bs!D25),FALSE),0)/IF(LEN($J$1)&gt;4,10000,1)</f>
        <v>0</v>
      </c>
      <c r="D27" s="15" t="e">
        <f t="shared" si="0"/>
        <v>#DIV/0!</v>
      </c>
      <c r="E27" s="14">
        <f>ROUND(HLOOKUP($E$2,bs!$D$1:$AC$68,ROW(bs!F25),FALSE),0)/IF(LEN($J$1)&gt;4,10000,1)</f>
        <v>0</v>
      </c>
      <c r="F27" s="15" t="e">
        <f t="shared" si="1"/>
        <v>#DIV/0!</v>
      </c>
      <c r="G27" s="16">
        <f>ROUND(HLOOKUP($G$2,bs!$D$1:$AC$68,ROW(bs!H25),FALSE),0)/IF(LEN($J$1)&gt;4,10000,1)</f>
        <v>0</v>
      </c>
      <c r="H27" s="15" t="e">
        <f t="shared" si="2"/>
        <v>#DIV/0!</v>
      </c>
      <c r="I27" s="16">
        <f>ROUND(HLOOKUP($I$2,bs!$D$1:$AC$68,ROW(bs!J25),FALSE),0)/IF(LEN($J$1)&gt;4,10000,1)</f>
        <v>0</v>
      </c>
      <c r="J27" s="15" t="e">
        <f t="shared" si="3"/>
        <v>#DIV/0!</v>
      </c>
    </row>
    <row r="28" spans="2:10">
      <c r="B28" s="13" t="s">
        <v>52</v>
      </c>
      <c r="C28" s="14">
        <f>ROUND(HLOOKUP($C$2,bs!$D$1:$AC$68,ROW(bs!D26),FALSE),0)/IF(LEN($J$1)&gt;4,10000,1)</f>
        <v>0</v>
      </c>
      <c r="D28" s="15" t="e">
        <f t="shared" si="0"/>
        <v>#DIV/0!</v>
      </c>
      <c r="E28" s="14">
        <f>ROUND(HLOOKUP($E$2,bs!$D$1:$AC$68,ROW(bs!F26),FALSE),0)/IF(LEN($J$1)&gt;4,10000,1)</f>
        <v>0</v>
      </c>
      <c r="F28" s="15" t="e">
        <f t="shared" si="1"/>
        <v>#DIV/0!</v>
      </c>
      <c r="G28" s="16">
        <f>ROUND(HLOOKUP($G$2,bs!$D$1:$AC$68,ROW(bs!H26),FALSE),0)/IF(LEN($J$1)&gt;4,10000,1)</f>
        <v>0</v>
      </c>
      <c r="H28" s="15" t="e">
        <f t="shared" si="2"/>
        <v>#DIV/0!</v>
      </c>
      <c r="I28" s="16">
        <f>ROUND(HLOOKUP($I$2,bs!$D$1:$AC$68,ROW(bs!J26),FALSE),0)/IF(LEN($J$1)&gt;4,10000,1)</f>
        <v>0</v>
      </c>
      <c r="J28" s="15" t="e">
        <f t="shared" si="3"/>
        <v>#DIV/0!</v>
      </c>
    </row>
    <row r="29" spans="2:10">
      <c r="B29" s="13" t="s">
        <v>54</v>
      </c>
      <c r="C29" s="14">
        <f>ROUND(HLOOKUP($C$2,bs!$D$1:$AC$68,ROW(bs!D27),FALSE),0)/IF(LEN($J$1)&gt;4,10000,1)</f>
        <v>0</v>
      </c>
      <c r="D29" s="15" t="e">
        <f t="shared" si="0"/>
        <v>#DIV/0!</v>
      </c>
      <c r="E29" s="14">
        <f>ROUND(HLOOKUP($E$2,bs!$D$1:$AC$68,ROW(bs!F27),FALSE),0)/IF(LEN($J$1)&gt;4,10000,1)</f>
        <v>0</v>
      </c>
      <c r="F29" s="15" t="e">
        <f t="shared" si="1"/>
        <v>#DIV/0!</v>
      </c>
      <c r="G29" s="16">
        <f>ROUND(HLOOKUP($G$2,bs!$D$1:$AC$68,ROW(bs!H27),FALSE),0)/IF(LEN($J$1)&gt;4,10000,1)</f>
        <v>0</v>
      </c>
      <c r="H29" s="15" t="e">
        <f t="shared" si="2"/>
        <v>#DIV/0!</v>
      </c>
      <c r="I29" s="16">
        <f>ROUND(HLOOKUP($I$2,bs!$D$1:$AC$68,ROW(bs!J27),FALSE),0)/IF(LEN($J$1)&gt;4,10000,1)</f>
        <v>0</v>
      </c>
      <c r="J29" s="15" t="e">
        <f t="shared" si="3"/>
        <v>#DIV/0!</v>
      </c>
    </row>
    <row r="30" spans="2:10">
      <c r="B30" s="13" t="s">
        <v>56</v>
      </c>
      <c r="C30" s="14">
        <f>ROUND(HLOOKUP($C$2,bs!$D$1:$AC$68,ROW(bs!D28),FALSE),0)/IF(LEN($J$1)&gt;4,10000,1)</f>
        <v>0</v>
      </c>
      <c r="D30" s="15" t="e">
        <f t="shared" si="0"/>
        <v>#DIV/0!</v>
      </c>
      <c r="E30" s="14">
        <f>ROUND(HLOOKUP($E$2,bs!$D$1:$AC$68,ROW(bs!F28),FALSE),0)/IF(LEN($J$1)&gt;4,10000,1)</f>
        <v>0</v>
      </c>
      <c r="F30" s="15" t="e">
        <f t="shared" si="1"/>
        <v>#DIV/0!</v>
      </c>
      <c r="G30" s="16">
        <f>ROUND(HLOOKUP($G$2,bs!$D$1:$AC$68,ROW(bs!H28),FALSE),0)/IF(LEN($J$1)&gt;4,10000,1)</f>
        <v>0</v>
      </c>
      <c r="H30" s="15" t="e">
        <f t="shared" si="2"/>
        <v>#DIV/0!</v>
      </c>
      <c r="I30" s="16">
        <f>ROUND(HLOOKUP($I$2,bs!$D$1:$AC$68,ROW(bs!J28),FALSE),0)/IF(LEN($J$1)&gt;4,10000,1)</f>
        <v>0</v>
      </c>
      <c r="J30" s="15" t="e">
        <f t="shared" si="3"/>
        <v>#DIV/0!</v>
      </c>
    </row>
    <row r="31" spans="2:10">
      <c r="B31" s="13" t="s">
        <v>58</v>
      </c>
      <c r="C31" s="14">
        <f>ROUND(HLOOKUP($C$2,bs!$D$1:$AC$68,ROW(bs!D29),FALSE),0)/IF(LEN($J$1)&gt;4,10000,1)</f>
        <v>0</v>
      </c>
      <c r="D31" s="15" t="e">
        <f t="shared" si="0"/>
        <v>#DIV/0!</v>
      </c>
      <c r="E31" s="14">
        <f>ROUND(HLOOKUP($E$2,bs!$D$1:$AC$68,ROW(bs!F29),FALSE),0)/IF(LEN($J$1)&gt;4,10000,1)</f>
        <v>0</v>
      </c>
      <c r="F31" s="15" t="e">
        <f t="shared" si="1"/>
        <v>#DIV/0!</v>
      </c>
      <c r="G31" s="16">
        <f>ROUND(HLOOKUP($G$2,bs!$D$1:$AC$68,ROW(bs!H29),FALSE),0)/IF(LEN($J$1)&gt;4,10000,1)</f>
        <v>0</v>
      </c>
      <c r="H31" s="15" t="e">
        <f t="shared" si="2"/>
        <v>#DIV/0!</v>
      </c>
      <c r="I31" s="16">
        <f>ROUND(HLOOKUP($I$2,bs!$D$1:$AC$68,ROW(bs!J29),FALSE),0)/IF(LEN($J$1)&gt;4,10000,1)</f>
        <v>0</v>
      </c>
      <c r="J31" s="15" t="e">
        <f t="shared" si="3"/>
        <v>#DIV/0!</v>
      </c>
    </row>
    <row r="32" spans="2:10">
      <c r="B32" s="13" t="s">
        <v>60</v>
      </c>
      <c r="C32" s="14">
        <f>ROUND(HLOOKUP($C$2,bs!$D$1:$AC$68,ROW(bs!D30),FALSE),0)/IF(LEN($J$1)&gt;4,10000,1)</f>
        <v>0</v>
      </c>
      <c r="D32" s="15" t="e">
        <f t="shared" si="0"/>
        <v>#DIV/0!</v>
      </c>
      <c r="E32" s="14">
        <f>ROUND(HLOOKUP($E$2,bs!$D$1:$AC$68,ROW(bs!F30),FALSE),0)/IF(LEN($J$1)&gt;4,10000,1)</f>
        <v>0</v>
      </c>
      <c r="F32" s="15" t="e">
        <f t="shared" si="1"/>
        <v>#DIV/0!</v>
      </c>
      <c r="G32" s="16">
        <f>ROUND(HLOOKUP($G$2,bs!$D$1:$AC$68,ROW(bs!H30),FALSE),0)/IF(LEN($J$1)&gt;4,10000,1)</f>
        <v>0</v>
      </c>
      <c r="H32" s="15" t="e">
        <f t="shared" si="2"/>
        <v>#DIV/0!</v>
      </c>
      <c r="I32" s="16">
        <f>ROUND(HLOOKUP($I$2,bs!$D$1:$AC$68,ROW(bs!J30),FALSE),0)/IF(LEN($J$1)&gt;4,10000,1)</f>
        <v>0</v>
      </c>
      <c r="J32" s="15" t="e">
        <f t="shared" si="3"/>
        <v>#DIV/0!</v>
      </c>
    </row>
    <row r="33" spans="2:10">
      <c r="B33" s="13" t="s">
        <v>62</v>
      </c>
      <c r="C33" s="14">
        <f>ROUND(HLOOKUP($C$2,bs!$D$1:$AC$68,ROW(bs!D31),FALSE),0)/IF(LEN($J$1)&gt;4,10000,1)</f>
        <v>0</v>
      </c>
      <c r="D33" s="15" t="e">
        <f t="shared" si="0"/>
        <v>#DIV/0!</v>
      </c>
      <c r="E33" s="14">
        <f>ROUND(HLOOKUP($E$2,bs!$D$1:$AC$68,ROW(bs!F31),FALSE),0)/IF(LEN($J$1)&gt;4,10000,1)</f>
        <v>0</v>
      </c>
      <c r="F33" s="15" t="e">
        <f t="shared" si="1"/>
        <v>#DIV/0!</v>
      </c>
      <c r="G33" s="16">
        <f>ROUND(HLOOKUP($G$2,bs!$D$1:$AC$68,ROW(bs!H31),FALSE),0)/IF(LEN($J$1)&gt;4,10000,1)</f>
        <v>0</v>
      </c>
      <c r="H33" s="15" t="e">
        <f t="shared" si="2"/>
        <v>#DIV/0!</v>
      </c>
      <c r="I33" s="16">
        <f>ROUND(HLOOKUP($I$2,bs!$D$1:$AC$68,ROW(bs!J31),FALSE),0)/IF(LEN($J$1)&gt;4,10000,1)</f>
        <v>0</v>
      </c>
      <c r="J33" s="15" t="e">
        <f t="shared" si="3"/>
        <v>#DIV/0!</v>
      </c>
    </row>
    <row r="34" spans="2:10">
      <c r="B34" s="13" t="s">
        <v>64</v>
      </c>
      <c r="C34" s="14">
        <f>ROUND(HLOOKUP($C$2,bs!$D$1:$AC$68,ROW(bs!D32),FALSE),0)/IF(LEN($J$1)&gt;4,10000,1)</f>
        <v>0</v>
      </c>
      <c r="D34" s="15" t="e">
        <f t="shared" si="0"/>
        <v>#DIV/0!</v>
      </c>
      <c r="E34" s="14">
        <f>ROUND(HLOOKUP($E$2,bs!$D$1:$AC$68,ROW(bs!F32),FALSE),0)/IF(LEN($J$1)&gt;4,10000,1)</f>
        <v>0</v>
      </c>
      <c r="F34" s="15" t="e">
        <f t="shared" si="1"/>
        <v>#DIV/0!</v>
      </c>
      <c r="G34" s="16">
        <f>ROUND(HLOOKUP($G$2,bs!$D$1:$AC$68,ROW(bs!H32),FALSE),0)/IF(LEN($J$1)&gt;4,10000,1)</f>
        <v>0</v>
      </c>
      <c r="H34" s="15" t="e">
        <f t="shared" si="2"/>
        <v>#DIV/0!</v>
      </c>
      <c r="I34" s="16">
        <f>ROUND(HLOOKUP($I$2,bs!$D$1:$AC$68,ROW(bs!J32),FALSE),0)/IF(LEN($J$1)&gt;4,10000,1)</f>
        <v>0</v>
      </c>
      <c r="J34" s="15" t="e">
        <f t="shared" si="3"/>
        <v>#DIV/0!</v>
      </c>
    </row>
    <row r="35" spans="2:10">
      <c r="B35" s="13" t="s">
        <v>66</v>
      </c>
      <c r="C35" s="14">
        <f>ROUND(HLOOKUP($C$2,bs!$D$1:$AC$68,ROW(bs!D33),FALSE),0)/IF(LEN($J$1)&gt;4,10000,1)</f>
        <v>0</v>
      </c>
      <c r="D35" s="15" t="e">
        <f t="shared" si="0"/>
        <v>#DIV/0!</v>
      </c>
      <c r="E35" s="14">
        <f>ROUND(HLOOKUP($E$2,bs!$D$1:$AC$68,ROW(bs!F33),FALSE),0)/IF(LEN($J$1)&gt;4,10000,1)</f>
        <v>0</v>
      </c>
      <c r="F35" s="15" t="e">
        <f t="shared" si="1"/>
        <v>#DIV/0!</v>
      </c>
      <c r="G35" s="16">
        <f>ROUND(HLOOKUP($G$2,bs!$D$1:$AC$68,ROW(bs!H33),FALSE),0)/IF(LEN($J$1)&gt;4,10000,1)</f>
        <v>0</v>
      </c>
      <c r="H35" s="15" t="e">
        <f t="shared" si="2"/>
        <v>#DIV/0!</v>
      </c>
      <c r="I35" s="16">
        <f>ROUND(HLOOKUP($I$2,bs!$D$1:$AC$68,ROW(bs!J33),FALSE),0)/IF(LEN($J$1)&gt;4,10000,1)</f>
        <v>0</v>
      </c>
      <c r="J35" s="15" t="e">
        <f t="shared" si="3"/>
        <v>#DIV/0!</v>
      </c>
    </row>
    <row r="36" spans="2:10">
      <c r="B36" s="17" t="s">
        <v>68</v>
      </c>
      <c r="C36" s="18">
        <f>ROUND(HLOOKUP($C$2,bs!$D$1:$AC$68,ROW(bs!D34),FALSE),0)/IF(LEN($J$1)&gt;4,10000,1)</f>
        <v>0</v>
      </c>
      <c r="D36" s="19" t="e">
        <f t="shared" si="0"/>
        <v>#DIV/0!</v>
      </c>
      <c r="E36" s="18">
        <f>ROUND(HLOOKUP($E$2,bs!$D$1:$AC$68,ROW(bs!F34),FALSE),0)/IF(LEN($J$1)&gt;4,10000,1)</f>
        <v>0</v>
      </c>
      <c r="F36" s="19" t="e">
        <f t="shared" si="1"/>
        <v>#DIV/0!</v>
      </c>
      <c r="G36" s="20">
        <f>ROUND(HLOOKUP($G$2,bs!$D$1:$AC$68,ROW(bs!H34),FALSE),0)/IF(LEN($J$1)&gt;4,10000,1)</f>
        <v>0</v>
      </c>
      <c r="H36" s="19" t="e">
        <f t="shared" si="2"/>
        <v>#DIV/0!</v>
      </c>
      <c r="I36" s="20">
        <f>ROUND(HLOOKUP($I$2,bs!$D$1:$AC$68,ROW(bs!J34),FALSE),0)/IF(LEN($J$1)&gt;4,10000,1)</f>
        <v>0</v>
      </c>
      <c r="J36" s="19" t="e">
        <f t="shared" si="3"/>
        <v>#DIV/0!</v>
      </c>
    </row>
    <row r="37" spans="2:10">
      <c r="B37" s="17" t="s">
        <v>70</v>
      </c>
      <c r="C37" s="18">
        <f>ROUND(HLOOKUP($C$2,bs!$D$1:$AC$68,ROW(bs!D35),FALSE),0)/IF(LEN($J$1)&gt;4,10000,1)</f>
        <v>0</v>
      </c>
      <c r="D37" s="19" t="e">
        <f t="shared" si="0"/>
        <v>#DIV/0!</v>
      </c>
      <c r="E37" s="18">
        <f>ROUND(HLOOKUP($E$2,bs!$D$1:$AC$68,ROW(bs!F35),FALSE),0)/IF(LEN($J$1)&gt;4,10000,1)</f>
        <v>0</v>
      </c>
      <c r="F37" s="19" t="e">
        <f t="shared" si="1"/>
        <v>#DIV/0!</v>
      </c>
      <c r="G37" s="20">
        <f>ROUND(HLOOKUP($G$2,bs!$D$1:$AC$68,ROW(bs!H35),FALSE),0)/IF(LEN($J$1)&gt;4,10000,1)</f>
        <v>0</v>
      </c>
      <c r="H37" s="19" t="e">
        <f t="shared" si="2"/>
        <v>#DIV/0!</v>
      </c>
      <c r="I37" s="20">
        <f>ROUND(HLOOKUP($I$2,bs!$D$1:$AC$68,ROW(bs!J35),FALSE),0)/IF(LEN($J$1)&gt;4,10000,1)</f>
        <v>0</v>
      </c>
      <c r="J37" s="19" t="e">
        <f t="shared" si="3"/>
        <v>#DIV/0!</v>
      </c>
    </row>
    <row r="38" spans="2:10">
      <c r="B38" s="21"/>
      <c r="C38" s="22"/>
      <c r="D38" s="23"/>
      <c r="E38" s="22"/>
      <c r="F38" s="23"/>
      <c r="G38" s="24"/>
      <c r="H38" s="23"/>
      <c r="I38" s="24"/>
      <c r="J38" s="23"/>
    </row>
    <row r="39" spans="2:10">
      <c r="B39" s="17" t="s">
        <v>296</v>
      </c>
      <c r="C39" s="25">
        <f>'财务分析-万位'!B1</f>
        <v>43100</v>
      </c>
      <c r="D39" s="26"/>
      <c r="E39" s="25">
        <f>'财务分析-万位'!C1</f>
        <v>43465</v>
      </c>
      <c r="F39" s="26"/>
      <c r="G39" s="25">
        <f>'财务分析-万位'!D1</f>
        <v>43830</v>
      </c>
      <c r="H39" s="27"/>
      <c r="I39" s="25">
        <f>'财务分析-万位'!E1</f>
        <v>44500</v>
      </c>
      <c r="J39" s="27"/>
    </row>
    <row r="40" spans="2:10">
      <c r="B40" s="17"/>
      <c r="C40" s="12" t="s">
        <v>350</v>
      </c>
      <c r="D40" s="12" t="s">
        <v>358</v>
      </c>
      <c r="E40" s="12" t="s">
        <v>350</v>
      </c>
      <c r="F40" s="12" t="s">
        <v>358</v>
      </c>
      <c r="G40" s="12" t="s">
        <v>350</v>
      </c>
      <c r="H40" s="12" t="s">
        <v>358</v>
      </c>
      <c r="I40" s="12" t="s">
        <v>350</v>
      </c>
      <c r="J40" s="12" t="s">
        <v>358</v>
      </c>
    </row>
    <row r="41" spans="2:10">
      <c r="B41" s="13" t="s">
        <v>72</v>
      </c>
      <c r="C41" s="14">
        <f>ROUND(HLOOKUP($C$2,bs!$D$1:$AC$68,ROW(bs!D36),FALSE),0)/IF(LEN($J$1)&gt;4,10000,1)</f>
        <v>0</v>
      </c>
      <c r="D41" s="15" t="e">
        <f>C41/$C$62</f>
        <v>#DIV/0!</v>
      </c>
      <c r="E41" s="14">
        <f>ROUND(HLOOKUP($E$2,bs!$D$1:$AC$68,ROW(bs!D36),FALSE),0)/IF(LEN($J$1)&gt;4,10000,1)</f>
        <v>0</v>
      </c>
      <c r="F41" s="15" t="e">
        <f>E41/$E$62</f>
        <v>#DIV/0!</v>
      </c>
      <c r="G41" s="16">
        <f>ROUND(HLOOKUP($G$2,bs!$D$1:$AC$68,ROW(bs!H36),FALSE),0)/IF(LEN($J$1)&gt;4,10000,1)</f>
        <v>0</v>
      </c>
      <c r="H41" s="15" t="e">
        <f>G41/$G$62</f>
        <v>#DIV/0!</v>
      </c>
      <c r="I41" s="16">
        <f>ROUND(HLOOKUP($I$2,bs!$D$1:$AC$68,ROW(bs!J36),FALSE),0)/IF(LEN($J$1)&gt;4,10000,1)</f>
        <v>0</v>
      </c>
      <c r="J41" s="15" t="e">
        <f>I41/$I$62</f>
        <v>#DIV/0!</v>
      </c>
    </row>
    <row r="42" spans="2:10">
      <c r="B42" s="13" t="s">
        <v>74</v>
      </c>
      <c r="C42" s="14">
        <f>ROUND(HLOOKUP($C$2,bs!$D$1:$AC$68,ROW(bs!D37),FALSE),0)/IF(LEN($J$1)&gt;4,10000,1)</f>
        <v>0</v>
      </c>
      <c r="D42" s="15" t="e">
        <f t="shared" ref="D42:D62" si="4">C42/$C$62</f>
        <v>#DIV/0!</v>
      </c>
      <c r="E42" s="14">
        <f>ROUND(HLOOKUP($E$2,bs!$D$1:$AC$68,ROW(bs!D37),FALSE),0)/IF(LEN($J$1)&gt;4,10000,1)</f>
        <v>0</v>
      </c>
      <c r="F42" s="15" t="e">
        <f t="shared" ref="F42:F62" si="5">E42/$E$62</f>
        <v>#DIV/0!</v>
      </c>
      <c r="G42" s="16">
        <f>ROUND(HLOOKUP($G$2,bs!$D$1:$AC$68,ROW(bs!H37),FALSE),0)/IF(LEN($J$1)&gt;4,10000,1)</f>
        <v>0</v>
      </c>
      <c r="H42" s="15" t="e">
        <f t="shared" ref="H42:H62" si="6">G42/$G$62</f>
        <v>#DIV/0!</v>
      </c>
      <c r="I42" s="16">
        <f>ROUND(HLOOKUP($I$2,bs!$D$1:$AC$68,ROW(bs!J37),FALSE),0)/IF(LEN($J$1)&gt;4,10000,1)</f>
        <v>0</v>
      </c>
      <c r="J42" s="15" t="e">
        <f t="shared" ref="J42:J62" si="7">I42/$I$62</f>
        <v>#DIV/0!</v>
      </c>
    </row>
    <row r="43" spans="2:10">
      <c r="B43" s="13" t="s">
        <v>76</v>
      </c>
      <c r="C43" s="14">
        <f>ROUND(HLOOKUP($C$2,bs!$D$1:$AC$68,ROW(bs!D38),FALSE),0)/IF(LEN($J$1)&gt;4,10000,1)</f>
        <v>0</v>
      </c>
      <c r="D43" s="15" t="e">
        <f t="shared" si="4"/>
        <v>#DIV/0!</v>
      </c>
      <c r="E43" s="14">
        <f>ROUND(HLOOKUP($E$2,bs!$D$1:$AC$68,ROW(bs!D38),FALSE),0)/IF(LEN($J$1)&gt;4,10000,1)</f>
        <v>0</v>
      </c>
      <c r="F43" s="15" t="e">
        <f t="shared" si="5"/>
        <v>#DIV/0!</v>
      </c>
      <c r="G43" s="16">
        <f>ROUND(HLOOKUP($G$2,bs!$D$1:$AC$68,ROW(bs!H38),FALSE),0)/IF(LEN($J$1)&gt;4,10000,1)</f>
        <v>0</v>
      </c>
      <c r="H43" s="15" t="e">
        <f t="shared" si="6"/>
        <v>#DIV/0!</v>
      </c>
      <c r="I43" s="16">
        <f>ROUND(HLOOKUP($I$2,bs!$D$1:$AC$68,ROW(bs!J38),FALSE),0)/IF(LEN($J$1)&gt;4,10000,1)</f>
        <v>0</v>
      </c>
      <c r="J43" s="15" t="e">
        <f t="shared" si="7"/>
        <v>#DIV/0!</v>
      </c>
    </row>
    <row r="44" spans="2:10">
      <c r="B44" s="13" t="s">
        <v>78</v>
      </c>
      <c r="C44" s="14">
        <f>ROUND(HLOOKUP($C$2,bs!$D$1:$AC$68,ROW(bs!D39),FALSE),0)/IF(LEN($J$1)&gt;4,10000,1)</f>
        <v>0</v>
      </c>
      <c r="D44" s="15" t="e">
        <f t="shared" si="4"/>
        <v>#DIV/0!</v>
      </c>
      <c r="E44" s="14">
        <f>ROUND(HLOOKUP($E$2,bs!$D$1:$AC$68,ROW(bs!D39),FALSE),0)/IF(LEN($J$1)&gt;4,10000,1)</f>
        <v>0</v>
      </c>
      <c r="F44" s="15" t="e">
        <f t="shared" si="5"/>
        <v>#DIV/0!</v>
      </c>
      <c r="G44" s="16">
        <f>ROUND(HLOOKUP($G$2,bs!$D$1:$AC$68,ROW(bs!H39),FALSE),0)/IF(LEN($J$1)&gt;4,10000,1)</f>
        <v>0</v>
      </c>
      <c r="H44" s="15" t="e">
        <f t="shared" si="6"/>
        <v>#DIV/0!</v>
      </c>
      <c r="I44" s="16">
        <f>ROUND(HLOOKUP($I$2,bs!$D$1:$AC$68,ROW(bs!J39),FALSE),0)/IF(LEN($J$1)&gt;4,10000,1)</f>
        <v>0</v>
      </c>
      <c r="J44" s="15" t="e">
        <f t="shared" si="7"/>
        <v>#DIV/0!</v>
      </c>
    </row>
    <row r="45" spans="2:10">
      <c r="B45" s="13" t="s">
        <v>80</v>
      </c>
      <c r="C45" s="14">
        <f>ROUND(HLOOKUP($C$2,bs!$D$1:$AC$68,ROW(bs!D40),FALSE),0)/IF(LEN($J$1)&gt;4,10000,1)</f>
        <v>0</v>
      </c>
      <c r="D45" s="15" t="e">
        <f t="shared" si="4"/>
        <v>#DIV/0!</v>
      </c>
      <c r="E45" s="14">
        <f>ROUND(HLOOKUP($E$2,bs!$D$1:$AC$68,ROW(bs!D40),FALSE),0)/IF(LEN($J$1)&gt;4,10000,1)</f>
        <v>0</v>
      </c>
      <c r="F45" s="15" t="e">
        <f t="shared" si="5"/>
        <v>#DIV/0!</v>
      </c>
      <c r="G45" s="16">
        <f>ROUND(HLOOKUP($G$2,bs!$D$1:$AC$68,ROW(bs!H40),FALSE),0)/IF(LEN($J$1)&gt;4,10000,1)</f>
        <v>0</v>
      </c>
      <c r="H45" s="15" t="e">
        <f t="shared" si="6"/>
        <v>#DIV/0!</v>
      </c>
      <c r="I45" s="16">
        <f>ROUND(HLOOKUP($I$2,bs!$D$1:$AC$68,ROW(bs!J40),FALSE),0)/IF(LEN($J$1)&gt;4,10000,1)</f>
        <v>0</v>
      </c>
      <c r="J45" s="15" t="e">
        <f t="shared" si="7"/>
        <v>#DIV/0!</v>
      </c>
    </row>
    <row r="46" spans="2:10">
      <c r="B46" s="13" t="s">
        <v>82</v>
      </c>
      <c r="C46" s="14">
        <f>ROUND(HLOOKUP($C$2,bs!$D$1:$AC$68,ROW(bs!D41),FALSE),0)/IF(LEN($J$1)&gt;4,10000,1)</f>
        <v>0</v>
      </c>
      <c r="D46" s="15" t="e">
        <f t="shared" si="4"/>
        <v>#DIV/0!</v>
      </c>
      <c r="E46" s="14">
        <f>ROUND(HLOOKUP($E$2,bs!$D$1:$AC$68,ROW(bs!D41),FALSE),0)/IF(LEN($J$1)&gt;4,10000,1)</f>
        <v>0</v>
      </c>
      <c r="F46" s="15" t="e">
        <f t="shared" si="5"/>
        <v>#DIV/0!</v>
      </c>
      <c r="G46" s="16">
        <f>ROUND(HLOOKUP($G$2,bs!$D$1:$AC$68,ROW(bs!H41),FALSE),0)/IF(LEN($J$1)&gt;4,10000,1)</f>
        <v>0</v>
      </c>
      <c r="H46" s="15" t="e">
        <f t="shared" si="6"/>
        <v>#DIV/0!</v>
      </c>
      <c r="I46" s="16">
        <f>ROUND(HLOOKUP($I$2,bs!$D$1:$AC$68,ROW(bs!J41),FALSE),0)/IF(LEN($J$1)&gt;4,10000,1)</f>
        <v>0</v>
      </c>
      <c r="J46" s="15" t="e">
        <f t="shared" si="7"/>
        <v>#DIV/0!</v>
      </c>
    </row>
    <row r="47" spans="2:10">
      <c r="B47" s="13" t="s">
        <v>84</v>
      </c>
      <c r="C47" s="14">
        <f>ROUND(HLOOKUP($C$2,bs!$D$1:$AC$68,ROW(bs!D42),FALSE),0)/IF(LEN($J$1)&gt;4,10000,1)</f>
        <v>0</v>
      </c>
      <c r="D47" s="15" t="e">
        <f t="shared" si="4"/>
        <v>#DIV/0!</v>
      </c>
      <c r="E47" s="14">
        <f>ROUND(HLOOKUP($E$2,bs!$D$1:$AC$68,ROW(bs!D42),FALSE),0)/IF(LEN($J$1)&gt;4,10000,1)</f>
        <v>0</v>
      </c>
      <c r="F47" s="15" t="e">
        <f t="shared" si="5"/>
        <v>#DIV/0!</v>
      </c>
      <c r="G47" s="16">
        <f>ROUND(HLOOKUP($G$2,bs!$D$1:$AC$68,ROW(bs!H42),FALSE),0)/IF(LEN($J$1)&gt;4,10000,1)</f>
        <v>0</v>
      </c>
      <c r="H47" s="15" t="e">
        <f t="shared" si="6"/>
        <v>#DIV/0!</v>
      </c>
      <c r="I47" s="16">
        <f>ROUND(HLOOKUP($I$2,bs!$D$1:$AC$68,ROW(bs!J42),FALSE),0)/IF(LEN($J$1)&gt;4,10000,1)</f>
        <v>0</v>
      </c>
      <c r="J47" s="15" t="e">
        <f t="shared" si="7"/>
        <v>#DIV/0!</v>
      </c>
    </row>
    <row r="48" spans="2:10">
      <c r="B48" s="13" t="s">
        <v>86</v>
      </c>
      <c r="C48" s="14">
        <f>ROUND(HLOOKUP($C$2,bs!$D$1:$AC$68,ROW(bs!D43),FALSE),0)/IF(LEN($J$1)&gt;4,10000,1)</f>
        <v>0</v>
      </c>
      <c r="D48" s="15" t="e">
        <f t="shared" si="4"/>
        <v>#DIV/0!</v>
      </c>
      <c r="E48" s="14">
        <f>ROUND(HLOOKUP($E$2,bs!$D$1:$AC$68,ROW(bs!D43),FALSE),0)/IF(LEN($J$1)&gt;4,10000,1)</f>
        <v>0</v>
      </c>
      <c r="F48" s="15" t="e">
        <f t="shared" si="5"/>
        <v>#DIV/0!</v>
      </c>
      <c r="G48" s="16">
        <f>ROUND(HLOOKUP($G$2,bs!$D$1:$AC$68,ROW(bs!H43),FALSE),0)/IF(LEN($J$1)&gt;4,10000,1)</f>
        <v>0</v>
      </c>
      <c r="H48" s="15" t="e">
        <f t="shared" si="6"/>
        <v>#DIV/0!</v>
      </c>
      <c r="I48" s="16">
        <f>ROUND(HLOOKUP($I$2,bs!$D$1:$AC$68,ROW(bs!J43),FALSE),0)/IF(LEN($J$1)&gt;4,10000,1)</f>
        <v>0</v>
      </c>
      <c r="J48" s="15" t="e">
        <f t="shared" si="7"/>
        <v>#DIV/0!</v>
      </c>
    </row>
    <row r="49" spans="2:10">
      <c r="B49" s="13" t="s">
        <v>88</v>
      </c>
      <c r="C49" s="14">
        <f>ROUND(HLOOKUP($C$2,bs!$D$1:$AC$68,ROW(bs!D44),FALSE),0)/IF(LEN($J$1)&gt;4,10000,1)</f>
        <v>0</v>
      </c>
      <c r="D49" s="15" t="e">
        <f t="shared" si="4"/>
        <v>#DIV/0!</v>
      </c>
      <c r="E49" s="14">
        <f>ROUND(HLOOKUP($E$2,bs!$D$1:$AC$68,ROW(bs!D44),FALSE),0)/IF(LEN($J$1)&gt;4,10000,1)</f>
        <v>0</v>
      </c>
      <c r="F49" s="15" t="e">
        <f t="shared" si="5"/>
        <v>#DIV/0!</v>
      </c>
      <c r="G49" s="16">
        <f>ROUND(HLOOKUP($G$2,bs!$D$1:$AC$68,ROW(bs!H44),FALSE),0)/IF(LEN($J$1)&gt;4,10000,1)</f>
        <v>0</v>
      </c>
      <c r="H49" s="15" t="e">
        <f t="shared" si="6"/>
        <v>#DIV/0!</v>
      </c>
      <c r="I49" s="16">
        <f>ROUND(HLOOKUP($I$2,bs!$D$1:$AC$68,ROW(bs!J44),FALSE),0)/IF(LEN($J$1)&gt;4,10000,1)</f>
        <v>0</v>
      </c>
      <c r="J49" s="15" t="e">
        <f t="shared" si="7"/>
        <v>#DIV/0!</v>
      </c>
    </row>
    <row r="50" spans="2:10">
      <c r="B50" s="13" t="s">
        <v>90</v>
      </c>
      <c r="C50" s="14">
        <f>ROUND(HLOOKUP($C$2,bs!$D$1:$AC$68,ROW(bs!D45),FALSE),0)/IF(LEN($J$1)&gt;4,10000,1)</f>
        <v>0</v>
      </c>
      <c r="D50" s="15" t="e">
        <f t="shared" si="4"/>
        <v>#DIV/0!</v>
      </c>
      <c r="E50" s="14">
        <f>ROUND(HLOOKUP($E$2,bs!$D$1:$AC$68,ROW(bs!D45),FALSE),0)/IF(LEN($J$1)&gt;4,10000,1)</f>
        <v>0</v>
      </c>
      <c r="F50" s="15" t="e">
        <f t="shared" si="5"/>
        <v>#DIV/0!</v>
      </c>
      <c r="G50" s="16">
        <f>ROUND(HLOOKUP($G$2,bs!$D$1:$AC$68,ROW(bs!H45),FALSE),0)/IF(LEN($J$1)&gt;4,10000,1)</f>
        <v>0</v>
      </c>
      <c r="H50" s="15" t="e">
        <f t="shared" si="6"/>
        <v>#DIV/0!</v>
      </c>
      <c r="I50" s="16">
        <f>ROUND(HLOOKUP($I$2,bs!$D$1:$AC$68,ROW(bs!J45),FALSE),0)/IF(LEN($J$1)&gt;4,10000,1)</f>
        <v>0</v>
      </c>
      <c r="J50" s="15" t="e">
        <f t="shared" si="7"/>
        <v>#DIV/0!</v>
      </c>
    </row>
    <row r="51" spans="2:10">
      <c r="B51" s="13" t="s">
        <v>92</v>
      </c>
      <c r="C51" s="14">
        <f>ROUND(HLOOKUP($C$2,bs!$D$1:$AC$68,ROW(bs!D46),FALSE),0)/IF(LEN($J$1)&gt;4,10000,1)</f>
        <v>0</v>
      </c>
      <c r="D51" s="15" t="e">
        <f t="shared" si="4"/>
        <v>#DIV/0!</v>
      </c>
      <c r="E51" s="14">
        <f>ROUND(HLOOKUP($E$2,bs!$D$1:$AC$68,ROW(bs!D46),FALSE),0)/IF(LEN($J$1)&gt;4,10000,1)</f>
        <v>0</v>
      </c>
      <c r="F51" s="15" t="e">
        <f t="shared" si="5"/>
        <v>#DIV/0!</v>
      </c>
      <c r="G51" s="16">
        <f>ROUND(HLOOKUP($G$2,bs!$D$1:$AC$68,ROW(bs!H46),FALSE),0)/IF(LEN($J$1)&gt;4,10000,1)</f>
        <v>0</v>
      </c>
      <c r="H51" s="15" t="e">
        <f t="shared" si="6"/>
        <v>#DIV/0!</v>
      </c>
      <c r="I51" s="16">
        <f>ROUND(HLOOKUP($I$2,bs!$D$1:$AC$68,ROW(bs!J46),FALSE),0)/IF(LEN($J$1)&gt;4,10000,1)</f>
        <v>0</v>
      </c>
      <c r="J51" s="15" t="e">
        <f t="shared" si="7"/>
        <v>#DIV/0!</v>
      </c>
    </row>
    <row r="52" spans="2:10">
      <c r="B52" s="13" t="s">
        <v>94</v>
      </c>
      <c r="C52" s="14">
        <f>ROUND(HLOOKUP($C$2,bs!$D$1:$AC$68,ROW(bs!D47),FALSE),0)/IF(LEN($J$1)&gt;4,10000,1)</f>
        <v>0</v>
      </c>
      <c r="D52" s="15" t="e">
        <f t="shared" si="4"/>
        <v>#DIV/0!</v>
      </c>
      <c r="E52" s="14">
        <f>ROUND(HLOOKUP($E$2,bs!$D$1:$AC$68,ROW(bs!D47),FALSE),0)/IF(LEN($J$1)&gt;4,10000,1)</f>
        <v>0</v>
      </c>
      <c r="F52" s="15" t="e">
        <f t="shared" si="5"/>
        <v>#DIV/0!</v>
      </c>
      <c r="G52" s="16">
        <f>ROUND(HLOOKUP($G$2,bs!$D$1:$AC$68,ROW(bs!H47),FALSE),0)/IF(LEN($J$1)&gt;4,10000,1)</f>
        <v>0</v>
      </c>
      <c r="H52" s="15" t="e">
        <f t="shared" si="6"/>
        <v>#DIV/0!</v>
      </c>
      <c r="I52" s="16">
        <f>ROUND(HLOOKUP($I$2,bs!$D$1:$AC$68,ROW(bs!J47),FALSE),0)/IF(LEN($J$1)&gt;4,10000,1)</f>
        <v>0</v>
      </c>
      <c r="J52" s="15" t="e">
        <f t="shared" si="7"/>
        <v>#DIV/0!</v>
      </c>
    </row>
    <row r="53" spans="2:10">
      <c r="B53" s="17" t="s">
        <v>96</v>
      </c>
      <c r="C53" s="18">
        <f>ROUND(HLOOKUP($C$2,bs!$D$1:$AC$68,ROW(bs!D48),FALSE),0)/IF(LEN($J$1)&gt;4,10000,1)</f>
        <v>0</v>
      </c>
      <c r="D53" s="19" t="e">
        <f t="shared" si="4"/>
        <v>#DIV/0!</v>
      </c>
      <c r="E53" s="18">
        <f>ROUND(HLOOKUP($E$2,bs!$D$1:$AC$68,ROW(bs!D48),FALSE),0)/IF(LEN($J$1)&gt;4,10000,1)</f>
        <v>0</v>
      </c>
      <c r="F53" s="19" t="e">
        <f t="shared" si="5"/>
        <v>#DIV/0!</v>
      </c>
      <c r="G53" s="16">
        <f>ROUND(HLOOKUP($G$2,bs!$D$1:$AC$68,ROW(bs!H48),FALSE),0)/IF(LEN($J$1)&gt;4,10000,1)</f>
        <v>0</v>
      </c>
      <c r="H53" s="19" t="e">
        <f t="shared" si="6"/>
        <v>#DIV/0!</v>
      </c>
      <c r="I53" s="20">
        <f>ROUND(HLOOKUP($I$2,bs!$D$1:$AC$68,ROW(bs!J48),FALSE),0)/IF(LEN($J$1)&gt;4,10000,1)</f>
        <v>0</v>
      </c>
      <c r="J53" s="19" t="e">
        <f t="shared" si="7"/>
        <v>#DIV/0!</v>
      </c>
    </row>
    <row r="54" spans="2:10">
      <c r="B54" s="13" t="s">
        <v>98</v>
      </c>
      <c r="C54" s="14">
        <f>ROUND(HLOOKUP($C$2,bs!$D$1:$AC$68,ROW(bs!D49),FALSE),0)/IF(LEN($J$1)&gt;4,10000,1)</f>
        <v>0</v>
      </c>
      <c r="D54" s="15" t="e">
        <f t="shared" si="4"/>
        <v>#DIV/0!</v>
      </c>
      <c r="E54" s="14">
        <f>ROUND(HLOOKUP($E$2,bs!$D$1:$AC$68,ROW(bs!D49),FALSE),0)/IF(LEN($J$1)&gt;4,10000,1)</f>
        <v>0</v>
      </c>
      <c r="F54" s="15" t="e">
        <f t="shared" si="5"/>
        <v>#DIV/0!</v>
      </c>
      <c r="G54" s="16">
        <f>ROUND(HLOOKUP($G$2,bs!$D$1:$AC$68,ROW(bs!H49),FALSE),0)/IF(LEN($J$1)&gt;4,10000,1)</f>
        <v>0</v>
      </c>
      <c r="H54" s="15" t="e">
        <f t="shared" si="6"/>
        <v>#DIV/0!</v>
      </c>
      <c r="I54" s="16">
        <f>ROUND(HLOOKUP($I$2,bs!$D$1:$AC$68,ROW(bs!J49),FALSE),0)/IF(LEN($J$1)&gt;4,10000,1)</f>
        <v>0</v>
      </c>
      <c r="J54" s="15" t="e">
        <f t="shared" si="7"/>
        <v>#DIV/0!</v>
      </c>
    </row>
    <row r="55" spans="2:10">
      <c r="B55" s="13" t="s">
        <v>100</v>
      </c>
      <c r="C55" s="14">
        <f>ROUND(HLOOKUP($C$2,bs!$D$1:$AC$68,ROW(bs!D50),FALSE),0)/IF(LEN($J$1)&gt;4,10000,1)</f>
        <v>0</v>
      </c>
      <c r="D55" s="15" t="e">
        <f t="shared" si="4"/>
        <v>#DIV/0!</v>
      </c>
      <c r="E55" s="14">
        <f>ROUND(HLOOKUP($E$2,bs!$D$1:$AC$68,ROW(bs!D50),FALSE),0)/IF(LEN($J$1)&gt;4,10000,1)</f>
        <v>0</v>
      </c>
      <c r="F55" s="15" t="e">
        <f t="shared" si="5"/>
        <v>#DIV/0!</v>
      </c>
      <c r="G55" s="16">
        <f>ROUND(HLOOKUP($G$2,bs!$D$1:$AC$68,ROW(bs!H50),FALSE),0)/IF(LEN($J$1)&gt;4,10000,1)</f>
        <v>0</v>
      </c>
      <c r="H55" s="15" t="e">
        <f t="shared" si="6"/>
        <v>#DIV/0!</v>
      </c>
      <c r="I55" s="16">
        <f>ROUND(HLOOKUP($I$2,bs!$D$1:$AC$68,ROW(bs!J50),FALSE),0)/IF(LEN($J$1)&gt;4,10000,1)</f>
        <v>0</v>
      </c>
      <c r="J55" s="15" t="e">
        <f t="shared" si="7"/>
        <v>#DIV/0!</v>
      </c>
    </row>
    <row r="56" spans="2:10">
      <c r="B56" s="13" t="s">
        <v>102</v>
      </c>
      <c r="C56" s="14">
        <f>ROUND(HLOOKUP($C$2,bs!$D$1:$AC$68,ROW(bs!D51),FALSE),0)/IF(LEN($J$1)&gt;4,10000,1)</f>
        <v>0</v>
      </c>
      <c r="D56" s="15" t="e">
        <f t="shared" si="4"/>
        <v>#DIV/0!</v>
      </c>
      <c r="E56" s="14">
        <f>ROUND(HLOOKUP($E$2,bs!$D$1:$AC$68,ROW(bs!D51),FALSE),0)/IF(LEN($J$1)&gt;4,10000,1)</f>
        <v>0</v>
      </c>
      <c r="F56" s="15" t="e">
        <f t="shared" si="5"/>
        <v>#DIV/0!</v>
      </c>
      <c r="G56" s="16">
        <f>ROUND(HLOOKUP($G$2,bs!$D$1:$AC$68,ROW(bs!H51),FALSE),0)/IF(LEN($J$1)&gt;4,10000,1)</f>
        <v>0</v>
      </c>
      <c r="H56" s="15" t="e">
        <f t="shared" si="6"/>
        <v>#DIV/0!</v>
      </c>
      <c r="I56" s="16">
        <f>ROUND(HLOOKUP($I$2,bs!$D$1:$AC$68,ROW(bs!J51),FALSE),0)/IF(LEN($J$1)&gt;4,10000,1)</f>
        <v>0</v>
      </c>
      <c r="J56" s="15" t="e">
        <f t="shared" si="7"/>
        <v>#DIV/0!</v>
      </c>
    </row>
    <row r="57" spans="2:10">
      <c r="B57" s="13" t="s">
        <v>104</v>
      </c>
      <c r="C57" s="14">
        <f>ROUND(HLOOKUP($C$2,bs!$D$1:$AC$68,ROW(bs!D52),FALSE),0)/IF(LEN($J$1)&gt;4,10000,1)</f>
        <v>0</v>
      </c>
      <c r="D57" s="15" t="e">
        <f t="shared" si="4"/>
        <v>#DIV/0!</v>
      </c>
      <c r="E57" s="14">
        <f>ROUND(HLOOKUP($E$2,bs!$D$1:$AC$68,ROW(bs!D52),FALSE),0)/IF(LEN($J$1)&gt;4,10000,1)</f>
        <v>0</v>
      </c>
      <c r="F57" s="15" t="e">
        <f t="shared" si="5"/>
        <v>#DIV/0!</v>
      </c>
      <c r="G57" s="16">
        <f>ROUND(HLOOKUP($G$2,bs!$D$1:$AC$68,ROW(bs!H52),FALSE),0)/IF(LEN($J$1)&gt;4,10000,1)</f>
        <v>0</v>
      </c>
      <c r="H57" s="15" t="e">
        <f t="shared" si="6"/>
        <v>#DIV/0!</v>
      </c>
      <c r="I57" s="16">
        <f>ROUND(HLOOKUP($I$2,bs!$D$1:$AC$68,ROW(bs!J52),FALSE),0)/IF(LEN($J$1)&gt;4,10000,1)</f>
        <v>0</v>
      </c>
      <c r="J57" s="15" t="e">
        <f t="shared" si="7"/>
        <v>#DIV/0!</v>
      </c>
    </row>
    <row r="58" spans="2:10">
      <c r="B58" s="13" t="s">
        <v>106</v>
      </c>
      <c r="C58" s="14">
        <f>ROUND(HLOOKUP($C$2,bs!$D$1:$AC$68,ROW(bs!D53),FALSE),0)/IF(LEN($J$1)&gt;4,10000,1)</f>
        <v>0</v>
      </c>
      <c r="D58" s="15" t="e">
        <f t="shared" si="4"/>
        <v>#DIV/0!</v>
      </c>
      <c r="E58" s="14">
        <f>ROUND(HLOOKUP($E$2,bs!$D$1:$AC$68,ROW(bs!D53),FALSE),0)/IF(LEN($J$1)&gt;4,10000,1)</f>
        <v>0</v>
      </c>
      <c r="F58" s="15" t="e">
        <f t="shared" si="5"/>
        <v>#DIV/0!</v>
      </c>
      <c r="G58" s="16">
        <f>ROUND(HLOOKUP($G$2,bs!$D$1:$AC$68,ROW(bs!H53),FALSE),0)/IF(LEN($J$1)&gt;4,10000,1)</f>
        <v>0</v>
      </c>
      <c r="H58" s="15" t="e">
        <f t="shared" si="6"/>
        <v>#DIV/0!</v>
      </c>
      <c r="I58" s="16">
        <f>ROUND(HLOOKUP($I$2,bs!$D$1:$AC$68,ROW(bs!J53),FALSE),0)/IF(LEN($J$1)&gt;4,10000,1)</f>
        <v>0</v>
      </c>
      <c r="J58" s="15" t="e">
        <f t="shared" si="7"/>
        <v>#DIV/0!</v>
      </c>
    </row>
    <row r="59" spans="2:10">
      <c r="B59" s="13" t="s">
        <v>108</v>
      </c>
      <c r="C59" s="14">
        <f>ROUND(HLOOKUP($C$2,bs!$D$1:$AC$68,ROW(bs!D54),FALSE),0)/IF(LEN($J$1)&gt;4,10000,1)</f>
        <v>0</v>
      </c>
      <c r="D59" s="15" t="e">
        <f t="shared" si="4"/>
        <v>#DIV/0!</v>
      </c>
      <c r="E59" s="14">
        <f>ROUND(HLOOKUP($E$2,bs!$D$1:$AC$68,ROW(bs!D54),FALSE),0)/IF(LEN($J$1)&gt;4,10000,1)</f>
        <v>0</v>
      </c>
      <c r="F59" s="15" t="e">
        <f t="shared" si="5"/>
        <v>#DIV/0!</v>
      </c>
      <c r="G59" s="16">
        <f>ROUND(HLOOKUP($G$2,bs!$D$1:$AC$68,ROW(bs!H54),FALSE),0)/IF(LEN($J$1)&gt;4,10000,1)</f>
        <v>0</v>
      </c>
      <c r="H59" s="15" t="e">
        <f t="shared" si="6"/>
        <v>#DIV/0!</v>
      </c>
      <c r="I59" s="16">
        <f>ROUND(HLOOKUP($I$2,bs!$D$1:$AC$68,ROW(bs!J54),FALSE),0)/IF(LEN($J$1)&gt;4,10000,1)</f>
        <v>0</v>
      </c>
      <c r="J59" s="15" t="e">
        <f t="shared" si="7"/>
        <v>#DIV/0!</v>
      </c>
    </row>
    <row r="60" spans="2:10">
      <c r="B60" s="13" t="s">
        <v>110</v>
      </c>
      <c r="C60" s="14">
        <f>ROUND(HLOOKUP($C$2,bs!$D$1:$AC$68,ROW(bs!D55),FALSE),0)/IF(LEN($J$1)&gt;4,10000,1)</f>
        <v>0</v>
      </c>
      <c r="D60" s="15" t="e">
        <f t="shared" si="4"/>
        <v>#DIV/0!</v>
      </c>
      <c r="E60" s="14">
        <f>ROUND(HLOOKUP($E$2,bs!$D$1:$AC$68,ROW(bs!D55),FALSE),0)/IF(LEN($J$1)&gt;4,10000,1)</f>
        <v>0</v>
      </c>
      <c r="F60" s="15" t="e">
        <f t="shared" si="5"/>
        <v>#DIV/0!</v>
      </c>
      <c r="G60" s="16">
        <f>ROUND(HLOOKUP($G$2,bs!$D$1:$AC$68,ROW(bs!H55),FALSE),0)/IF(LEN($J$1)&gt;4,10000,1)</f>
        <v>0</v>
      </c>
      <c r="H60" s="15" t="e">
        <f t="shared" si="6"/>
        <v>#DIV/0!</v>
      </c>
      <c r="I60" s="16">
        <f>ROUND(HLOOKUP($I$2,bs!$D$1:$AC$68,ROW(bs!J55),FALSE),0)/IF(LEN($J$1)&gt;4,10000,1)</f>
        <v>0</v>
      </c>
      <c r="J60" s="15" t="e">
        <f t="shared" si="7"/>
        <v>#DIV/0!</v>
      </c>
    </row>
    <row r="61" spans="2:10">
      <c r="B61" s="17" t="s">
        <v>112</v>
      </c>
      <c r="C61" s="18">
        <f>ROUND(HLOOKUP($C$2,bs!$D$1:$AC$68,ROW(bs!D56),FALSE),0)/IF(LEN($J$1)&gt;4,10000,1)</f>
        <v>0</v>
      </c>
      <c r="D61" s="19" t="e">
        <f t="shared" si="4"/>
        <v>#DIV/0!</v>
      </c>
      <c r="E61" s="18">
        <f>ROUND(HLOOKUP($E$2,bs!$D$1:$AC$68,ROW(bs!D56),FALSE),0)/IF(LEN($J$1)&gt;4,10000,1)</f>
        <v>0</v>
      </c>
      <c r="F61" s="19" t="e">
        <f t="shared" si="5"/>
        <v>#DIV/0!</v>
      </c>
      <c r="G61" s="20">
        <f>ROUND(HLOOKUP($G$2,bs!$D$1:$AC$68,ROW(bs!H56),FALSE),0)/IF(LEN($J$1)&gt;4,10000,1)</f>
        <v>0</v>
      </c>
      <c r="H61" s="19" t="e">
        <f t="shared" si="6"/>
        <v>#DIV/0!</v>
      </c>
      <c r="I61" s="20">
        <f>ROUND(HLOOKUP($I$2,bs!$D$1:$AC$68,ROW(bs!J56),FALSE),0)/IF(LEN($J$1)&gt;4,10000,1)</f>
        <v>0</v>
      </c>
      <c r="J61" s="19" t="e">
        <f t="shared" si="7"/>
        <v>#DIV/0!</v>
      </c>
    </row>
    <row r="62" spans="2:10">
      <c r="B62" s="17" t="s">
        <v>114</v>
      </c>
      <c r="C62" s="18">
        <f>ROUND(HLOOKUP($C$2,bs!$D$1:$AC$68,ROW(bs!D57),FALSE),0)/IF(LEN($J$1)&gt;4,10000,1)</f>
        <v>0</v>
      </c>
      <c r="D62" s="19" t="e">
        <f t="shared" si="4"/>
        <v>#DIV/0!</v>
      </c>
      <c r="E62" s="18">
        <f>ROUND(HLOOKUP($E$2,bs!$D$1:$AC$68,ROW(bs!D57),FALSE),0)/IF(LEN($J$1)&gt;4,10000,1)</f>
        <v>0</v>
      </c>
      <c r="F62" s="19" t="e">
        <f t="shared" si="5"/>
        <v>#DIV/0!</v>
      </c>
      <c r="G62" s="20">
        <f>ROUND(HLOOKUP($G$2,bs!$D$1:$AC$68,ROW(bs!H57),FALSE),0)/IF(LEN($J$1)&gt;4,10000,1)</f>
        <v>0</v>
      </c>
      <c r="H62" s="19" t="e">
        <f t="shared" si="6"/>
        <v>#DIV/0!</v>
      </c>
      <c r="I62" s="20">
        <f>ROUND(HLOOKUP($I$2,bs!$D$1:$AC$68,ROW(bs!J57),FALSE),0)/IF(LEN($J$1)&gt;4,10000,1)</f>
        <v>0</v>
      </c>
      <c r="J62" s="19" t="e">
        <f t="shared" si="7"/>
        <v>#DIV/0!</v>
      </c>
    </row>
    <row r="63" spans="2:10">
      <c r="B63" s="21"/>
      <c r="C63" s="22"/>
      <c r="D63" s="23"/>
      <c r="E63" s="22"/>
      <c r="F63" s="23"/>
      <c r="G63" s="24"/>
      <c r="H63" s="23"/>
      <c r="I63" s="24"/>
      <c r="J63" s="23"/>
    </row>
    <row r="64" spans="2:10">
      <c r="B64" s="17" t="s">
        <v>296</v>
      </c>
      <c r="C64" s="25">
        <f>'财务分析-万位'!B1</f>
        <v>43100</v>
      </c>
      <c r="D64" s="26"/>
      <c r="E64" s="25">
        <f>'财务分析-万位'!C1</f>
        <v>43465</v>
      </c>
      <c r="F64" s="26"/>
      <c r="G64" s="25">
        <f>'财务分析-万位'!D1</f>
        <v>43830</v>
      </c>
      <c r="H64" s="27"/>
      <c r="I64" s="25">
        <f>'财务分析-万位'!E1</f>
        <v>44500</v>
      </c>
      <c r="J64" s="27"/>
    </row>
    <row r="65" spans="2:10">
      <c r="B65" s="17"/>
      <c r="C65" s="12" t="s">
        <v>350</v>
      </c>
      <c r="D65" s="12" t="s">
        <v>358</v>
      </c>
      <c r="E65" s="12" t="s">
        <v>350</v>
      </c>
      <c r="F65" s="12" t="s">
        <v>358</v>
      </c>
      <c r="G65" s="12" t="s">
        <v>350</v>
      </c>
      <c r="H65" s="12" t="s">
        <v>358</v>
      </c>
      <c r="I65" s="12" t="s">
        <v>350</v>
      </c>
      <c r="J65" s="12" t="s">
        <v>358</v>
      </c>
    </row>
    <row r="66" spans="2:10">
      <c r="B66" s="13" t="s">
        <v>116</v>
      </c>
      <c r="C66" s="14">
        <f>ROUND(HLOOKUP($C$2,bs!$D$1:$AC$68,ROW(bs!D58),FALSE),0)/IF(LEN($J$1)&gt;4,10000,1)</f>
        <v>0</v>
      </c>
      <c r="D66" s="15" t="e">
        <f>C66/$C$75</f>
        <v>#DIV/0!</v>
      </c>
      <c r="E66" s="14">
        <f>ROUND(HLOOKUP($E$2,bs!$D$1:$AC$68,ROW(bs!D58),FALSE),0)/IF(LEN($J$1)&gt;4,10000,1)</f>
        <v>0</v>
      </c>
      <c r="F66" s="15" t="e">
        <f>E66/$E$75</f>
        <v>#DIV/0!</v>
      </c>
      <c r="G66" s="16">
        <f>ROUND(HLOOKUP($G$2,bs!$D$1:$AC$68,ROW(bs!H58),FALSE),0)/IF(LEN($J$1)&gt;4,10000,1)</f>
        <v>0</v>
      </c>
      <c r="H66" s="15" t="e">
        <f>G66/$G$75</f>
        <v>#DIV/0!</v>
      </c>
      <c r="I66" s="16">
        <f>ROUND(HLOOKUP($I$2,bs!$D$1:$AC$68,ROW(bs!J58),FALSE),0)/IF(LEN($J$1)&gt;4,10000,1)</f>
        <v>0</v>
      </c>
      <c r="J66" s="15" t="e">
        <f>I66/$I$75</f>
        <v>#DIV/0!</v>
      </c>
    </row>
    <row r="67" spans="2:10">
      <c r="B67" s="13" t="s">
        <v>118</v>
      </c>
      <c r="C67" s="14">
        <f>ROUND(HLOOKUP($C$2,bs!$D$1:$AC$68,ROW(bs!D59),FALSE),0)/IF(LEN($J$1)&gt;4,10000,1)</f>
        <v>0</v>
      </c>
      <c r="D67" s="15" t="e">
        <f t="shared" ref="D67:D75" si="8">C67/$C$75</f>
        <v>#DIV/0!</v>
      </c>
      <c r="E67" s="14">
        <f>ROUND(HLOOKUP($E$2,bs!$D$1:$AC$68,ROW(bs!D59),FALSE),0)/IF(LEN($J$1)&gt;4,10000,1)</f>
        <v>0</v>
      </c>
      <c r="F67" s="15" t="e">
        <f t="shared" ref="F67:F75" si="9">E67/$E$75</f>
        <v>#DIV/0!</v>
      </c>
      <c r="G67" s="16">
        <f>ROUND(HLOOKUP($G$2,bs!$D$1:$AC$68,ROW(bs!H59),FALSE),0)/IF(LEN($J$1)&gt;4,10000,1)</f>
        <v>0</v>
      </c>
      <c r="H67" s="15" t="e">
        <f t="shared" ref="H67:H75" si="10">G67/$G$75</f>
        <v>#DIV/0!</v>
      </c>
      <c r="I67" s="16">
        <f>ROUND(HLOOKUP($I$2,bs!$D$1:$AC$68,ROW(bs!J59),FALSE),0)/IF(LEN($J$1)&gt;4,10000,1)</f>
        <v>0</v>
      </c>
      <c r="J67" s="15" t="e">
        <f t="shared" ref="J67:J75" si="11">I67/$I$75</f>
        <v>#DIV/0!</v>
      </c>
    </row>
    <row r="68" spans="2:10">
      <c r="B68" s="13" t="s">
        <v>120</v>
      </c>
      <c r="C68" s="14">
        <f>ROUND(HLOOKUP($C$2,bs!$D$1:$AC$68,ROW(bs!D60),FALSE),0)/IF(LEN($J$1)&gt;4,10000,1)</f>
        <v>0</v>
      </c>
      <c r="D68" s="15" t="e">
        <f t="shared" si="8"/>
        <v>#DIV/0!</v>
      </c>
      <c r="E68" s="14">
        <f>ROUND(HLOOKUP($E$2,bs!$D$1:$AC$68,ROW(bs!D60),FALSE),0)/IF(LEN($J$1)&gt;4,10000,1)</f>
        <v>0</v>
      </c>
      <c r="F68" s="15" t="e">
        <f t="shared" si="9"/>
        <v>#DIV/0!</v>
      </c>
      <c r="G68" s="16">
        <f>ROUND(HLOOKUP($G$2,bs!$D$1:$AC$68,ROW(bs!H60),FALSE),0)/IF(LEN($J$1)&gt;4,10000,1)</f>
        <v>0</v>
      </c>
      <c r="H68" s="15" t="e">
        <f t="shared" si="10"/>
        <v>#DIV/0!</v>
      </c>
      <c r="I68" s="16">
        <f>ROUND(HLOOKUP($I$2,bs!$D$1:$AC$68,ROW(bs!J60),FALSE),0)/IF(LEN($J$1)&gt;4,10000,1)</f>
        <v>0</v>
      </c>
      <c r="J68" s="15" t="e">
        <f t="shared" si="11"/>
        <v>#DIV/0!</v>
      </c>
    </row>
    <row r="69" spans="2:10">
      <c r="B69" s="13" t="s">
        <v>121</v>
      </c>
      <c r="C69" s="14">
        <f>ROUND(HLOOKUP($C$2,bs!$D$1:$AC$68,ROW(bs!D61),FALSE),0)/IF(LEN($J$1)&gt;4,10000,1)</f>
        <v>0</v>
      </c>
      <c r="D69" s="15" t="e">
        <f t="shared" si="8"/>
        <v>#DIV/0!</v>
      </c>
      <c r="E69" s="14">
        <f>ROUND(HLOOKUP($E$2,bs!$D$1:$AC$68,ROW(bs!D61),FALSE),0)/IF(LEN($J$1)&gt;4,10000,1)</f>
        <v>0</v>
      </c>
      <c r="F69" s="15" t="e">
        <f t="shared" si="9"/>
        <v>#DIV/0!</v>
      </c>
      <c r="G69" s="16">
        <f>ROUND(HLOOKUP($G$2,bs!$D$1:$AC$68,ROW(bs!H61),FALSE),0)/IF(LEN($J$1)&gt;4,10000,1)</f>
        <v>0</v>
      </c>
      <c r="H69" s="15" t="e">
        <f t="shared" si="10"/>
        <v>#DIV/0!</v>
      </c>
      <c r="I69" s="16">
        <f>ROUND(HLOOKUP($I$2,bs!$D$1:$AC$68,ROW(bs!J61),FALSE),0)/IF(LEN($J$1)&gt;4,10000,1)</f>
        <v>0</v>
      </c>
      <c r="J69" s="15" t="e">
        <f t="shared" si="11"/>
        <v>#DIV/0!</v>
      </c>
    </row>
    <row r="70" spans="2:10">
      <c r="B70" s="13" t="s">
        <v>123</v>
      </c>
      <c r="C70" s="14">
        <f>ROUND(HLOOKUP($C$2,bs!$D$1:$AC$68,ROW(bs!D62),FALSE),0)/IF(LEN($J$1)&gt;4,10000,1)</f>
        <v>0</v>
      </c>
      <c r="D70" s="15" t="e">
        <f t="shared" si="8"/>
        <v>#DIV/0!</v>
      </c>
      <c r="E70" s="14">
        <f>ROUND(HLOOKUP($E$2,bs!$D$1:$AC$68,ROW(bs!D62),FALSE),0)/IF(LEN($J$1)&gt;4,10000,1)</f>
        <v>0</v>
      </c>
      <c r="F70" s="15" t="e">
        <f t="shared" si="9"/>
        <v>#DIV/0!</v>
      </c>
      <c r="G70" s="16">
        <f>ROUND(HLOOKUP($G$2,bs!$D$1:$AC$68,ROW(bs!H62),FALSE),0)/IF(LEN($J$1)&gt;4,10000,1)</f>
        <v>0</v>
      </c>
      <c r="H70" s="15" t="e">
        <f t="shared" si="10"/>
        <v>#DIV/0!</v>
      </c>
      <c r="I70" s="16">
        <f>ROUND(HLOOKUP($I$2,bs!$D$1:$AC$68,ROW(bs!J62),FALSE),0)/IF(LEN($J$1)&gt;4,10000,1)</f>
        <v>0</v>
      </c>
      <c r="J70" s="15" t="e">
        <f t="shared" si="11"/>
        <v>#DIV/0!</v>
      </c>
    </row>
    <row r="71" spans="2:10">
      <c r="B71" s="13" t="s">
        <v>125</v>
      </c>
      <c r="C71" s="14">
        <f>ROUND(HLOOKUP($C$2,bs!$D$1:$AC$68,ROW(bs!D63),FALSE),0)/IF(LEN($J$1)&gt;4,10000,1)</f>
        <v>0</v>
      </c>
      <c r="D71" s="15" t="e">
        <f t="shared" si="8"/>
        <v>#DIV/0!</v>
      </c>
      <c r="E71" s="14">
        <f>ROUND(HLOOKUP($E$2,bs!$D$1:$AC$68,ROW(bs!D63),FALSE),0)/IF(LEN($J$1)&gt;4,10000,1)</f>
        <v>0</v>
      </c>
      <c r="F71" s="15" t="e">
        <f t="shared" si="9"/>
        <v>#DIV/0!</v>
      </c>
      <c r="G71" s="16">
        <f>ROUND(HLOOKUP($G$2,bs!$D$1:$AC$68,ROW(bs!H63),FALSE),0)/IF(LEN($J$1)&gt;4,10000,1)</f>
        <v>0</v>
      </c>
      <c r="H71" s="15" t="e">
        <f t="shared" si="10"/>
        <v>#DIV/0!</v>
      </c>
      <c r="I71" s="16">
        <f>ROUND(HLOOKUP($I$2,bs!$D$1:$AC$68,ROW(bs!J63),FALSE),0)/IF(LEN($J$1)&gt;4,10000,1)</f>
        <v>0</v>
      </c>
      <c r="J71" s="15" t="e">
        <f t="shared" si="11"/>
        <v>#DIV/0!</v>
      </c>
    </row>
    <row r="72" spans="2:10">
      <c r="B72" s="13" t="s">
        <v>127</v>
      </c>
      <c r="C72" s="14">
        <f>ROUND(HLOOKUP($C$2,bs!$D$1:$AC$68,ROW(bs!D64),FALSE),0)/IF(LEN($J$1)&gt;4,10000,1)</f>
        <v>0</v>
      </c>
      <c r="D72" s="15" t="e">
        <f t="shared" si="8"/>
        <v>#DIV/0!</v>
      </c>
      <c r="E72" s="14">
        <f>ROUND(HLOOKUP($E$2,bs!$D$1:$AC$68,ROW(bs!D64),FALSE),0)/IF(LEN($J$1)&gt;4,10000,1)</f>
        <v>0</v>
      </c>
      <c r="F72" s="15" t="e">
        <f t="shared" si="9"/>
        <v>#DIV/0!</v>
      </c>
      <c r="G72" s="16">
        <f>ROUND(HLOOKUP($G$2,bs!$D$1:$AC$68,ROW(bs!H64),FALSE),0)/IF(LEN($J$1)&gt;4,10000,1)</f>
        <v>0</v>
      </c>
      <c r="H72" s="15" t="e">
        <f t="shared" si="10"/>
        <v>#DIV/0!</v>
      </c>
      <c r="I72" s="16">
        <f>ROUND(HLOOKUP($I$2,bs!$D$1:$AC$68,ROW(bs!J64),FALSE),0)/IF(LEN($J$1)&gt;4,10000,1)</f>
        <v>0</v>
      </c>
      <c r="J72" s="15" t="e">
        <f t="shared" si="11"/>
        <v>#DIV/0!</v>
      </c>
    </row>
    <row r="73" spans="2:10">
      <c r="B73" s="17" t="s">
        <v>129</v>
      </c>
      <c r="C73" s="18">
        <f>ROUND(HLOOKUP($C$2,bs!$D$1:$AC$68,ROW(bs!D65),FALSE),0)/IF(LEN($J$1)&gt;4,10000,1)</f>
        <v>0</v>
      </c>
      <c r="D73" s="19" t="e">
        <f t="shared" si="8"/>
        <v>#DIV/0!</v>
      </c>
      <c r="E73" s="18">
        <f>ROUND(HLOOKUP($E$2,bs!$D$1:$AC$68,ROW(bs!D65),FALSE),0)/IF(LEN($J$1)&gt;4,10000,1)</f>
        <v>0</v>
      </c>
      <c r="F73" s="19" t="e">
        <f t="shared" si="9"/>
        <v>#DIV/0!</v>
      </c>
      <c r="G73" s="20">
        <f>ROUND(HLOOKUP($G$2,bs!$D$1:$AC$68,ROW(bs!H65),FALSE),0)/IF(LEN($J$1)&gt;4,10000,1)</f>
        <v>0</v>
      </c>
      <c r="H73" s="19" t="e">
        <f t="shared" si="10"/>
        <v>#DIV/0!</v>
      </c>
      <c r="I73" s="20">
        <f>ROUND(HLOOKUP($I$2,bs!$D$1:$AC$68,ROW(bs!J65),FALSE),0)/IF(LEN($J$1)&gt;4,10000,1)</f>
        <v>0</v>
      </c>
      <c r="J73" s="19" t="e">
        <f t="shared" si="11"/>
        <v>#DIV/0!</v>
      </c>
    </row>
    <row r="74" spans="2:10">
      <c r="B74" s="13" t="s">
        <v>131</v>
      </c>
      <c r="C74" s="14">
        <f>ROUND(HLOOKUP($C$2,bs!$D$1:$AC$68,ROW(bs!D66),FALSE),0)/IF(LEN($J$1)&gt;4,10000,1)</f>
        <v>0</v>
      </c>
      <c r="D74" s="15" t="e">
        <f t="shared" si="8"/>
        <v>#DIV/0!</v>
      </c>
      <c r="E74" s="14">
        <f>ROUND(HLOOKUP($E$2,bs!$D$1:$AC$68,ROW(bs!D66),FALSE),0)/IF(LEN($J$1)&gt;4,10000,1)</f>
        <v>0</v>
      </c>
      <c r="F74" s="15" t="e">
        <f t="shared" si="9"/>
        <v>#DIV/0!</v>
      </c>
      <c r="G74" s="16">
        <f>ROUND(HLOOKUP($G$2,bs!$D$1:$AC$68,ROW(bs!H66),FALSE),0)/IF(LEN($J$1)&gt;4,10000,1)</f>
        <v>0</v>
      </c>
      <c r="H74" s="15" t="e">
        <f t="shared" si="10"/>
        <v>#DIV/0!</v>
      </c>
      <c r="I74" s="16">
        <f>ROUND(HLOOKUP($I$2,bs!$D$1:$AC$68,ROW(bs!J66),FALSE),0)/IF(LEN($J$1)&gt;4,10000,1)</f>
        <v>0</v>
      </c>
      <c r="J74" s="15" t="e">
        <f t="shared" si="11"/>
        <v>#DIV/0!</v>
      </c>
    </row>
    <row r="75" spans="2:10">
      <c r="B75" s="17" t="s">
        <v>133</v>
      </c>
      <c r="C75" s="18">
        <f>ROUND(HLOOKUP($C$2,bs!$D$1:$AC$68,ROW(bs!D67),FALSE),0)/IF(LEN($J$1)&gt;4,10000,1)</f>
        <v>0</v>
      </c>
      <c r="D75" s="19" t="e">
        <f t="shared" si="8"/>
        <v>#DIV/0!</v>
      </c>
      <c r="E75" s="18">
        <f>ROUND(HLOOKUP($E$2,bs!$D$1:$AC$68,ROW(bs!D67),FALSE),0)/IF(LEN($J$1)&gt;4,10000,1)</f>
        <v>0</v>
      </c>
      <c r="F75" s="19" t="e">
        <f t="shared" si="9"/>
        <v>#DIV/0!</v>
      </c>
      <c r="G75" s="20">
        <f>ROUND(HLOOKUP($G$2,bs!$D$1:$AC$68,ROW(bs!H67),FALSE),0)/IF(LEN($J$1)&gt;4,10000,1)</f>
        <v>0</v>
      </c>
      <c r="H75" s="19" t="e">
        <f t="shared" si="10"/>
        <v>#DIV/0!</v>
      </c>
      <c r="I75" s="20">
        <f>ROUND(HLOOKUP($I$2,bs!$D$1:$AC$68,ROW(bs!J67),FALSE),0)/IF(LEN($J$1)&gt;4,10000,1)</f>
        <v>0</v>
      </c>
      <c r="J75" s="19" t="e">
        <f t="shared" si="11"/>
        <v>#DIV/0!</v>
      </c>
    </row>
  </sheetData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5">
    <mergeCell ref="C2:D2"/>
    <mergeCell ref="E2:F2"/>
    <mergeCell ref="G2:H2"/>
    <mergeCell ref="I2:J2"/>
    <mergeCell ref="C39:D39"/>
    <mergeCell ref="E39:F39"/>
    <mergeCell ref="G39:H39"/>
    <mergeCell ref="I39:J39"/>
    <mergeCell ref="C64:D64"/>
    <mergeCell ref="E64:F64"/>
    <mergeCell ref="G64:H64"/>
    <mergeCell ref="I64:J64"/>
    <mergeCell ref="B2:B3"/>
    <mergeCell ref="B39:B40"/>
    <mergeCell ref="B64:B65"/>
  </mergeCells>
  <dataValidations count="1">
    <dataValidation type="list" allowBlank="1" showInputMessage="1" showErrorMessage="1" sqref="J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"/>
  <sheetViews>
    <sheetView workbookViewId="0">
      <selection activeCell="A2" sqref="A2"/>
    </sheetView>
  </sheetViews>
  <sheetFormatPr defaultColWidth="9" defaultRowHeight="12.75"/>
  <sheetData>
    <row r="1" spans="1:1">
      <c r="A1" s="6" t="s">
        <v>359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C13" sqref="C13"/>
    </sheetView>
  </sheetViews>
  <sheetFormatPr defaultColWidth="9" defaultRowHeight="12.75" outlineLevelRow="7"/>
  <cols>
    <col min="1" max="1" width="18" customWidth="1"/>
    <col min="4" max="4" width="15.1428571428571" customWidth="1"/>
    <col min="5" max="5" width="9.81904761904762" customWidth="1"/>
    <col min="8" max="8" width="10.2666666666667" customWidth="1"/>
  </cols>
  <sheetData>
    <row r="1" ht="16.5" spans="1:4">
      <c r="A1" s="1" t="s">
        <v>360</v>
      </c>
      <c r="B1" s="1" t="s">
        <v>361</v>
      </c>
      <c r="C1" s="1" t="s">
        <v>362</v>
      </c>
      <c r="D1" s="1" t="s">
        <v>363</v>
      </c>
    </row>
    <row r="2" ht="16.5" spans="1:9">
      <c r="A2" s="2" t="s">
        <v>364</v>
      </c>
      <c r="B2" s="3" t="str">
        <f>LEFT(A2,4)</f>
        <v>2021</v>
      </c>
      <c r="C2" s="3" t="str">
        <f>RIGHT(A2,2)</f>
        <v>10</v>
      </c>
      <c r="D2" s="4" t="str">
        <f>TEXT(DATE(B2,C2+1,0),"e/m/d")</f>
        <v>2021/10/31</v>
      </c>
      <c r="E2" s="5" t="str">
        <f>B2&amp;B1&amp;C2&amp;C1</f>
        <v>2021年10月</v>
      </c>
      <c r="F2">
        <f>$B$2-I2</f>
        <v>2020</v>
      </c>
      <c r="G2" t="s">
        <v>365</v>
      </c>
      <c r="H2" t="str">
        <f>F2&amp;$G$2</f>
        <v>2020/12/31</v>
      </c>
      <c r="I2">
        <v>1</v>
      </c>
    </row>
    <row r="3" spans="6:9">
      <c r="F3">
        <f t="shared" ref="F3:F8" si="0">$B$2-I3</f>
        <v>2019</v>
      </c>
      <c r="H3" t="str">
        <f t="shared" ref="H3:H8" si="1">F3&amp;$G$2</f>
        <v>2019/12/31</v>
      </c>
      <c r="I3">
        <v>2</v>
      </c>
    </row>
    <row r="4" spans="1:9">
      <c r="A4" s="5"/>
      <c r="F4">
        <f t="shared" si="0"/>
        <v>2018</v>
      </c>
      <c r="H4" t="str">
        <f t="shared" si="1"/>
        <v>2018/12/31</v>
      </c>
      <c r="I4">
        <v>3</v>
      </c>
    </row>
    <row r="5" spans="6:9">
      <c r="F5">
        <f t="shared" si="0"/>
        <v>2017</v>
      </c>
      <c r="H5" t="str">
        <f t="shared" si="1"/>
        <v>2017/12/31</v>
      </c>
      <c r="I5">
        <v>4</v>
      </c>
    </row>
    <row r="6" spans="6:9">
      <c r="F6">
        <f t="shared" si="0"/>
        <v>2016</v>
      </c>
      <c r="H6" t="str">
        <f t="shared" si="1"/>
        <v>2016/12/31</v>
      </c>
      <c r="I6">
        <v>5</v>
      </c>
    </row>
    <row r="7" spans="6:9">
      <c r="F7">
        <f t="shared" si="0"/>
        <v>2015</v>
      </c>
      <c r="H7" t="str">
        <f t="shared" si="1"/>
        <v>2015/12/31</v>
      </c>
      <c r="I7">
        <v>6</v>
      </c>
    </row>
    <row r="8" spans="6:9">
      <c r="F8">
        <f t="shared" si="0"/>
        <v>2014</v>
      </c>
      <c r="H8" t="str">
        <f t="shared" si="1"/>
        <v>2014/12/31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bs</vt:lpstr>
      <vt:lpstr>pl</vt:lpstr>
      <vt:lpstr>cf</vt:lpstr>
      <vt:lpstr>财务分析-万位</vt:lpstr>
      <vt:lpstr>现金流分析表</vt:lpstr>
      <vt:lpstr>财务对比分析表</vt:lpstr>
      <vt:lpstr>财务变化表</vt:lpstr>
      <vt:lpstr>资产负债权益结构分析</vt:lpstr>
      <vt:lpstr>版本更新说明</vt:lpstr>
      <vt:lpstr>初始设置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徐晓冬</cp:lastModifiedBy>
  <dcterms:created xsi:type="dcterms:W3CDTF">2012-10-09T05:54:00Z</dcterms:created>
  <dcterms:modified xsi:type="dcterms:W3CDTF">2021-11-18T00:47:12Z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2052-11.8.2.10972</vt:lpwstr>
  </property>
  <property fmtid="{D5CDD505-2E9C-101B-9397-08002B2CF9AE}" pid="3" name="ICV">
    <vt:lpwstr>0FE24BD227674B049EAD84E1420D757A</vt:lpwstr>
  </property>
</Properties>
</file>