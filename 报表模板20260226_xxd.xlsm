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windowWidth="29400" windowHeight="12360" tabRatio="601" firstSheet="3" activeTab="6" autoFilterDateGrouping="1"/>
  </bookViews>
  <sheets>
    <sheet xmlns:r="http://schemas.openxmlformats.org/officeDocument/2006/relationships" name="012283707.IB-资产负债表" sheetId="1" state="hidden" r:id="rId1"/>
    <sheet xmlns:r="http://schemas.openxmlformats.org/officeDocument/2006/relationships" name="012283707.IB-利润表" sheetId="2" state="hidden" r:id="rId2"/>
    <sheet xmlns:r="http://schemas.openxmlformats.org/officeDocument/2006/relationships" name="012283707.IB-现金流量表" sheetId="3" state="hidden" r:id="rId3"/>
    <sheet xmlns:r="http://schemas.openxmlformats.org/officeDocument/2006/relationships" name="bs" sheetId="4" state="visible" r:id="rId4"/>
    <sheet xmlns:r="http://schemas.openxmlformats.org/officeDocument/2006/relationships" name="pl" sheetId="5" state="visible" r:id="rId5"/>
    <sheet xmlns:r="http://schemas.openxmlformats.org/officeDocument/2006/relationships" name="cf" sheetId="6" state="visible" r:id="rId6"/>
    <sheet xmlns:r="http://schemas.openxmlformats.org/officeDocument/2006/relationships" name="财务分析（2022）版" sheetId="7" state="visible" r:id="rId7"/>
    <sheet xmlns:r="http://schemas.openxmlformats.org/officeDocument/2006/relationships" name="财务分析-万位" sheetId="8" state="hidden" r:id="rId8"/>
    <sheet xmlns:r="http://schemas.openxmlformats.org/officeDocument/2006/relationships" name="资产负债权益结构分析" sheetId="9" state="visible" r:id="rId9"/>
    <sheet xmlns:r="http://schemas.openxmlformats.org/officeDocument/2006/relationships" name="现金流分析表" sheetId="10" state="visible" r:id="rId10"/>
    <sheet xmlns:r="http://schemas.openxmlformats.org/officeDocument/2006/relationships" name="财务对比分析表" sheetId="11" state="visible" r:id="rId11"/>
    <sheet xmlns:r="http://schemas.openxmlformats.org/officeDocument/2006/relationships" name="财务变化表" sheetId="12" state="visible" r:id="rId12"/>
    <sheet xmlns:r="http://schemas.openxmlformats.org/officeDocument/2006/relationships" name="刚性负债情况" sheetId="13" state="visible" r:id="rId13"/>
    <sheet xmlns:r="http://schemas.openxmlformats.org/officeDocument/2006/relationships" name="版本更新说明" sheetId="14" state="visible" r:id="rId14"/>
    <sheet xmlns:r="http://schemas.openxmlformats.org/officeDocument/2006/relationships" name="初始设置" sheetId="15" state="visible" r:id="rId15"/>
    <sheet xmlns:r="http://schemas.openxmlformats.org/officeDocument/2006/relationships" name="Sheet1" sheetId="16" state="visible" r:id="rId16"/>
    <sheet xmlns:r="http://schemas.openxmlformats.org/officeDocument/2006/relationships" name="Sheet2" sheetId="17" state="visible" r:id="rId17"/>
  </sheets>
  <definedNames>
    <definedName name="_xleta.T" hidden="1" xlm="1" functionGroupId="14">#NAME?</definedName>
    <definedName name="_xlnm._FilterDatabase" localSheetId="3" hidden="1">'bs'!$A$1:$J$111</definedName>
    <definedName name="_xlnm._FilterDatabase" localSheetId="6" hidden="1">'财务分析（2022）版'!$F$5:$H$173</definedName>
    <definedName name="_xlnm.Print_Area" localSheetId="6">'财务分析（2022）版'!$A$1:$E$173</definedName>
    <definedName name="_xlnm._FilterDatabase" localSheetId="8" hidden="1">'资产负债权益结构分析'!$L$3:$L$92</definedName>
  </definedNames>
  <calcPr calcId="191029" fullCalcOnLoad="1"/>
</workbook>
</file>

<file path=xl/styles.xml><?xml version="1.0" encoding="utf-8"?>
<styleSheet xmlns="http://schemas.openxmlformats.org/spreadsheetml/2006/main">
  <numFmts count="15">
    <numFmt numFmtId="164" formatCode="#,##0.00_ "/>
    <numFmt numFmtId="165" formatCode="0_);[Red]\(0\)"/>
    <numFmt numFmtId="166" formatCode="yyyy&quot;年&quot;mm&quot;月&quot;;@"/>
    <numFmt numFmtId="167" formatCode="yyyy&quot;年&quot;;@"/>
    <numFmt numFmtId="168" formatCode="0&quot;.&quot;00,,&quot;亿&quot;"/>
    <numFmt numFmtId="169" formatCode="_ * #,##0.00_ ;_ * \-#,##0.00_ ;_ * &quot;-&quot;??_ ;_ @_ "/>
    <numFmt numFmtId="170" formatCode="0.00_);[Red]\(0.00\)"/>
    <numFmt numFmtId="171" formatCode="yyyy/m/d;@"/>
    <numFmt numFmtId="172" formatCode="yyyy&quot;年&quot;m&quot;月&quot;;@"/>
    <numFmt numFmtId="173" formatCode="#,##0_ "/>
    <numFmt numFmtId="174" formatCode="0.00_ "/>
    <numFmt numFmtId="175" formatCode="#,##0.00_);[Red]\(#,##0.00\)"/>
    <numFmt numFmtId="176" formatCode="##,###,###,###,##0.00"/>
    <numFmt numFmtId="177" formatCode="###,##0.00"/>
    <numFmt numFmtId="178" formatCode="###,##0"/>
  </numFmts>
  <fonts count="68">
    <font>
      <name val="Arial"/>
      <charset val="134"/>
      <sz val="10"/>
    </font>
    <font>
      <name val="微软雅黑"/>
      <charset val="134"/>
      <b val="1"/>
      <color indexed="9"/>
      <sz val="11"/>
    </font>
    <font>
      <name val="微软雅黑"/>
      <charset val="134"/>
      <color indexed="8"/>
      <sz val="11"/>
    </font>
    <font>
      <name val="微软雅黑"/>
      <charset val="134"/>
      <sz val="11"/>
    </font>
    <font>
      <name val="微软雅黑"/>
      <charset val="134"/>
      <b val="1"/>
      <color rgb="FFFFFFFF"/>
      <sz val="10.5"/>
    </font>
    <font>
      <name val="微软雅黑"/>
      <charset val="134"/>
      <sz val="10.5"/>
    </font>
    <font>
      <name val="宋体"/>
      <charset val="134"/>
      <sz val="10"/>
    </font>
    <font>
      <name val="微软雅黑"/>
      <charset val="134"/>
      <sz val="10"/>
    </font>
    <font>
      <name val="仿宋"/>
      <charset val="134"/>
      <b val="1"/>
      <sz val="12"/>
    </font>
    <font>
      <name val="仿宋"/>
      <charset val="134"/>
      <sz val="12"/>
    </font>
    <font>
      <name val="Dialog.plain"/>
      <charset val="134"/>
      <color indexed="8"/>
      <sz val="9"/>
    </font>
    <font>
      <name val="仿宋_GB2312"/>
      <charset val="134"/>
      <b val="1"/>
      <sz val="12"/>
    </font>
    <font>
      <name val="Times New Roman"/>
      <charset val="134"/>
      <b val="1"/>
      <sz val="12"/>
    </font>
    <font>
      <name val="仿宋_GB2312"/>
      <charset val="134"/>
      <sz val="12"/>
    </font>
    <font>
      <name val="Times New Roman"/>
      <charset val="134"/>
      <color rgb="FF000000"/>
      <sz val="12"/>
    </font>
    <font>
      <name val="Times New Roman"/>
      <charset val="134"/>
      <sz val="12"/>
    </font>
    <font>
      <name val="仿宋_GB2312"/>
      <charset val="134"/>
      <b val="1"/>
      <color theme="1"/>
      <sz val="11"/>
    </font>
    <font>
      <name val="宋体"/>
      <charset val="134"/>
      <color indexed="8"/>
      <sz val="9"/>
    </font>
    <font>
      <name val="仿宋_GB2312"/>
      <charset val="134"/>
      <color theme="1"/>
      <sz val="11"/>
    </font>
    <font>
      <name val="Times New Roman"/>
      <charset val="134"/>
      <color theme="1"/>
      <sz val="11"/>
    </font>
    <font>
      <name val="宋体"/>
      <charset val="134"/>
      <b val="1"/>
      <color theme="1"/>
      <sz val="11"/>
      <scheme val="minor"/>
    </font>
    <font>
      <name val="仿宋_GB2312"/>
      <charset val="134"/>
      <b val="1"/>
      <color theme="1"/>
      <sz val="12"/>
    </font>
    <font>
      <name val="仿宋_GB2312"/>
      <charset val="134"/>
      <sz val="10"/>
    </font>
    <font>
      <name val="仿宋"/>
      <charset val="134"/>
      <sz val="9"/>
    </font>
    <font>
      <name val="仿宋"/>
      <charset val="134"/>
      <b val="1"/>
      <sz val="9"/>
    </font>
    <font>
      <name val="仿宋"/>
      <charset val="134"/>
      <color indexed="8"/>
      <sz val="9"/>
    </font>
    <font>
      <name val="仿宋"/>
      <charset val="134"/>
      <b val="1"/>
      <color indexed="8"/>
      <sz val="9"/>
    </font>
    <font>
      <name val="等线"/>
      <charset val="134"/>
      <sz val="10"/>
    </font>
    <font>
      <name val="宋体"/>
      <charset val="134"/>
      <sz val="12"/>
    </font>
    <font>
      <name val="仿宋_GB2312"/>
      <charset val="134"/>
      <b val="1"/>
      <sz val="10.5"/>
    </font>
    <font>
      <name val="仿宋"/>
      <charset val="134"/>
      <b val="1"/>
      <sz val="10"/>
    </font>
    <font>
      <name val="仿宋"/>
      <charset val="134"/>
      <color indexed="8"/>
      <sz val="10"/>
    </font>
    <font>
      <name val="宋体"/>
      <charset val="134"/>
      <color rgb="FFFF0000"/>
      <sz val="12"/>
    </font>
    <font>
      <name val="仿宋_GB2312"/>
      <charset val="134"/>
      <color indexed="8"/>
      <sz val="10.5"/>
    </font>
    <font>
      <name val="仿宋_GB2312"/>
      <charset val="134"/>
      <sz val="10.5"/>
    </font>
    <font>
      <name val="仿宋"/>
      <charset val="134"/>
      <b val="1"/>
      <color rgb="FF000000"/>
      <sz val="12"/>
    </font>
    <font>
      <name val="仿宋"/>
      <charset val="134"/>
      <color rgb="FF000000"/>
      <sz val="12"/>
    </font>
    <font>
      <name val="Times New Roman"/>
      <charset val="134"/>
      <color indexed="8"/>
      <sz val="9"/>
    </font>
    <font>
      <name val="Times New Roman"/>
      <charset val="134"/>
      <sz val="9"/>
    </font>
    <font>
      <name val="宋体"/>
      <charset val="134"/>
      <color rgb="FF000000"/>
      <sz val="9"/>
    </font>
    <font>
      <name val="Arial"/>
      <charset val="134"/>
      <b val="1"/>
      <sz val="10"/>
    </font>
    <font>
      <name val="Dialog.plain"/>
      <charset val="134"/>
      <color rgb="FF000000"/>
      <sz val="9"/>
    </font>
    <font>
      <name val="Dialog.plain"/>
      <charset val="134"/>
      <b val="1"/>
      <color indexed="8"/>
      <sz val="9"/>
    </font>
    <font>
      <name val="Dialog.plain"/>
      <charset val="0"/>
      <color rgb="FF000000"/>
      <sz val="9"/>
    </font>
    <font>
      <name val="宋体"/>
      <charset val="134"/>
      <b val="1"/>
      <color indexed="8"/>
      <sz val="9"/>
    </font>
    <font>
      <name val="Dialog.plain"/>
      <charset val="134"/>
      <b val="1"/>
      <color rgb="FF000000"/>
      <sz val="9"/>
    </font>
    <font>
      <name val="宋体"/>
      <charset val="134"/>
      <sz val="11"/>
    </font>
    <font>
      <name val="宋体"/>
      <charset val="134"/>
      <b val="1"/>
      <sz val="11"/>
    </font>
    <font>
      <name val="宋体"/>
      <charset val="134"/>
      <color theme="1"/>
      <sz val="11"/>
      <scheme val="minor"/>
    </font>
    <font>
      <name val="宋体"/>
      <charset val="0"/>
      <color rgb="FF0000FF"/>
      <sz val="11"/>
      <u val="single"/>
      <scheme val="minor"/>
    </font>
    <font>
      <name val="宋体"/>
      <charset val="0"/>
      <color rgb="FF800080"/>
      <sz val="11"/>
      <u val="single"/>
      <scheme val="minor"/>
    </font>
    <font>
      <name val="宋体"/>
      <charset val="0"/>
      <color rgb="FFFF0000"/>
      <sz val="11"/>
      <scheme val="minor"/>
    </font>
    <font>
      <name val="宋体"/>
      <charset val="134"/>
      <b val="1"/>
      <color theme="3"/>
      <sz val="18"/>
      <scheme val="minor"/>
    </font>
    <font>
      <name val="宋体"/>
      <charset val="0"/>
      <i val="1"/>
      <color rgb="FF7F7F7F"/>
      <sz val="11"/>
      <scheme val="minor"/>
    </font>
    <font>
      <name val="宋体"/>
      <charset val="134"/>
      <b val="1"/>
      <color theme="3"/>
      <sz val="15"/>
      <scheme val="minor"/>
    </font>
    <font>
      <name val="宋体"/>
      <charset val="134"/>
      <b val="1"/>
      <color theme="3"/>
      <sz val="13"/>
      <scheme val="minor"/>
    </font>
    <font>
      <name val="宋体"/>
      <charset val="134"/>
      <b val="1"/>
      <color theme="3"/>
      <sz val="11"/>
      <scheme val="minor"/>
    </font>
    <font>
      <name val="宋体"/>
      <charset val="0"/>
      <color rgb="FF3F3F76"/>
      <sz val="11"/>
      <scheme val="minor"/>
    </font>
    <font>
      <name val="宋体"/>
      <charset val="0"/>
      <b val="1"/>
      <color rgb="FF3F3F3F"/>
      <sz val="11"/>
      <scheme val="minor"/>
    </font>
    <font>
      <name val="宋体"/>
      <charset val="0"/>
      <b val="1"/>
      <color rgb="FFFA7D00"/>
      <sz val="11"/>
      <scheme val="minor"/>
    </font>
    <font>
      <name val="宋体"/>
      <charset val="0"/>
      <b val="1"/>
      <color rgb="FFFFFFFF"/>
      <sz val="11"/>
      <scheme val="minor"/>
    </font>
    <font>
      <name val="宋体"/>
      <charset val="0"/>
      <color rgb="FFFA7D00"/>
      <sz val="11"/>
      <scheme val="minor"/>
    </font>
    <font>
      <name val="宋体"/>
      <charset val="0"/>
      <b val="1"/>
      <color theme="1"/>
      <sz val="11"/>
      <scheme val="minor"/>
    </font>
    <font>
      <name val="宋体"/>
      <charset val="0"/>
      <color rgb="FF006100"/>
      <sz val="11"/>
      <scheme val="minor"/>
    </font>
    <font>
      <name val="宋体"/>
      <charset val="0"/>
      <color rgb="FF9C0006"/>
      <sz val="11"/>
      <scheme val="minor"/>
    </font>
    <font>
      <name val="宋体"/>
      <charset val="0"/>
      <color rgb="FF9C6500"/>
      <sz val="11"/>
      <scheme val="minor"/>
    </font>
    <font>
      <name val="宋体"/>
      <charset val="0"/>
      <color theme="0"/>
      <sz val="11"/>
      <scheme val="minor"/>
    </font>
    <font>
      <name val="宋体"/>
      <charset val="0"/>
      <color theme="1"/>
      <sz val="11"/>
      <scheme val="minor"/>
    </font>
  </fonts>
  <fills count="48">
    <fill>
      <patternFill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723807489242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70702230903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rgb="FFFFFFCC"/>
        <bgColor rgb="FF000000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/>
      <right style="medium">
        <color rgb="FF000000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rgb="FF000000"/>
      </left>
      <right/>
      <top/>
      <bottom/>
      <diagonal/>
    </border>
  </borders>
  <cellStyleXfs count="50">
    <xf numFmtId="0" fontId="0" fillId="0" borderId="0"/>
    <xf numFmtId="43" fontId="0" fillId="0" borderId="0"/>
    <xf numFmtId="44" fontId="48" fillId="0" borderId="0" applyAlignment="1">
      <alignment vertical="center"/>
    </xf>
    <xf numFmtId="9" fontId="0" fillId="0" borderId="0"/>
    <xf numFmtId="41" fontId="48" fillId="0" borderId="0" applyAlignment="1">
      <alignment vertical="center"/>
    </xf>
    <xf numFmtId="42" fontId="48" fillId="0" borderId="0" applyAlignment="1">
      <alignment vertical="center"/>
    </xf>
    <xf numFmtId="0" fontId="49" fillId="0" borderId="0" applyAlignment="1">
      <alignment vertical="center"/>
    </xf>
    <xf numFmtId="0" fontId="50" fillId="0" borderId="0" applyAlignment="1">
      <alignment vertical="center"/>
    </xf>
    <xf numFmtId="0" fontId="48" fillId="14" borderId="27" applyAlignment="1">
      <alignment vertical="center"/>
    </xf>
    <xf numFmtId="0" fontId="51" fillId="0" borderId="0" applyAlignment="1">
      <alignment vertical="center"/>
    </xf>
    <xf numFmtId="0" fontId="52" fillId="0" borderId="0" applyAlignment="1">
      <alignment vertical="center"/>
    </xf>
    <xf numFmtId="0" fontId="53" fillId="0" borderId="0" applyAlignment="1">
      <alignment vertical="center"/>
    </xf>
    <xf numFmtId="0" fontId="54" fillId="0" borderId="28" applyAlignment="1">
      <alignment vertical="center"/>
    </xf>
    <xf numFmtId="0" fontId="55" fillId="0" borderId="28" applyAlignment="1">
      <alignment vertical="center"/>
    </xf>
    <xf numFmtId="0" fontId="56" fillId="0" borderId="29" applyAlignment="1">
      <alignment vertical="center"/>
    </xf>
    <xf numFmtId="0" fontId="56" fillId="0" borderId="0" applyAlignment="1">
      <alignment vertical="center"/>
    </xf>
    <xf numFmtId="0" fontId="57" fillId="18" borderId="30" applyAlignment="1">
      <alignment vertical="center"/>
    </xf>
    <xf numFmtId="0" fontId="58" fillId="19" borderId="31" applyAlignment="1">
      <alignment vertical="center"/>
    </xf>
    <xf numFmtId="0" fontId="59" fillId="19" borderId="30" applyAlignment="1">
      <alignment vertical="center"/>
    </xf>
    <xf numFmtId="0" fontId="60" fillId="20" borderId="32" applyAlignment="1">
      <alignment vertical="center"/>
    </xf>
    <xf numFmtId="0" fontId="61" fillId="0" borderId="33" applyAlignment="1">
      <alignment vertical="center"/>
    </xf>
    <xf numFmtId="0" fontId="62" fillId="0" borderId="34" applyAlignment="1">
      <alignment vertical="center"/>
    </xf>
    <xf numFmtId="0" fontId="63" fillId="21" borderId="0" applyAlignment="1">
      <alignment vertical="center"/>
    </xf>
    <xf numFmtId="0" fontId="64" fillId="22" borderId="0" applyAlignment="1">
      <alignment vertical="center"/>
    </xf>
    <xf numFmtId="0" fontId="65" fillId="23" borderId="0" applyAlignment="1">
      <alignment vertical="center"/>
    </xf>
    <xf numFmtId="0" fontId="66" fillId="24" borderId="0" applyAlignment="1">
      <alignment vertical="center"/>
    </xf>
    <xf numFmtId="0" fontId="67" fillId="25" borderId="0" applyAlignment="1">
      <alignment vertical="center"/>
    </xf>
    <xf numFmtId="0" fontId="67" fillId="26" borderId="0" applyAlignment="1">
      <alignment vertical="center"/>
    </xf>
    <xf numFmtId="0" fontId="66" fillId="27" borderId="0" applyAlignment="1">
      <alignment vertical="center"/>
    </xf>
    <xf numFmtId="0" fontId="66" fillId="28" borderId="0" applyAlignment="1">
      <alignment vertical="center"/>
    </xf>
    <xf numFmtId="0" fontId="67" fillId="29" borderId="0" applyAlignment="1">
      <alignment vertical="center"/>
    </xf>
    <xf numFmtId="0" fontId="67" fillId="30" borderId="0" applyAlignment="1">
      <alignment vertical="center"/>
    </xf>
    <xf numFmtId="0" fontId="66" fillId="31" borderId="0" applyAlignment="1">
      <alignment vertical="center"/>
    </xf>
    <xf numFmtId="0" fontId="66" fillId="32" borderId="0" applyAlignment="1">
      <alignment vertical="center"/>
    </xf>
    <xf numFmtId="0" fontId="67" fillId="33" borderId="0" applyAlignment="1">
      <alignment vertical="center"/>
    </xf>
    <xf numFmtId="0" fontId="67" fillId="34" borderId="0" applyAlignment="1">
      <alignment vertical="center"/>
    </xf>
    <xf numFmtId="0" fontId="66" fillId="35" borderId="0" applyAlignment="1">
      <alignment vertical="center"/>
    </xf>
    <xf numFmtId="0" fontId="66" fillId="36" borderId="0" applyAlignment="1">
      <alignment vertical="center"/>
    </xf>
    <xf numFmtId="0" fontId="67" fillId="37" borderId="0" applyAlignment="1">
      <alignment vertical="center"/>
    </xf>
    <xf numFmtId="0" fontId="67" fillId="38" borderId="0" applyAlignment="1">
      <alignment vertical="center"/>
    </xf>
    <xf numFmtId="0" fontId="66" fillId="39" borderId="0" applyAlignment="1">
      <alignment vertical="center"/>
    </xf>
    <xf numFmtId="0" fontId="66" fillId="40" borderId="0" applyAlignment="1">
      <alignment vertical="center"/>
    </xf>
    <xf numFmtId="0" fontId="67" fillId="41" borderId="0" applyAlignment="1">
      <alignment vertical="center"/>
    </xf>
    <xf numFmtId="0" fontId="67" fillId="42" borderId="0" applyAlignment="1">
      <alignment vertical="center"/>
    </xf>
    <xf numFmtId="0" fontId="66" fillId="43" borderId="0" applyAlignment="1">
      <alignment vertical="center"/>
    </xf>
    <xf numFmtId="0" fontId="66" fillId="44" borderId="0" applyAlignment="1">
      <alignment vertical="center"/>
    </xf>
    <xf numFmtId="0" fontId="67" fillId="45" borderId="0" applyAlignment="1">
      <alignment vertical="center"/>
    </xf>
    <xf numFmtId="0" fontId="67" fillId="46" borderId="0" applyAlignment="1">
      <alignment vertical="center"/>
    </xf>
    <xf numFmtId="0" fontId="66" fillId="47" borderId="0" applyAlignment="1">
      <alignment vertical="center"/>
    </xf>
    <xf numFmtId="0" fontId="28" fillId="0" borderId="0" applyAlignment="1">
      <alignment vertical="center"/>
    </xf>
  </cellStyleXfs>
  <cellXfs count="264">
    <xf numFmtId="0" fontId="0" fillId="0" borderId="0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2" fillId="0" borderId="1" applyAlignment="1" pivotButton="0" quotePrefix="0" xfId="0">
      <alignment horizontal="center" vertical="center"/>
    </xf>
    <xf numFmtId="164" fontId="2" fillId="0" borderId="1" applyAlignment="1" pivotButton="0" quotePrefix="0" xfId="0">
      <alignment vertical="center"/>
    </xf>
    <xf numFmtId="10" fontId="2" fillId="0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164" fontId="3" fillId="0" borderId="1" applyAlignment="1" pivotButton="0" quotePrefix="0" xfId="0">
      <alignment vertical="center"/>
    </xf>
    <xf numFmtId="0" fontId="2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justify" wrapText="1"/>
    </xf>
    <xf numFmtId="0" fontId="4" fillId="3" borderId="1" applyAlignment="1" pivotButton="0" quotePrefix="0" xfId="0">
      <alignment horizontal="right" wrapText="1"/>
    </xf>
    <xf numFmtId="0" fontId="5" fillId="0" borderId="1" applyAlignment="1" pivotButton="0" quotePrefix="0" xfId="0">
      <alignment horizontal="justify" wrapText="1"/>
    </xf>
    <xf numFmtId="14" fontId="5" fillId="0" borderId="1" applyAlignment="1" pivotButton="0" quotePrefix="0" xfId="0">
      <alignment horizontal="justify" wrapText="1"/>
    </xf>
    <xf numFmtId="165" fontId="5" fillId="0" borderId="1" applyAlignment="1" pivotButton="0" quotePrefix="0" xfId="0">
      <alignment horizontal="center" vertical="center"/>
    </xf>
    <xf numFmtId="164" fontId="5" fillId="0" borderId="1" applyAlignment="1" pivotButton="0" quotePrefix="0" xfId="0">
      <alignment horizontal="right" wrapText="1"/>
    </xf>
    <xf numFmtId="165" fontId="5" fillId="0" borderId="1" applyAlignment="1" pivotButton="0" quotePrefix="0" xfId="0">
      <alignment horizontal="center" vertical="center" wrapText="1"/>
    </xf>
    <xf numFmtId="0" fontId="6" fillId="0" borderId="1" pivotButton="0" quotePrefix="0" xfId="0"/>
    <xf numFmtId="0" fontId="0" fillId="0" borderId="1" pivotButton="0" quotePrefix="0" xfId="0"/>
    <xf numFmtId="164" fontId="0" fillId="0" borderId="1" pivotButton="0" quotePrefix="0" xfId="0"/>
    <xf numFmtId="0" fontId="6" fillId="0" borderId="0" pivotButton="0" quotePrefix="0" xfId="0"/>
    <xf numFmtId="0" fontId="7" fillId="4" borderId="0" pivotButton="0" quotePrefix="0" xfId="0"/>
    <xf numFmtId="49" fontId="7" fillId="0" borderId="0" pivotButton="0" quotePrefix="0" xfId="0"/>
    <xf numFmtId="0" fontId="0" fillId="4" borderId="0" pivotButton="0" quotePrefix="0" xfId="0"/>
    <xf numFmtId="14" fontId="0" fillId="4" borderId="0" pivotButton="0" quotePrefix="0" xfId="0"/>
    <xf numFmtId="14" fontId="0" fillId="0" borderId="0" pivotButton="0" quotePrefix="0" xfId="0"/>
    <xf numFmtId="0" fontId="0" fillId="0" borderId="4" applyAlignment="1" pivotButton="0" quotePrefix="0" xfId="0">
      <alignment horizontal="center" vertical="center"/>
    </xf>
    <xf numFmtId="0" fontId="8" fillId="0" borderId="5" applyAlignment="1" pivotButton="0" quotePrefix="0" xfId="0">
      <alignment horizontal="center" vertical="center" wrapText="1"/>
    </xf>
    <xf numFmtId="166" fontId="8" fillId="0" borderId="6" applyAlignment="1" pivotButton="0" quotePrefix="0" xfId="0">
      <alignment horizontal="center" vertical="center" wrapText="1"/>
    </xf>
    <xf numFmtId="167" fontId="8" fillId="0" borderId="6" applyAlignment="1" pivotButton="0" quotePrefix="0" xfId="0">
      <alignment horizontal="center" vertical="center" wrapText="1"/>
    </xf>
    <xf numFmtId="0" fontId="8" fillId="0" borderId="7" applyAlignment="1" pivotButton="0" quotePrefix="0" xfId="0">
      <alignment horizontal="center" vertical="center" wrapText="1"/>
    </xf>
    <xf numFmtId="0" fontId="8" fillId="0" borderId="8" applyAlignment="1" pivotButton="0" quotePrefix="0" xfId="0">
      <alignment horizontal="center" vertical="center" wrapText="1"/>
    </xf>
    <xf numFmtId="168" fontId="9" fillId="0" borderId="9" applyAlignment="1" pivotButton="0" quotePrefix="0" xfId="0">
      <alignment horizontal="center" vertical="center" wrapText="1"/>
    </xf>
    <xf numFmtId="0" fontId="0" fillId="0" borderId="10" pivotButton="0" quotePrefix="0" xfId="0"/>
    <xf numFmtId="168" fontId="9" fillId="0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8" fillId="0" borderId="13" applyAlignment="1" pivotButton="0" quotePrefix="0" xfId="0">
      <alignment horizontal="center" vertical="center" wrapText="1"/>
    </xf>
    <xf numFmtId="168" fontId="9" fillId="0" borderId="14" applyAlignment="1" pivotButton="0" quotePrefix="0" xfId="0">
      <alignment horizontal="center" vertical="center" wrapText="1"/>
    </xf>
    <xf numFmtId="0" fontId="8" fillId="0" borderId="15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wrapText="1"/>
    </xf>
    <xf numFmtId="166" fontId="0" fillId="0" borderId="0" pivotButton="0" quotePrefix="0" xfId="0"/>
    <xf numFmtId="169" fontId="0" fillId="0" borderId="0" pivotButton="0" quotePrefix="0" xfId="1"/>
    <xf numFmtId="0" fontId="10" fillId="0" borderId="0" applyAlignment="1" pivotButton="0" quotePrefix="0" xfId="0">
      <alignment horizontal="left" vertical="center"/>
    </xf>
    <xf numFmtId="170" fontId="0" fillId="0" borderId="0" pivotButton="0" quotePrefix="0" xfId="0"/>
    <xf numFmtId="0" fontId="11" fillId="0" borderId="9" applyAlignment="1" pivotButton="0" quotePrefix="0" xfId="0">
      <alignment horizontal="center" vertical="center" wrapText="1"/>
    </xf>
    <xf numFmtId="14" fontId="12" fillId="0" borderId="8" applyAlignment="1" pivotButton="0" quotePrefix="0" xfId="0">
      <alignment horizontal="center" vertical="center" wrapText="1"/>
    </xf>
    <xf numFmtId="0" fontId="13" fillId="0" borderId="16" applyAlignment="1" pivotButton="0" quotePrefix="0" xfId="0">
      <alignment horizontal="center" vertical="center" wrapText="1"/>
    </xf>
    <xf numFmtId="3" fontId="14" fillId="0" borderId="17" applyAlignment="1" pivotButton="0" quotePrefix="0" xfId="0">
      <alignment horizontal="center" vertical="center" wrapText="1"/>
    </xf>
    <xf numFmtId="10" fontId="15" fillId="0" borderId="17" applyAlignment="1" pivotButton="0" quotePrefix="0" xfId="0">
      <alignment horizontal="center" vertical="center" wrapText="1"/>
    </xf>
    <xf numFmtId="0" fontId="0" fillId="5" borderId="0" applyAlignment="1" pivotButton="0" quotePrefix="0" xfId="0">
      <alignment horizontal="center" vertical="center"/>
    </xf>
    <xf numFmtId="57" fontId="0" fillId="0" borderId="0" applyAlignment="1" pivotButton="0" quotePrefix="0" xfId="0">
      <alignment horizontal="center"/>
    </xf>
    <xf numFmtId="57" fontId="0" fillId="5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6" fillId="6" borderId="1" applyAlignment="1" pivotButton="0" quotePrefix="0" xfId="0">
      <alignment horizontal="center" vertical="center" wrapText="1"/>
    </xf>
    <xf numFmtId="57" fontId="16" fillId="6" borderId="1" applyAlignment="1" pivotButton="0" quotePrefix="0" xfId="0">
      <alignment horizontal="center"/>
    </xf>
    <xf numFmtId="0" fontId="0" fillId="5" borderId="0" applyAlignment="1" pivotButton="0" quotePrefix="0" xfId="0">
      <alignment horizontal="center"/>
    </xf>
    <xf numFmtId="0" fontId="0" fillId="0" borderId="18" pivotButton="0" quotePrefix="0" xfId="0"/>
    <xf numFmtId="0" fontId="16" fillId="6" borderId="1" applyAlignment="1" pivotButton="0" quotePrefix="0" xfId="0">
      <alignment horizontal="center"/>
    </xf>
    <xf numFmtId="0" fontId="17" fillId="0" borderId="0" applyAlignment="1" pivotButton="0" quotePrefix="0" xfId="0">
      <alignment horizontal="left" vertical="center"/>
    </xf>
    <xf numFmtId="169" fontId="0" fillId="0" borderId="0" applyAlignment="1" pivotButton="0" quotePrefix="0" xfId="1">
      <alignment horizontal="center"/>
    </xf>
    <xf numFmtId="0" fontId="18" fillId="0" borderId="1" applyAlignment="1" pivotButton="0" quotePrefix="0" xfId="0">
      <alignment horizontal="center" wrapText="1"/>
    </xf>
    <xf numFmtId="164" fontId="19" fillId="0" borderId="1" applyAlignment="1" pivotButton="0" quotePrefix="0" xfId="1">
      <alignment horizontal="right"/>
    </xf>
    <xf numFmtId="0" fontId="7" fillId="0" borderId="0" applyAlignment="1" pivotButton="0" quotePrefix="0" xfId="0">
      <alignment horizontal="center" wrapText="1"/>
    </xf>
    <xf numFmtId="169" fontId="0" fillId="0" borderId="0" applyAlignment="1" pivotButton="0" quotePrefix="0" xfId="1">
      <alignment horizontal="center" vertical="center"/>
    </xf>
    <xf numFmtId="0" fontId="0" fillId="0" borderId="0" applyAlignment="1" pivotButton="0" quotePrefix="0" xfId="0">
      <alignment horizontal="center" wrapText="1"/>
    </xf>
    <xf numFmtId="14" fontId="10" fillId="7" borderId="1" applyAlignment="1" pivotButton="0" quotePrefix="0" xfId="0">
      <alignment horizontal="center" vertical="center"/>
    </xf>
    <xf numFmtId="171" fontId="10" fillId="7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left" vertical="center"/>
    </xf>
    <xf numFmtId="4" fontId="10" fillId="0" borderId="1" applyAlignment="1" applyProtection="1" pivotButton="0" quotePrefix="0" xfId="0">
      <alignment horizontal="center" vertical="center"/>
      <protection locked="0" hidden="0"/>
    </xf>
    <xf numFmtId="164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center" vertical="center" wrapText="1"/>
    </xf>
    <xf numFmtId="164" fontId="10" fillId="0" borderId="1" applyAlignment="1" pivotButton="0" quotePrefix="0" xfId="0">
      <alignment horizontal="left" vertical="center"/>
    </xf>
    <xf numFmtId="164" fontId="10" fillId="0" borderId="1" applyAlignment="1" applyProtection="1" pivotButton="0" quotePrefix="0" xfId="0">
      <alignment horizontal="center" vertical="center"/>
      <protection locked="0" hidden="0"/>
    </xf>
    <xf numFmtId="164" fontId="10" fillId="0" borderId="1" applyAlignment="1" applyProtection="1" pivotButton="0" quotePrefix="0" xfId="0">
      <alignment horizontal="right" vertical="center"/>
      <protection locked="0" hidden="0"/>
    </xf>
    <xf numFmtId="0" fontId="20" fillId="0" borderId="1" applyAlignment="1" pivotButton="0" quotePrefix="0" xfId="0">
      <alignment horizontal="center"/>
    </xf>
    <xf numFmtId="57" fontId="0" fillId="0" borderId="1" pivotButton="0" quotePrefix="0" xfId="0"/>
    <xf numFmtId="172" fontId="0" fillId="0" borderId="1" pivotButton="0" quotePrefix="0" xfId="0"/>
    <xf numFmtId="0" fontId="21" fillId="0" borderId="1" applyAlignment="1" pivotButton="0" quotePrefix="0" xfId="0">
      <alignment horizontal="center" vertical="center"/>
    </xf>
    <xf numFmtId="57" fontId="13" fillId="0" borderId="1" applyAlignment="1" pivotButton="0" quotePrefix="0" xfId="0">
      <alignment horizontal="center" vertical="center"/>
    </xf>
    <xf numFmtId="172" fontId="13" fillId="0" borderId="1" applyAlignment="1" pivotButton="0" quotePrefix="0" xfId="0">
      <alignment horizontal="center" vertical="center"/>
    </xf>
    <xf numFmtId="169" fontId="0" fillId="8" borderId="1" pivotButton="0" quotePrefix="0" xfId="1"/>
    <xf numFmtId="173" fontId="12" fillId="0" borderId="1" applyAlignment="1" pivotButton="0" quotePrefix="0" xfId="1">
      <alignment horizontal="center" vertical="center"/>
    </xf>
    <xf numFmtId="0" fontId="7" fillId="0" borderId="1" applyAlignment="1" pivotButton="0" quotePrefix="0" xfId="0">
      <alignment horizontal="center"/>
    </xf>
    <xf numFmtId="169" fontId="0" fillId="0" borderId="1" pivotButton="0" quotePrefix="0" xfId="1"/>
    <xf numFmtId="0" fontId="13" fillId="0" borderId="1" applyAlignment="1" pivotButton="0" quotePrefix="0" xfId="0">
      <alignment horizontal="center" vertical="center"/>
    </xf>
    <xf numFmtId="173" fontId="1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/>
    </xf>
    <xf numFmtId="0" fontId="13" fillId="0" borderId="1" applyAlignment="1" pivotButton="0" quotePrefix="0" xfId="0">
      <alignment horizontal="center" vertical="center" wrapText="1"/>
    </xf>
    <xf numFmtId="0" fontId="22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23" fillId="0" borderId="19" applyAlignment="1" pivotButton="0" quotePrefix="0" xfId="0">
      <alignment horizontal="right" vertical="center"/>
    </xf>
    <xf numFmtId="0" fontId="0" fillId="0" borderId="19" pivotButton="0" quotePrefix="0" xfId="0"/>
    <xf numFmtId="0" fontId="6" fillId="8" borderId="0" pivotButton="0" quotePrefix="0" xfId="0"/>
    <xf numFmtId="0" fontId="24" fillId="0" borderId="1" applyAlignment="1" pivotButton="0" quotePrefix="0" xfId="0">
      <alignment horizontal="center" vertical="center"/>
    </xf>
    <xf numFmtId="14" fontId="23" fillId="0" borderId="1" applyAlignment="1" pivotButton="0" quotePrefix="0" xfId="0">
      <alignment horizontal="center" vertical="center"/>
    </xf>
    <xf numFmtId="0" fontId="0" fillId="8" borderId="0" pivotButton="0" quotePrefix="0" xfId="0"/>
    <xf numFmtId="3" fontId="23" fillId="0" borderId="1" applyAlignment="1" pivotButton="0" quotePrefix="0" xfId="0">
      <alignment horizontal="center" vertical="center"/>
    </xf>
    <xf numFmtId="0" fontId="25" fillId="0" borderId="1" applyAlignment="1" pivotButton="0" quotePrefix="0" xfId="0">
      <alignment horizontal="center" vertical="center" wrapText="1"/>
    </xf>
    <xf numFmtId="173" fontId="23" fillId="0" borderId="1" applyAlignment="1" pivotButton="0" quotePrefix="0" xfId="0">
      <alignment horizontal="center" vertical="center"/>
    </xf>
    <xf numFmtId="10" fontId="23" fillId="0" borderId="1" applyAlignment="1" pivotButton="0" quotePrefix="0" xfId="3">
      <alignment horizontal="center" vertical="center"/>
    </xf>
    <xf numFmtId="173" fontId="23" fillId="0" borderId="1" applyAlignment="1" pivotButton="0" quotePrefix="0" xfId="1">
      <alignment horizontal="center" vertical="center"/>
    </xf>
    <xf numFmtId="9" fontId="0" fillId="0" borderId="0" pivotButton="0" quotePrefix="0" xfId="3"/>
    <xf numFmtId="0" fontId="26" fillId="0" borderId="1" applyAlignment="1" pivotButton="0" quotePrefix="0" xfId="0">
      <alignment horizontal="center" vertical="center" wrapText="1"/>
    </xf>
    <xf numFmtId="10" fontId="24" fillId="0" borderId="1" applyAlignment="1" pivotButton="0" quotePrefix="0" xfId="3">
      <alignment horizontal="center" vertical="center"/>
    </xf>
    <xf numFmtId="173" fontId="0" fillId="0" borderId="0" pivotButton="0" quotePrefix="0" xfId="0"/>
    <xf numFmtId="0" fontId="26" fillId="0" borderId="0" applyAlignment="1" pivotButton="0" quotePrefix="0" xfId="0">
      <alignment horizontal="center" vertical="center" wrapText="1"/>
    </xf>
    <xf numFmtId="3" fontId="23" fillId="0" borderId="0" applyAlignment="1" pivotButton="0" quotePrefix="0" xfId="0">
      <alignment horizontal="center" vertical="center"/>
    </xf>
    <xf numFmtId="10" fontId="23" fillId="0" borderId="0" applyAlignment="1" pivotButton="0" quotePrefix="0" xfId="3">
      <alignment horizontal="center" vertical="center"/>
    </xf>
    <xf numFmtId="0" fontId="23" fillId="0" borderId="0" applyAlignment="1" pivotButton="0" quotePrefix="0" xfId="0">
      <alignment horizontal="center" vertical="center"/>
    </xf>
    <xf numFmtId="9" fontId="27" fillId="0" borderId="0" pivotButton="0" quotePrefix="0" xfId="3"/>
    <xf numFmtId="173" fontId="23" fillId="0" borderId="1" applyAlignment="1" pivotButton="0" quotePrefix="0" xfId="0">
      <alignment horizontal="center" vertical="center" wrapText="1"/>
    </xf>
    <xf numFmtId="9" fontId="6" fillId="0" borderId="0" pivotButton="0" quotePrefix="0" xfId="3"/>
    <xf numFmtId="0" fontId="28" fillId="0" borderId="0" applyAlignment="1" pivotButton="0" quotePrefix="0" xfId="49">
      <alignment vertical="center"/>
    </xf>
    <xf numFmtId="0" fontId="28" fillId="0" borderId="0" applyAlignment="1" pivotButton="0" quotePrefix="0" xfId="49">
      <alignment horizontal="center" vertical="center"/>
    </xf>
    <xf numFmtId="0" fontId="29" fillId="9" borderId="1" applyAlignment="1" pivotButton="0" quotePrefix="0" xfId="49">
      <alignment horizontal="center" wrapText="1"/>
    </xf>
    <xf numFmtId="14" fontId="30" fillId="10" borderId="1" applyAlignment="1" pivotButton="0" quotePrefix="0" xfId="49">
      <alignment horizontal="center" wrapText="1"/>
    </xf>
    <xf numFmtId="14" fontId="30" fillId="10" borderId="1" applyAlignment="1" pivotButton="0" quotePrefix="0" xfId="49">
      <alignment horizontal="center"/>
    </xf>
    <xf numFmtId="0" fontId="29" fillId="0" borderId="1" applyAlignment="1" pivotButton="0" quotePrefix="0" xfId="49">
      <alignment horizontal="center" wrapText="1"/>
    </xf>
    <xf numFmtId="3" fontId="31" fillId="0" borderId="1" applyAlignment="1" pivotButton="0" quotePrefix="0" xfId="49">
      <alignment horizontal="center" wrapText="1"/>
    </xf>
    <xf numFmtId="0" fontId="32" fillId="11" borderId="0" applyAlignment="1" pivotButton="0" quotePrefix="0" xfId="49">
      <alignment vertical="center"/>
    </xf>
    <xf numFmtId="0" fontId="33" fillId="0" borderId="0" applyAlignment="1" pivotButton="0" quotePrefix="0" xfId="49">
      <alignment horizontal="center" wrapText="1"/>
    </xf>
    <xf numFmtId="0" fontId="29" fillId="0" borderId="20" applyAlignment="1" pivotButton="0" quotePrefix="0" xfId="49">
      <alignment horizontal="center"/>
    </xf>
    <xf numFmtId="174" fontId="34" fillId="0" borderId="1" applyAlignment="1" pivotButton="0" quotePrefix="0" xfId="49">
      <alignment horizontal="center" wrapText="1"/>
    </xf>
    <xf numFmtId="10" fontId="34" fillId="0" borderId="1" applyAlignment="1" pivotButton="0" quotePrefix="0" xfId="3">
      <alignment horizontal="center" wrapText="1"/>
    </xf>
    <xf numFmtId="10" fontId="34" fillId="0" borderId="1" applyAlignment="1" pivotButton="0" quotePrefix="0" xfId="49">
      <alignment horizontal="center" wrapText="1"/>
    </xf>
    <xf numFmtId="0" fontId="29" fillId="0" borderId="21" applyAlignment="1" pivotButton="0" quotePrefix="0" xfId="49">
      <alignment horizontal="center" wrapText="1"/>
    </xf>
    <xf numFmtId="0" fontId="29" fillId="0" borderId="19" applyAlignment="1" pivotButton="0" quotePrefix="0" xfId="49">
      <alignment horizontal="center" wrapText="1"/>
    </xf>
    <xf numFmtId="0" fontId="29" fillId="9" borderId="18" applyAlignment="1" pivotButton="0" quotePrefix="0" xfId="49">
      <alignment horizontal="center" wrapText="1"/>
    </xf>
    <xf numFmtId="14" fontId="30" fillId="10" borderId="18" applyAlignment="1" pivotButton="0" quotePrefix="0" xfId="49">
      <alignment horizontal="center" wrapText="1"/>
    </xf>
    <xf numFmtId="0" fontId="35" fillId="12" borderId="0" applyAlignment="1" pivotButton="0" quotePrefix="0" xfId="0">
      <alignment horizontal="center" vertical="center"/>
    </xf>
    <xf numFmtId="0" fontId="35" fillId="0" borderId="19" applyAlignment="1" pivotButton="0" quotePrefix="0" xfId="0">
      <alignment horizontal="right" vertical="center"/>
    </xf>
    <xf numFmtId="0" fontId="35" fillId="0" borderId="22" applyAlignment="1" pivotButton="0" quotePrefix="0" xfId="0">
      <alignment horizontal="center" vertical="center"/>
    </xf>
    <xf numFmtId="171" fontId="35" fillId="0" borderId="23" applyAlignment="1" pivotButton="0" quotePrefix="0" xfId="0">
      <alignment horizontal="center" vertical="center"/>
    </xf>
    <xf numFmtId="171" fontId="0" fillId="0" borderId="0" pivotButton="0" quotePrefix="0" xfId="0"/>
    <xf numFmtId="0" fontId="0" fillId="0" borderId="22" pivotButton="0" quotePrefix="0" xfId="0"/>
    <xf numFmtId="0" fontId="35" fillId="0" borderId="17" applyAlignment="1" pivotButton="0" quotePrefix="0" xfId="0">
      <alignment horizontal="center" vertical="center"/>
    </xf>
    <xf numFmtId="0" fontId="35" fillId="12" borderId="16" applyAlignment="1" pivotButton="0" quotePrefix="0" xfId="0">
      <alignment horizontal="center" vertical="center"/>
    </xf>
    <xf numFmtId="0" fontId="0" fillId="0" borderId="24" pivotButton="0" quotePrefix="0" xfId="0"/>
    <xf numFmtId="0" fontId="0" fillId="0" borderId="17" pivotButton="0" quotePrefix="0" xfId="0"/>
    <xf numFmtId="0" fontId="9" fillId="0" borderId="16" applyAlignment="1" pivotButton="0" quotePrefix="0" xfId="0">
      <alignment horizontal="left" vertical="center" wrapText="1"/>
    </xf>
    <xf numFmtId="164" fontId="9" fillId="0" borderId="17" applyAlignment="1" pivotButton="0" quotePrefix="0" xfId="0">
      <alignment horizontal="right" vertical="center"/>
    </xf>
    <xf numFmtId="164" fontId="0" fillId="0" borderId="0" pivotButton="0" quotePrefix="0" xfId="0"/>
    <xf numFmtId="0" fontId="8" fillId="0" borderId="16" applyAlignment="1" pivotButton="0" quotePrefix="0" xfId="0">
      <alignment horizontal="left" vertical="center" wrapText="1"/>
    </xf>
    <xf numFmtId="171" fontId="35" fillId="12" borderId="17" applyAlignment="1" pivotButton="0" quotePrefix="0" xfId="0">
      <alignment horizontal="center" vertical="center"/>
    </xf>
    <xf numFmtId="0" fontId="9" fillId="0" borderId="17" applyAlignment="1" pivotButton="0" quotePrefix="0" xfId="0">
      <alignment horizontal="justify" vertical="center"/>
    </xf>
    <xf numFmtId="0" fontId="35" fillId="12" borderId="25" applyAlignment="1" pivotButton="0" quotePrefix="0" xfId="0">
      <alignment horizontal="center" vertical="center" wrapText="1"/>
    </xf>
    <xf numFmtId="0" fontId="0" fillId="0" borderId="26" pivotButton="0" quotePrefix="0" xfId="0"/>
    <xf numFmtId="0" fontId="9" fillId="0" borderId="17" applyAlignment="1" pivotButton="0" quotePrefix="0" xfId="0">
      <alignment horizontal="left" vertical="center"/>
    </xf>
    <xf numFmtId="0" fontId="35" fillId="0" borderId="16" applyAlignment="1" pivotButton="0" quotePrefix="0" xfId="0">
      <alignment horizontal="left" vertical="center"/>
    </xf>
    <xf numFmtId="164" fontId="9" fillId="0" borderId="17" applyAlignment="1" pivotButton="0" quotePrefix="0" xfId="3">
      <alignment horizontal="right" vertical="center"/>
    </xf>
    <xf numFmtId="10" fontId="9" fillId="0" borderId="17" applyAlignment="1" pivotButton="0" quotePrefix="0" xfId="3">
      <alignment horizontal="right" vertical="center"/>
    </xf>
    <xf numFmtId="0" fontId="9" fillId="0" borderId="17" applyAlignment="1" pivotButton="0" quotePrefix="0" xfId="0">
      <alignment horizontal="right" vertical="center"/>
    </xf>
    <xf numFmtId="0" fontId="35" fillId="0" borderId="16" applyAlignment="1" pivotButton="0" quotePrefix="0" xfId="0">
      <alignment horizontal="center" vertical="center"/>
    </xf>
    <xf numFmtId="164" fontId="9" fillId="0" borderId="8" applyAlignment="1" pivotButton="0" quotePrefix="0" xfId="0">
      <alignment horizontal="right" vertical="center"/>
    </xf>
    <xf numFmtId="0" fontId="36" fillId="13" borderId="16" applyAlignment="1" pivotButton="0" quotePrefix="0" xfId="0">
      <alignment horizontal="left" vertical="center"/>
    </xf>
    <xf numFmtId="169" fontId="36" fillId="13" borderId="16" applyAlignment="1" pivotButton="0" quotePrefix="0" xfId="1">
      <alignment horizontal="center" vertical="center"/>
    </xf>
    <xf numFmtId="0" fontId="35" fillId="0" borderId="16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left"/>
    </xf>
    <xf numFmtId="169" fontId="0" fillId="0" borderId="0" pivotButton="0" quotePrefix="0" xfId="0"/>
    <xf numFmtId="0" fontId="10" fillId="7" borderId="0" applyAlignment="1" pivotButton="0" quotePrefix="0" xfId="0">
      <alignment horizontal="left" vertical="center"/>
    </xf>
    <xf numFmtId="0" fontId="10" fillId="7" borderId="0" applyAlignment="1" pivotButton="0" quotePrefix="0" xfId="0">
      <alignment horizontal="center" vertical="center"/>
    </xf>
    <xf numFmtId="14" fontId="10" fillId="7" borderId="0" applyAlignment="1" pivotButton="0" quotePrefix="0" xfId="0">
      <alignment horizontal="center" vertical="center"/>
    </xf>
    <xf numFmtId="171" fontId="10" fillId="7" borderId="0" applyAlignment="1" pivotButton="0" quotePrefix="0" xfId="0">
      <alignment horizontal="center" vertical="center"/>
    </xf>
    <xf numFmtId="0" fontId="0" fillId="14" borderId="0" pivotButton="0" quotePrefix="0" xfId="0"/>
    <xf numFmtId="169" fontId="10" fillId="14" borderId="0" applyAlignment="1" pivotButton="0" quotePrefix="0" xfId="0">
      <alignment horizontal="right" vertical="center"/>
    </xf>
    <xf numFmtId="4" fontId="10" fillId="14" borderId="0" applyAlignment="1" applyProtection="1" pivotButton="0" quotePrefix="0" xfId="0">
      <alignment horizontal="right" vertical="center"/>
      <protection locked="0" hidden="0"/>
    </xf>
    <xf numFmtId="169" fontId="37" fillId="14" borderId="0" applyAlignment="1" applyProtection="1" pivotButton="0" quotePrefix="0" xfId="0">
      <alignment horizontal="right" vertical="center"/>
      <protection locked="0" hidden="0"/>
    </xf>
    <xf numFmtId="169" fontId="38" fillId="14" borderId="0" pivotButton="0" quotePrefix="0" xfId="0"/>
    <xf numFmtId="4" fontId="10" fillId="8" borderId="0" applyAlignment="1" applyProtection="1" pivotButton="0" quotePrefix="0" xfId="0">
      <alignment horizontal="right" vertical="center"/>
      <protection locked="0" hidden="0"/>
    </xf>
    <xf numFmtId="4" fontId="0" fillId="14" borderId="0" pivotButton="0" quotePrefix="0" xfId="0"/>
    <xf numFmtId="169" fontId="10" fillId="8" borderId="0" applyAlignment="1" applyProtection="1" pivotButton="0" quotePrefix="0" xfId="0">
      <alignment horizontal="right" vertical="center"/>
      <protection locked="0" hidden="0"/>
    </xf>
    <xf numFmtId="0" fontId="39" fillId="0" borderId="0" applyAlignment="1" pivotButton="0" quotePrefix="0" xfId="0">
      <alignment horizontal="left" vertical="center"/>
    </xf>
    <xf numFmtId="169" fontId="0" fillId="14" borderId="0" pivotButton="0" quotePrefix="0" xfId="0"/>
    <xf numFmtId="169" fontId="38" fillId="0" borderId="0" pivotButton="0" quotePrefix="0" xfId="0"/>
    <xf numFmtId="175" fontId="10" fillId="8" borderId="0" applyAlignment="1" applyProtection="1" pivotButton="0" quotePrefix="0" xfId="0">
      <alignment horizontal="right" vertical="center"/>
      <protection locked="0" hidden="0"/>
    </xf>
    <xf numFmtId="169" fontId="37" fillId="8" borderId="0" applyAlignment="1" applyProtection="1" pivotButton="0" quotePrefix="0" xfId="0">
      <alignment horizontal="right" vertical="center"/>
      <protection locked="0" hidden="0"/>
    </xf>
    <xf numFmtId="175" fontId="10" fillId="14" borderId="0" applyAlignment="1" applyProtection="1" pivotButton="0" quotePrefix="0" xfId="0">
      <alignment horizontal="right" vertical="center"/>
      <protection locked="0" hidden="0"/>
    </xf>
    <xf numFmtId="176" fontId="10" fillId="14" borderId="0" applyAlignment="1" applyProtection="1" pivotButton="0" quotePrefix="0" xfId="0">
      <alignment horizontal="right" vertical="center"/>
      <protection locked="0" hidden="0"/>
    </xf>
    <xf numFmtId="175" fontId="37" fillId="14" borderId="0" applyAlignment="1" applyProtection="1" pivotButton="0" quotePrefix="0" xfId="0">
      <alignment horizontal="right" vertical="center"/>
      <protection locked="0" hidden="0"/>
    </xf>
    <xf numFmtId="175" fontId="0" fillId="14" borderId="0" pivotButton="0" quotePrefix="0" xfId="0"/>
    <xf numFmtId="175" fontId="10" fillId="0" borderId="0" applyAlignment="1" applyProtection="1" pivotButton="0" quotePrefix="0" xfId="0">
      <alignment horizontal="right" vertical="center"/>
      <protection locked="0" hidden="0"/>
    </xf>
    <xf numFmtId="0" fontId="40" fillId="0" borderId="0" pivotButton="0" quotePrefix="0" xfId="0"/>
    <xf numFmtId="0" fontId="0" fillId="0" borderId="0" applyAlignment="1" pivotButton="0" quotePrefix="0" xfId="0">
      <alignment vertical="center"/>
    </xf>
    <xf numFmtId="0" fontId="41" fillId="0" borderId="0" applyAlignment="1" pivotButton="0" quotePrefix="0" xfId="0">
      <alignment horizontal="left" vertical="center"/>
    </xf>
    <xf numFmtId="4" fontId="10" fillId="15" borderId="0" applyAlignment="1" applyProtection="1" pivotButton="0" quotePrefix="0" xfId="0">
      <alignment horizontal="right" vertical="center"/>
      <protection locked="0" hidden="0"/>
    </xf>
    <xf numFmtId="169" fontId="10" fillId="15" borderId="0" applyAlignment="1" applyProtection="1" pivotButton="0" quotePrefix="0" xfId="0">
      <alignment horizontal="right" vertical="center"/>
      <protection locked="0" hidden="0"/>
    </xf>
    <xf numFmtId="0" fontId="42" fillId="0" borderId="0" applyAlignment="1" pivotButton="0" quotePrefix="0" xfId="0">
      <alignment horizontal="left" vertical="center"/>
    </xf>
    <xf numFmtId="169" fontId="42" fillId="16" borderId="0" applyAlignment="1" pivotButton="0" quotePrefix="0" xfId="0">
      <alignment horizontal="right" vertical="center"/>
    </xf>
    <xf numFmtId="4" fontId="42" fillId="16" borderId="0" applyAlignment="1" pivotButton="0" quotePrefix="0" xfId="0">
      <alignment horizontal="right" vertical="center"/>
    </xf>
    <xf numFmtId="169" fontId="43" fillId="17" borderId="0" applyAlignment="1" applyProtection="1" pivotButton="0" quotePrefix="0" xfId="0">
      <alignment horizontal="right" vertical="center"/>
      <protection locked="0" hidden="0"/>
    </xf>
    <xf numFmtId="169" fontId="10" fillId="16" borderId="0" applyAlignment="1" pivotButton="0" quotePrefix="0" xfId="0">
      <alignment horizontal="right" vertical="center"/>
    </xf>
    <xf numFmtId="4" fontId="10" fillId="16" borderId="0" applyAlignment="1" pivotButton="0" quotePrefix="0" xfId="0">
      <alignment horizontal="right" vertical="center"/>
    </xf>
    <xf numFmtId="0" fontId="44" fillId="0" borderId="0" applyAlignment="1" pivotButton="0" quotePrefix="0" xfId="0">
      <alignment horizontal="left" vertical="center"/>
    </xf>
    <xf numFmtId="176" fontId="10" fillId="15" borderId="0" applyAlignment="1" applyProtection="1" pivotButton="0" quotePrefix="0" xfId="0">
      <alignment horizontal="right" vertical="center"/>
      <protection locked="0" hidden="0"/>
    </xf>
    <xf numFmtId="0" fontId="45" fillId="0" borderId="0" applyAlignment="1" pivotButton="0" quotePrefix="0" xfId="0">
      <alignment horizontal="left" vertical="center"/>
    </xf>
    <xf numFmtId="0" fontId="46" fillId="0" borderId="0" pivotButton="0" quotePrefix="0" xfId="0"/>
    <xf numFmtId="0" fontId="47" fillId="0" borderId="0" pivotButton="0" quotePrefix="0" xfId="0"/>
    <xf numFmtId="177" fontId="46" fillId="0" borderId="0" pivotButton="0" quotePrefix="0" xfId="0"/>
    <xf numFmtId="178" fontId="46" fillId="0" borderId="0" pivotButton="0" quotePrefix="0" xfId="0"/>
    <xf numFmtId="177" fontId="46" fillId="0" borderId="0" pivotButton="0" quotePrefix="0" xfId="0"/>
    <xf numFmtId="178" fontId="46" fillId="0" borderId="0" pivotButton="0" quotePrefix="0" xfId="0"/>
    <xf numFmtId="171" fontId="10" fillId="7" borderId="0" applyAlignment="1" pivotButton="0" quotePrefix="0" xfId="0">
      <alignment horizontal="center" vertical="center"/>
    </xf>
    <xf numFmtId="169" fontId="10" fillId="15" borderId="0" applyAlignment="1" applyProtection="1" pivotButton="0" quotePrefix="0" xfId="0">
      <alignment horizontal="right" vertical="center"/>
      <protection locked="0" hidden="0"/>
    </xf>
    <xf numFmtId="169" fontId="42" fillId="16" borderId="0" applyAlignment="1" pivotButton="0" quotePrefix="0" xfId="0">
      <alignment horizontal="right" vertical="center"/>
    </xf>
    <xf numFmtId="169" fontId="43" fillId="17" borderId="0" applyAlignment="1" applyProtection="1" pivotButton="0" quotePrefix="0" xfId="0">
      <alignment horizontal="right" vertical="center"/>
      <protection locked="0" hidden="0"/>
    </xf>
    <xf numFmtId="169" fontId="10" fillId="16" borderId="0" applyAlignment="1" pivotButton="0" quotePrefix="0" xfId="0">
      <alignment horizontal="right" vertical="center"/>
    </xf>
    <xf numFmtId="176" fontId="10" fillId="15" borderId="0" applyAlignment="1" applyProtection="1" pivotButton="0" quotePrefix="0" xfId="0">
      <alignment horizontal="right" vertical="center"/>
      <protection locked="0" hidden="0"/>
    </xf>
    <xf numFmtId="164" fontId="0" fillId="0" borderId="0" pivotButton="0" quotePrefix="0" xfId="0"/>
    <xf numFmtId="169" fontId="38" fillId="0" borderId="0" pivotButton="0" quotePrefix="0" xfId="0"/>
    <xf numFmtId="175" fontId="10" fillId="8" borderId="0" applyAlignment="1" applyProtection="1" pivotButton="0" quotePrefix="0" xfId="0">
      <alignment horizontal="right" vertical="center"/>
      <protection locked="0" hidden="0"/>
    </xf>
    <xf numFmtId="169" fontId="37" fillId="8" borderId="0" applyAlignment="1" applyProtection="1" pivotButton="0" quotePrefix="0" xfId="0">
      <alignment horizontal="right" vertical="center"/>
      <protection locked="0" hidden="0"/>
    </xf>
    <xf numFmtId="169" fontId="38" fillId="14" borderId="0" pivotButton="0" quotePrefix="0" xfId="0"/>
    <xf numFmtId="175" fontId="10" fillId="14" borderId="0" applyAlignment="1" applyProtection="1" pivotButton="0" quotePrefix="0" xfId="0">
      <alignment horizontal="right" vertical="center"/>
      <protection locked="0" hidden="0"/>
    </xf>
    <xf numFmtId="169" fontId="37" fillId="14" borderId="0" applyAlignment="1" applyProtection="1" pivotButton="0" quotePrefix="0" xfId="0">
      <alignment horizontal="right" vertical="center"/>
      <protection locked="0" hidden="0"/>
    </xf>
    <xf numFmtId="176" fontId="10" fillId="14" borderId="0" applyAlignment="1" applyProtection="1" pivotButton="0" quotePrefix="0" xfId="0">
      <alignment horizontal="right" vertical="center"/>
      <protection locked="0" hidden="0"/>
    </xf>
    <xf numFmtId="175" fontId="37" fillId="14" borderId="0" applyAlignment="1" applyProtection="1" pivotButton="0" quotePrefix="0" xfId="0">
      <alignment horizontal="right" vertical="center"/>
      <protection locked="0" hidden="0"/>
    </xf>
    <xf numFmtId="175" fontId="0" fillId="14" borderId="0" pivotButton="0" quotePrefix="0" xfId="0"/>
    <xf numFmtId="175" fontId="10" fillId="0" borderId="0" applyAlignment="1" applyProtection="1" pivotButton="0" quotePrefix="0" xfId="0">
      <alignment horizontal="right" vertical="center"/>
      <protection locked="0" hidden="0"/>
    </xf>
    <xf numFmtId="169" fontId="0" fillId="14" borderId="0" pivotButton="0" quotePrefix="0" xfId="0"/>
    <xf numFmtId="169" fontId="0" fillId="0" borderId="0" pivotButton="0" quotePrefix="0" xfId="0"/>
    <xf numFmtId="169" fontId="10" fillId="14" borderId="0" applyAlignment="1" pivotButton="0" quotePrefix="0" xfId="0">
      <alignment horizontal="right" vertical="center"/>
    </xf>
    <xf numFmtId="169" fontId="10" fillId="8" borderId="0" applyAlignment="1" applyProtection="1" pivotButton="0" quotePrefix="0" xfId="0">
      <alignment horizontal="right" vertical="center"/>
      <protection locked="0" hidden="0"/>
    </xf>
    <xf numFmtId="171" fontId="35" fillId="0" borderId="23" applyAlignment="1" pivotButton="0" quotePrefix="0" xfId="0">
      <alignment horizontal="center" vertical="center"/>
    </xf>
    <xf numFmtId="171" fontId="0" fillId="0" borderId="0" pivotButton="0" quotePrefix="0" xfId="0"/>
    <xf numFmtId="164" fontId="9" fillId="0" borderId="17" applyAlignment="1" pivotButton="0" quotePrefix="0" xfId="0">
      <alignment horizontal="right" vertical="center"/>
    </xf>
    <xf numFmtId="171" fontId="35" fillId="12" borderId="17" applyAlignment="1" pivotButton="0" quotePrefix="0" xfId="0">
      <alignment horizontal="center" vertical="center"/>
    </xf>
    <xf numFmtId="164" fontId="9" fillId="0" borderId="17" applyAlignment="1" pivotButton="0" quotePrefix="0" xfId="3">
      <alignment horizontal="right" vertical="center"/>
    </xf>
    <xf numFmtId="164" fontId="9" fillId="0" borderId="8" applyAlignment="1" pivotButton="0" quotePrefix="0" xfId="0">
      <alignment horizontal="right" vertical="center"/>
    </xf>
    <xf numFmtId="169" fontId="36" fillId="13" borderId="16" applyAlignment="1" pivotButton="0" quotePrefix="0" xfId="1">
      <alignment horizontal="center" vertical="center"/>
    </xf>
    <xf numFmtId="174" fontId="34" fillId="0" borderId="1" applyAlignment="1" pivotButton="0" quotePrefix="0" xfId="49">
      <alignment horizontal="center" wrapText="1"/>
    </xf>
    <xf numFmtId="173" fontId="23" fillId="0" borderId="1" applyAlignment="1" pivotButton="0" quotePrefix="0" xfId="0">
      <alignment horizontal="center" vertical="center"/>
    </xf>
    <xf numFmtId="173" fontId="23" fillId="0" borderId="1" applyAlignment="1" pivotButton="0" quotePrefix="0" xfId="1">
      <alignment horizontal="center" vertical="center"/>
    </xf>
    <xf numFmtId="173" fontId="0" fillId="0" borderId="0" pivotButton="0" quotePrefix="0" xfId="0"/>
    <xf numFmtId="173" fontId="23" fillId="0" borderId="1" applyAlignment="1" pivotButton="0" quotePrefix="0" xfId="0">
      <alignment horizontal="center" vertical="center" wrapText="1"/>
    </xf>
    <xf numFmtId="172" fontId="0" fillId="0" borderId="1" pivotButton="0" quotePrefix="0" xfId="0"/>
    <xf numFmtId="172" fontId="13" fillId="0" borderId="1" applyAlignment="1" pivotButton="0" quotePrefix="0" xfId="0">
      <alignment horizontal="center" vertical="center"/>
    </xf>
    <xf numFmtId="169" fontId="0" fillId="8" borderId="1" pivotButton="0" quotePrefix="0" xfId="1"/>
    <xf numFmtId="173" fontId="12" fillId="0" borderId="1" applyAlignment="1" pivotButton="0" quotePrefix="0" xfId="1">
      <alignment horizontal="center" vertical="center"/>
    </xf>
    <xf numFmtId="169" fontId="0" fillId="0" borderId="1" pivotButton="0" quotePrefix="0" xfId="1"/>
    <xf numFmtId="173" fontId="15" fillId="0" borderId="1" applyAlignment="1" pivotButton="0" quotePrefix="0" xfId="1">
      <alignment horizontal="center" vertical="center"/>
    </xf>
    <xf numFmtId="169" fontId="0" fillId="0" borderId="0" applyAlignment="1" pivotButton="0" quotePrefix="0" xfId="1">
      <alignment horizontal="center"/>
    </xf>
    <xf numFmtId="164" fontId="19" fillId="0" borderId="1" applyAlignment="1" pivotButton="0" quotePrefix="0" xfId="1">
      <alignment horizontal="right"/>
    </xf>
    <xf numFmtId="169" fontId="0" fillId="0" borderId="0" applyAlignment="1" pivotButton="0" quotePrefix="0" xfId="1">
      <alignment horizontal="center" vertical="center"/>
    </xf>
    <xf numFmtId="171" fontId="10" fillId="7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10" fillId="0" borderId="1" applyAlignment="1" pivotButton="0" quotePrefix="0" xfId="0">
      <alignment horizontal="left" vertical="center"/>
    </xf>
    <xf numFmtId="164" fontId="10" fillId="0" borderId="1" applyAlignment="1" applyProtection="1" pivotButton="0" quotePrefix="0" xfId="0">
      <alignment horizontal="center" vertical="center"/>
      <protection locked="0" hidden="0"/>
    </xf>
    <xf numFmtId="164" fontId="10" fillId="0" borderId="1" applyAlignment="1" applyProtection="1" pivotButton="0" quotePrefix="0" xfId="0">
      <alignment horizontal="right" vertical="center"/>
      <protection locked="0" hidden="0"/>
    </xf>
    <xf numFmtId="164" fontId="0" fillId="0" borderId="1" pivotButton="0" quotePrefix="0" xfId="0"/>
    <xf numFmtId="166" fontId="8" fillId="0" borderId="6" applyAlignment="1" pivotButton="0" quotePrefix="0" xfId="0">
      <alignment horizontal="center" vertical="center" wrapText="1"/>
    </xf>
    <xf numFmtId="167" fontId="8" fillId="0" borderId="6" applyAlignment="1" pivotButton="0" quotePrefix="0" xfId="0">
      <alignment horizontal="center" vertical="center" wrapText="1"/>
    </xf>
    <xf numFmtId="168" fontId="9" fillId="0" borderId="9" applyAlignment="1" pivotButton="0" quotePrefix="0" xfId="0">
      <alignment horizontal="center" vertical="center" wrapText="1"/>
    </xf>
    <xf numFmtId="168" fontId="9" fillId="0" borderId="11" applyAlignment="1" pivotButton="0" quotePrefix="0" xfId="0">
      <alignment horizontal="center" vertical="center" wrapText="1"/>
    </xf>
    <xf numFmtId="168" fontId="9" fillId="0" borderId="14" applyAlignment="1" pivotButton="0" quotePrefix="0" xfId="0">
      <alignment horizontal="center" vertical="center" wrapText="1"/>
    </xf>
    <xf numFmtId="166" fontId="0" fillId="0" borderId="0" pivotButton="0" quotePrefix="0" xfId="0"/>
    <xf numFmtId="169" fontId="0" fillId="0" borderId="0" pivotButton="0" quotePrefix="0" xfId="1"/>
    <xf numFmtId="170" fontId="0" fillId="0" borderId="0" pivotButton="0" quotePrefix="0" xfId="0"/>
    <xf numFmtId="165" fontId="5" fillId="0" borderId="1" applyAlignment="1" pivotButton="0" quotePrefix="0" xfId="0">
      <alignment horizontal="center" vertical="center"/>
    </xf>
    <xf numFmtId="164" fontId="5" fillId="0" borderId="1" applyAlignment="1" pivotButton="0" quotePrefix="0" xfId="0">
      <alignment horizontal="right" wrapText="1"/>
    </xf>
    <xf numFmtId="165" fontId="5" fillId="0" borderId="1" applyAlignment="1" pivotButton="0" quotePrefix="0" xfId="0">
      <alignment horizontal="center" vertical="center" wrapText="1"/>
    </xf>
    <xf numFmtId="164" fontId="2" fillId="0" borderId="1" applyAlignment="1" pivotButton="0" quotePrefix="0" xfId="0">
      <alignment vertical="center"/>
    </xf>
    <xf numFmtId="164" fontId="3" fillId="0" borderId="1" applyAlignment="1" pivotButton="0" quotePrefix="0" xfId="0">
      <alignment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_可行报告财务计算表-yingkougang" xfId="4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>
  <sheetPr codeName="Sheet10">
    <outlinePr summaryBelow="1" summaryRight="1"/>
    <pageSetUpPr/>
  </sheetPr>
  <dimension ref="A1:E131"/>
  <sheetViews>
    <sheetView workbookViewId="0">
      <pane xSplit="1" ySplit="1" topLeftCell="B2" activePane="bottomRight" state="frozen"/>
      <selection activeCell="A1" sqref="A1"/>
      <selection pane="topRight" activeCell="A1" sqref="A1"/>
      <selection pane="bottomLeft" activeCell="A1" sqref="A1"/>
      <selection pane="bottomRight" activeCell="A1" sqref="A1"/>
    </sheetView>
  </sheetViews>
  <sheetFormatPr baseColWidth="8" defaultColWidth="9.142857142857141" defaultRowHeight="16.8"/>
  <cols>
    <col width="71.4285714285714" customWidth="1" style="197" min="1" max="1"/>
    <col width="20.5714285714286" customWidth="1" style="197" min="2" max="5"/>
    <col width="9.142857142857141" customWidth="1" style="197" min="6" max="16384"/>
  </cols>
  <sheetData>
    <row r="1">
      <c r="A1" s="197" t="inlineStr">
        <is>
          <t>22无锡山水SCP001[012283707.IB] - 资产负债表 (单位 : 元 , CNY  )</t>
        </is>
      </c>
      <c r="B1" s="197" t="inlineStr">
        <is>
          <t>2023-06-30</t>
        </is>
      </c>
      <c r="C1" s="197" t="inlineStr">
        <is>
          <t>2022-12-31</t>
        </is>
      </c>
      <c r="D1" s="197" t="inlineStr">
        <is>
          <t>2021-12-31</t>
        </is>
      </c>
      <c r="E1" s="197" t="inlineStr">
        <is>
          <t>2020-12-31</t>
        </is>
      </c>
    </row>
    <row r="2">
      <c r="A2" s="197" t="inlineStr">
        <is>
          <t>报告期</t>
        </is>
      </c>
      <c r="B2" s="197" t="inlineStr">
        <is>
          <t>中报</t>
        </is>
      </c>
      <c r="C2" s="197" t="inlineStr">
        <is>
          <t>年报</t>
        </is>
      </c>
      <c r="D2" s="197" t="inlineStr">
        <is>
          <t>年报</t>
        </is>
      </c>
      <c r="E2" s="197" t="inlineStr">
        <is>
          <t>年报</t>
        </is>
      </c>
    </row>
    <row r="3">
      <c r="A3" s="197" t="inlineStr">
        <is>
          <t>报表类型</t>
        </is>
      </c>
      <c r="B3" s="197" t="inlineStr">
        <is>
          <t>合并报表</t>
        </is>
      </c>
      <c r="C3" s="197" t="inlineStr">
        <is>
          <t>合并报表</t>
        </is>
      </c>
      <c r="D3" s="197" t="inlineStr">
        <is>
          <t>合并报表</t>
        </is>
      </c>
      <c r="E3" s="197" t="inlineStr">
        <is>
          <t>合并报表</t>
        </is>
      </c>
    </row>
    <row r="4">
      <c r="A4" s="198" t="inlineStr">
        <is>
          <t>流动资产：</t>
        </is>
      </c>
    </row>
    <row r="5">
      <c r="A5" s="197" t="inlineStr">
        <is>
          <t xml:space="preserve">    货币资金</t>
        </is>
      </c>
      <c r="B5" s="201" t="n">
        <v>1971684695.2</v>
      </c>
      <c r="C5" s="201" t="n">
        <v>1644387091.55</v>
      </c>
      <c r="D5" s="201" t="n">
        <v>3525239782.41</v>
      </c>
      <c r="E5" s="201" t="n">
        <v>3274422624.23</v>
      </c>
    </row>
    <row r="6">
      <c r="A6" s="197" t="inlineStr">
        <is>
          <t xml:space="preserve">    交易性金融资产</t>
        </is>
      </c>
      <c r="B6" s="201" t="n">
        <v>1867700</v>
      </c>
      <c r="C6" s="201" t="n">
        <v>1561800</v>
      </c>
      <c r="D6" s="201" t="n">
        <v>1637800</v>
      </c>
      <c r="E6" s="201" t="n">
        <v>1749900</v>
      </c>
    </row>
    <row r="7">
      <c r="A7" s="197" t="inlineStr">
        <is>
          <t xml:space="preserve">    衍生金融资产</t>
        </is>
      </c>
    </row>
    <row r="8">
      <c r="A8" s="197" t="inlineStr">
        <is>
          <t xml:space="preserve">        应收票据及应收账款</t>
        </is>
      </c>
      <c r="B8" s="201" t="n">
        <v>5248071278.21</v>
      </c>
      <c r="C8" s="201" t="n">
        <v>4066756248.59</v>
      </c>
      <c r="D8" s="201" t="n">
        <v>4368732482.19</v>
      </c>
      <c r="E8" s="201" t="n">
        <v>4747565171.7</v>
      </c>
    </row>
    <row r="9">
      <c r="A9" s="197" t="inlineStr">
        <is>
          <t xml:space="preserve">                    应收票据</t>
        </is>
      </c>
      <c r="B9" s="201" t="n">
        <v>212944184.36</v>
      </c>
      <c r="C9" s="201" t="n">
        <v>24833328</v>
      </c>
      <c r="D9" s="201" t="n">
        <v>94344643.69</v>
      </c>
      <c r="E9" s="201" t="n">
        <v>145595025.19</v>
      </c>
    </row>
    <row r="10">
      <c r="A10" s="197" t="inlineStr">
        <is>
          <t xml:space="preserve">                    应收账款</t>
        </is>
      </c>
      <c r="B10" s="201" t="n">
        <v>5035127093.85</v>
      </c>
      <c r="C10" s="201" t="n">
        <v>4041922920.59</v>
      </c>
      <c r="D10" s="201" t="n">
        <v>4274387838.5</v>
      </c>
      <c r="E10" s="201" t="n">
        <v>4601970146.51</v>
      </c>
    </row>
    <row r="11">
      <c r="A11" s="197" t="inlineStr">
        <is>
          <t xml:space="preserve">    应收款项融资</t>
        </is>
      </c>
    </row>
    <row r="12">
      <c r="A12" s="197" t="inlineStr">
        <is>
          <t xml:space="preserve">    预付款项</t>
        </is>
      </c>
      <c r="B12" s="201" t="n">
        <v>5399158.44</v>
      </c>
      <c r="C12" s="201" t="n">
        <v>11704460.94</v>
      </c>
      <c r="D12" s="201" t="n">
        <v>30927129.65</v>
      </c>
      <c r="E12" s="201" t="n">
        <v>34867756.87</v>
      </c>
    </row>
    <row r="13">
      <c r="A13" s="197" t="inlineStr">
        <is>
          <t xml:space="preserve">        其他应收款(合计)</t>
        </is>
      </c>
      <c r="B13" s="201" t="n">
        <v>6775908117.74</v>
      </c>
      <c r="C13" s="201" t="n">
        <v>8322665310.69</v>
      </c>
      <c r="D13" s="201" t="n">
        <v>8314524146.49</v>
      </c>
      <c r="E13" s="201" t="n">
        <v>8501476634.09</v>
      </c>
    </row>
    <row r="14">
      <c r="A14" s="197" t="inlineStr">
        <is>
          <t xml:space="preserve">    买入返售金融资产</t>
        </is>
      </c>
    </row>
    <row r="15">
      <c r="A15" s="197" t="inlineStr">
        <is>
          <t xml:space="preserve">    存货</t>
        </is>
      </c>
      <c r="B15" s="201" t="n">
        <v>13303064369.44</v>
      </c>
      <c r="C15" s="201" t="n">
        <v>11540673632.16</v>
      </c>
      <c r="D15" s="201" t="n">
        <v>9612453155.389999</v>
      </c>
      <c r="E15" s="201" t="n">
        <v>8839419968.190001</v>
      </c>
    </row>
    <row r="16">
      <c r="A16" s="197" t="inlineStr">
        <is>
          <t xml:space="preserve">    其中：消耗性生物资产</t>
        </is>
      </c>
    </row>
    <row r="17">
      <c r="A17" s="197" t="inlineStr">
        <is>
          <t xml:space="preserve">    合同资产</t>
        </is>
      </c>
    </row>
    <row r="18">
      <c r="A18" s="197" t="inlineStr">
        <is>
          <t xml:space="preserve">    划分为持有待售的资产</t>
        </is>
      </c>
      <c r="B18" s="201" t="n">
        <v>2590545.15</v>
      </c>
      <c r="C18" s="201" t="n">
        <v>2590545.15</v>
      </c>
      <c r="D18" s="201" t="n">
        <v>3242409.77</v>
      </c>
      <c r="E18" s="201" t="n">
        <v>762788.5600000001</v>
      </c>
    </row>
    <row r="19">
      <c r="A19" s="197" t="inlineStr">
        <is>
          <t xml:space="preserve">    一年内到期的非流动资产</t>
        </is>
      </c>
    </row>
    <row r="20">
      <c r="A20" s="197" t="inlineStr">
        <is>
          <t xml:space="preserve">    待摊费用</t>
        </is>
      </c>
    </row>
    <row r="21">
      <c r="A21" s="197" t="inlineStr">
        <is>
          <t xml:space="preserve">    其他流动资产</t>
        </is>
      </c>
    </row>
    <row r="22">
      <c r="A22" s="197" t="inlineStr">
        <is>
          <t xml:space="preserve">        其他金融类流动资产</t>
        </is>
      </c>
    </row>
    <row r="23">
      <c r="A23" s="197" t="inlineStr">
        <is>
          <t xml:space="preserve">    流动资产差额(特殊报表科目)</t>
        </is>
      </c>
    </row>
    <row r="24">
      <c r="A24" s="197" t="inlineStr">
        <is>
          <t xml:space="preserve">    流动资产差额(合计平衡项目)</t>
        </is>
      </c>
    </row>
    <row r="25">
      <c r="A25" s="198" t="inlineStr">
        <is>
          <t xml:space="preserve">    流动资产合计</t>
        </is>
      </c>
      <c r="B25" s="201" t="n">
        <v>27308585864.18</v>
      </c>
      <c r="C25" s="201" t="n">
        <v>25590339089.08</v>
      </c>
      <c r="D25" s="201" t="n">
        <v>25856756905.9</v>
      </c>
      <c r="E25" s="201" t="n">
        <v>25400264843.64</v>
      </c>
    </row>
    <row r="26">
      <c r="A26" s="198" t="inlineStr">
        <is>
          <t>非流动资产：</t>
        </is>
      </c>
    </row>
    <row r="27">
      <c r="A27" s="197" t="inlineStr">
        <is>
          <t xml:space="preserve">    发放贷款及垫款</t>
        </is>
      </c>
    </row>
    <row r="28">
      <c r="A28" s="197" t="inlineStr">
        <is>
          <t xml:space="preserve">    以公允价值且其变动计入其他综合收益的金融资产</t>
        </is>
      </c>
    </row>
    <row r="29">
      <c r="A29" s="197" t="inlineStr">
        <is>
          <t xml:space="preserve">    以摊余成本计量的金融资产</t>
        </is>
      </c>
    </row>
    <row r="30">
      <c r="A30" s="197" t="inlineStr">
        <is>
          <t xml:space="preserve">    债权投资</t>
        </is>
      </c>
    </row>
    <row r="31">
      <c r="A31" s="197" t="inlineStr">
        <is>
          <t xml:space="preserve">    其他债权投资</t>
        </is>
      </c>
    </row>
    <row r="32">
      <c r="A32" s="197" t="inlineStr">
        <is>
          <t xml:space="preserve">    可供出售金融资产</t>
        </is>
      </c>
      <c r="E32" s="201" t="n">
        <v>161072380</v>
      </c>
    </row>
    <row r="33">
      <c r="A33" s="197" t="inlineStr">
        <is>
          <t xml:space="preserve">    其他权益工具投资</t>
        </is>
      </c>
      <c r="B33" s="201" t="n">
        <v>455301273.84</v>
      </c>
      <c r="C33" s="201" t="n">
        <v>455301273.84</v>
      </c>
      <c r="D33" s="201" t="n">
        <v>204177380</v>
      </c>
    </row>
    <row r="34">
      <c r="A34" s="197" t="inlineStr">
        <is>
          <t xml:space="preserve">    持有至到期投资</t>
        </is>
      </c>
    </row>
    <row r="35">
      <c r="A35" s="197" t="inlineStr">
        <is>
          <t xml:space="preserve">    其他非流动金融资产</t>
        </is>
      </c>
      <c r="B35" s="201" t="n">
        <v>30295000</v>
      </c>
      <c r="C35" s="201" t="n">
        <v>30295000</v>
      </c>
      <c r="D35" s="201" t="n">
        <v>23550001</v>
      </c>
    </row>
    <row r="36">
      <c r="A36" s="197" t="inlineStr">
        <is>
          <t xml:space="preserve">    长期应收款</t>
        </is>
      </c>
    </row>
    <row r="37">
      <c r="A37" s="197" t="inlineStr">
        <is>
          <t xml:space="preserve">    长期股权投资</t>
        </is>
      </c>
      <c r="B37" s="201" t="n">
        <v>549367902.63</v>
      </c>
      <c r="C37" s="201" t="n">
        <v>549657918.88</v>
      </c>
      <c r="D37" s="201" t="n">
        <v>80923934</v>
      </c>
      <c r="E37" s="201" t="n">
        <v>80678934</v>
      </c>
    </row>
    <row r="38">
      <c r="A38" s="197" t="inlineStr">
        <is>
          <t xml:space="preserve">    投资性房地产</t>
        </is>
      </c>
      <c r="B38" s="201" t="n">
        <v>4358247750</v>
      </c>
      <c r="C38" s="201" t="n">
        <v>4358247750</v>
      </c>
      <c r="D38" s="201" t="n">
        <v>4255722350</v>
      </c>
      <c r="E38" s="201" t="n">
        <v>3962784824</v>
      </c>
    </row>
    <row r="39">
      <c r="A39" s="197" t="inlineStr">
        <is>
          <t xml:space="preserve">        固定资产(合计)</t>
        </is>
      </c>
      <c r="B39" s="201" t="n">
        <v>343623844.01</v>
      </c>
      <c r="C39" s="201" t="n">
        <v>335414818.15</v>
      </c>
      <c r="D39" s="201" t="n">
        <v>442342099.71</v>
      </c>
      <c r="E39" s="201" t="n">
        <v>461241350.1</v>
      </c>
    </row>
    <row r="40">
      <c r="A40" s="197" t="inlineStr">
        <is>
          <t xml:space="preserve">                    固定资产</t>
        </is>
      </c>
      <c r="B40" s="201" t="n">
        <v>343623844.01</v>
      </c>
      <c r="C40" s="201" t="n">
        <v>335414818.15</v>
      </c>
      <c r="D40" s="201" t="n">
        <v>442342099.71</v>
      </c>
      <c r="E40" s="201" t="n">
        <v>461241350.1</v>
      </c>
    </row>
    <row r="41">
      <c r="A41" s="197" t="inlineStr">
        <is>
          <t xml:space="preserve">                    固定资产清理</t>
        </is>
      </c>
    </row>
    <row r="42">
      <c r="A42" s="197" t="inlineStr">
        <is>
          <t xml:space="preserve">        在建工程(合计)</t>
        </is>
      </c>
      <c r="B42" s="201" t="n">
        <v>1058689932.91</v>
      </c>
      <c r="C42" s="201" t="n">
        <v>995990059.14</v>
      </c>
      <c r="D42" s="201" t="n">
        <v>898885960.54</v>
      </c>
      <c r="E42" s="201" t="n">
        <v>831507926.99</v>
      </c>
    </row>
    <row r="43">
      <c r="A43" s="197" t="inlineStr">
        <is>
          <t xml:space="preserve">    生产性生物资产</t>
        </is>
      </c>
    </row>
    <row r="44">
      <c r="A44" s="197" t="inlineStr">
        <is>
          <t xml:space="preserve">    油气资产</t>
        </is>
      </c>
    </row>
    <row r="45">
      <c r="A45" s="197" t="inlineStr">
        <is>
          <t xml:space="preserve">    使用权资产</t>
        </is>
      </c>
    </row>
    <row r="46">
      <c r="A46" s="197" t="inlineStr">
        <is>
          <t xml:space="preserve">    无形资产</t>
        </is>
      </c>
      <c r="B46" s="201" t="n">
        <v>284163494.9</v>
      </c>
      <c r="C46" s="201" t="n">
        <v>21897889.93</v>
      </c>
      <c r="D46" s="201" t="n">
        <v>22492761.42</v>
      </c>
      <c r="E46" s="201" t="n">
        <v>23071277.28</v>
      </c>
    </row>
    <row r="47">
      <c r="A47" s="197" t="inlineStr">
        <is>
          <t xml:space="preserve">    开发支出</t>
        </is>
      </c>
    </row>
    <row r="48">
      <c r="A48" s="197" t="inlineStr">
        <is>
          <t xml:space="preserve">    商誉</t>
        </is>
      </c>
    </row>
    <row r="49">
      <c r="A49" s="197" t="inlineStr">
        <is>
          <t xml:space="preserve">    长期待摊费用</t>
        </is>
      </c>
      <c r="B49" s="201" t="n">
        <v>2839903.92</v>
      </c>
      <c r="C49" s="201" t="n">
        <v>3062157.03</v>
      </c>
      <c r="D49" s="201" t="n">
        <v>1970481.55</v>
      </c>
      <c r="E49" s="201" t="n">
        <v>2132211.46</v>
      </c>
    </row>
    <row r="50">
      <c r="A50" s="197" t="inlineStr">
        <is>
          <t xml:space="preserve">    递延所得税资产</t>
        </is>
      </c>
      <c r="B50" s="201" t="n">
        <v>917652.1</v>
      </c>
      <c r="C50" s="201" t="n">
        <v>735501.53</v>
      </c>
      <c r="D50" s="201" t="n">
        <v>706564.53</v>
      </c>
      <c r="E50" s="201" t="n">
        <v>1211348.67</v>
      </c>
    </row>
    <row r="51">
      <c r="A51" s="197" t="inlineStr">
        <is>
          <t xml:space="preserve">    其他非流动资产</t>
        </is>
      </c>
    </row>
    <row r="52">
      <c r="A52" s="197" t="inlineStr">
        <is>
          <t xml:space="preserve">    非流动资产差额(特殊报表科目)</t>
        </is>
      </c>
    </row>
    <row r="53">
      <c r="A53" s="197" t="inlineStr">
        <is>
          <t xml:space="preserve">    非流动资产差额(合计平衡项目)</t>
        </is>
      </c>
    </row>
    <row r="54">
      <c r="A54" s="198" t="inlineStr">
        <is>
          <t xml:space="preserve">    非流动资产合计</t>
        </is>
      </c>
      <c r="B54" s="201" t="n">
        <v>7083446754.31</v>
      </c>
      <c r="C54" s="201" t="n">
        <v>6750602368.5</v>
      </c>
      <c r="D54" s="201" t="n">
        <v>5930771532.75</v>
      </c>
      <c r="E54" s="201" t="n">
        <v>5523700252.5</v>
      </c>
    </row>
    <row r="55">
      <c r="A55" s="197" t="inlineStr">
        <is>
          <t>资产差额(特殊报表科目)</t>
        </is>
      </c>
    </row>
    <row r="56">
      <c r="A56" s="197" t="inlineStr">
        <is>
          <t>资产差额(合计平衡项目)</t>
        </is>
      </c>
    </row>
    <row r="57">
      <c r="A57" s="198" t="inlineStr">
        <is>
          <t>资产总计</t>
        </is>
      </c>
      <c r="B57" s="201" t="n">
        <v>34392032618.49</v>
      </c>
      <c r="C57" s="201" t="n">
        <v>32340941457.58</v>
      </c>
      <c r="D57" s="201" t="n">
        <v>31787528438.65</v>
      </c>
      <c r="E57" s="201" t="n">
        <v>30923965096.14</v>
      </c>
    </row>
    <row r="58">
      <c r="A58" s="198" t="inlineStr">
        <is>
          <t>流动负债：</t>
        </is>
      </c>
    </row>
    <row r="59">
      <c r="A59" s="197" t="inlineStr">
        <is>
          <t xml:space="preserve">    短期借款</t>
        </is>
      </c>
      <c r="B59" s="201" t="n">
        <v>1855000000</v>
      </c>
      <c r="C59" s="201" t="n">
        <v>1136900000</v>
      </c>
      <c r="D59" s="201" t="n">
        <v>1061500000</v>
      </c>
      <c r="E59" s="201" t="n">
        <v>863000000</v>
      </c>
    </row>
    <row r="60">
      <c r="A60" s="197" t="inlineStr">
        <is>
          <t xml:space="preserve">    交易性金融负债</t>
        </is>
      </c>
    </row>
    <row r="61">
      <c r="A61" s="197" t="inlineStr">
        <is>
          <t xml:space="preserve">    衍生金融负债</t>
        </is>
      </c>
    </row>
    <row r="62">
      <c r="A62" s="197" t="inlineStr">
        <is>
          <t xml:space="preserve">        应付票据及应付账款</t>
        </is>
      </c>
      <c r="B62" s="201" t="n">
        <v>674143373.16</v>
      </c>
      <c r="C62" s="201" t="n">
        <v>745011335.41</v>
      </c>
      <c r="D62" s="201" t="n">
        <v>982811067.05</v>
      </c>
      <c r="E62" s="201" t="n">
        <v>1072093443.8</v>
      </c>
    </row>
    <row r="63">
      <c r="A63" s="197" t="inlineStr">
        <is>
          <t xml:space="preserve">    预收款项</t>
        </is>
      </c>
      <c r="B63" s="201" t="n">
        <v>23880393.78</v>
      </c>
      <c r="C63" s="201" t="n">
        <v>17451125.29</v>
      </c>
      <c r="D63" s="201" t="n">
        <v>5181717.65</v>
      </c>
      <c r="E63" s="201" t="n">
        <v>49509857.18</v>
      </c>
    </row>
    <row r="64">
      <c r="A64" s="197" t="inlineStr">
        <is>
          <t xml:space="preserve">    合同负债</t>
        </is>
      </c>
      <c r="B64" s="201" t="n">
        <v>1111107.59</v>
      </c>
      <c r="C64" s="201" t="n">
        <v>3274922.39</v>
      </c>
      <c r="D64" s="201" t="n">
        <v>29674290.29</v>
      </c>
    </row>
    <row r="65">
      <c r="A65" s="197" t="inlineStr">
        <is>
          <t xml:space="preserve">    应付手续费及佣金</t>
        </is>
      </c>
    </row>
    <row r="66">
      <c r="A66" s="197" t="inlineStr">
        <is>
          <t xml:space="preserve">    应付职工薪酬</t>
        </is>
      </c>
      <c r="B66" s="201" t="n">
        <v>170284.11</v>
      </c>
      <c r="C66" s="201" t="n">
        <v>2443278.53</v>
      </c>
      <c r="D66" s="201" t="n">
        <v>1978314.29</v>
      </c>
      <c r="E66" s="201" t="n">
        <v>14430</v>
      </c>
    </row>
    <row r="67">
      <c r="A67" s="197" t="inlineStr">
        <is>
          <t xml:space="preserve">    应交税费</t>
        </is>
      </c>
      <c r="B67" s="201" t="n">
        <v>467158140.52</v>
      </c>
      <c r="C67" s="201" t="n">
        <v>451671818.11</v>
      </c>
      <c r="D67" s="201" t="n">
        <v>426918988.92</v>
      </c>
      <c r="E67" s="201" t="n">
        <v>411794944.43</v>
      </c>
    </row>
    <row r="68">
      <c r="A68" s="197" t="inlineStr">
        <is>
          <t xml:space="preserve">        其他应付款(合计)</t>
        </is>
      </c>
      <c r="B68" s="201" t="n">
        <v>73305187.81</v>
      </c>
      <c r="C68" s="201" t="n">
        <v>100254744.68</v>
      </c>
      <c r="D68" s="201" t="n">
        <v>61084509.44</v>
      </c>
      <c r="E68" s="201" t="n">
        <v>179912689.63</v>
      </c>
    </row>
    <row r="69">
      <c r="A69" s="197" t="inlineStr">
        <is>
          <t xml:space="preserve">    划分为持有待售的负债</t>
        </is>
      </c>
    </row>
    <row r="70">
      <c r="A70" s="197" t="inlineStr">
        <is>
          <t xml:space="preserve">    一年内到期的非流动负债</t>
        </is>
      </c>
      <c r="B70" s="201" t="n">
        <v>3405846696.81</v>
      </c>
      <c r="C70" s="201" t="n">
        <v>2365430991.55</v>
      </c>
      <c r="D70" s="201" t="n">
        <v>1735451140.42</v>
      </c>
      <c r="E70" s="201" t="n">
        <v>3570289200</v>
      </c>
    </row>
    <row r="71">
      <c r="A71" s="197" t="inlineStr">
        <is>
          <t xml:space="preserve">    预提费用</t>
        </is>
      </c>
    </row>
    <row r="72">
      <c r="A72" s="197" t="inlineStr">
        <is>
          <t xml:space="preserve">    递延收益-流动负债</t>
        </is>
      </c>
    </row>
    <row r="73">
      <c r="A73" s="197" t="inlineStr">
        <is>
          <t xml:space="preserve">    应付短期债券</t>
        </is>
      </c>
    </row>
    <row r="74">
      <c r="A74" s="197" t="inlineStr">
        <is>
          <t xml:space="preserve">    其他流动负债</t>
        </is>
      </c>
      <c r="B74" s="201" t="n">
        <v>500052818.48</v>
      </c>
      <c r="C74" s="201" t="n">
        <v>500163624.8</v>
      </c>
      <c r="D74" s="201" t="n">
        <v>502194006.7</v>
      </c>
    </row>
    <row r="75">
      <c r="A75" s="197" t="inlineStr">
        <is>
          <t xml:space="preserve">        其他金融类流动负债</t>
        </is>
      </c>
    </row>
    <row r="76">
      <c r="A76" s="197" t="inlineStr">
        <is>
          <t xml:space="preserve">    流动负债差额(特殊报表科目)</t>
        </is>
      </c>
    </row>
    <row r="77">
      <c r="A77" s="197" t="inlineStr">
        <is>
          <t xml:space="preserve">    流动负债差额(合计平衡项目)</t>
        </is>
      </c>
    </row>
    <row r="78">
      <c r="A78" s="198" t="inlineStr">
        <is>
          <t xml:space="preserve">    流动负债合计</t>
        </is>
      </c>
      <c r="B78" s="201" t="n">
        <v>7000668002.26</v>
      </c>
      <c r="C78" s="201" t="n">
        <v>5322601840.76</v>
      </c>
      <c r="D78" s="201" t="n">
        <v>4806794034.76</v>
      </c>
      <c r="E78" s="201" t="n">
        <v>6146614565.04</v>
      </c>
    </row>
    <row r="79">
      <c r="A79" s="198" t="inlineStr">
        <is>
          <t>非流动负债：</t>
        </is>
      </c>
    </row>
    <row r="80">
      <c r="A80" s="197" t="inlineStr">
        <is>
          <t xml:space="preserve">    长期借款</t>
        </is>
      </c>
      <c r="B80" s="201" t="n">
        <v>11711339500</v>
      </c>
      <c r="C80" s="201" t="n">
        <v>10619019100</v>
      </c>
      <c r="D80" s="201" t="n">
        <v>10820969300</v>
      </c>
      <c r="E80" s="201" t="n">
        <v>11324293265</v>
      </c>
    </row>
    <row r="81">
      <c r="A81" s="197" t="inlineStr">
        <is>
          <t xml:space="preserve">    应付债券</t>
        </is>
      </c>
      <c r="B81" s="201" t="n">
        <v>1629235030.28</v>
      </c>
      <c r="C81" s="201" t="n">
        <v>2529125115.13</v>
      </c>
      <c r="D81" s="201" t="n">
        <v>2690000000</v>
      </c>
      <c r="E81" s="201" t="n">
        <v>1290000000</v>
      </c>
    </row>
    <row r="82">
      <c r="A82" s="197" t="inlineStr">
        <is>
          <t xml:space="preserve">    租赁负债</t>
        </is>
      </c>
    </row>
    <row r="83">
      <c r="A83" s="197" t="inlineStr">
        <is>
          <t xml:space="preserve">        长期应付款(合计)</t>
        </is>
      </c>
    </row>
    <row r="84">
      <c r="A84" s="197" t="inlineStr">
        <is>
          <t xml:space="preserve">    长期应付职工薪酬</t>
        </is>
      </c>
    </row>
    <row r="85">
      <c r="A85" s="197" t="inlineStr">
        <is>
          <t xml:space="preserve">    预计负债</t>
        </is>
      </c>
    </row>
    <row r="86">
      <c r="A86" s="197" t="inlineStr">
        <is>
          <t xml:space="preserve">    递延所得税负债</t>
        </is>
      </c>
      <c r="B86" s="201" t="n">
        <v>309884594.05</v>
      </c>
      <c r="C86" s="201" t="n">
        <v>309907869.05</v>
      </c>
      <c r="D86" s="201" t="n">
        <v>303410975.49</v>
      </c>
      <c r="E86" s="201" t="n">
        <v>299089463.99</v>
      </c>
    </row>
    <row r="87">
      <c r="A87" s="197" t="inlineStr">
        <is>
          <t xml:space="preserve">    递延收益-非流动负债</t>
        </is>
      </c>
    </row>
    <row r="88">
      <c r="A88" s="197" t="inlineStr">
        <is>
          <t xml:space="preserve">    其他非流动负债</t>
        </is>
      </c>
    </row>
    <row r="89">
      <c r="A89" s="197" t="inlineStr">
        <is>
          <t xml:space="preserve">    非流动负债差额(特殊报表科目)</t>
        </is>
      </c>
    </row>
    <row r="90">
      <c r="A90" s="197" t="inlineStr">
        <is>
          <t xml:space="preserve">    非流动负债差额(合计平衡项目)</t>
        </is>
      </c>
    </row>
    <row r="91">
      <c r="A91" s="198" t="inlineStr">
        <is>
          <t xml:space="preserve">    非流动负债合计</t>
        </is>
      </c>
      <c r="B91" s="201" t="n">
        <v>13650459124.33</v>
      </c>
      <c r="C91" s="201" t="n">
        <v>13458052084.18</v>
      </c>
      <c r="D91" s="201" t="n">
        <v>13814380275.49</v>
      </c>
      <c r="E91" s="201" t="n">
        <v>12913382728.99</v>
      </c>
    </row>
    <row r="92">
      <c r="A92" s="197" t="inlineStr">
        <is>
          <t xml:space="preserve">    负债差额(特殊报表科目)</t>
        </is>
      </c>
    </row>
    <row r="93">
      <c r="A93" s="197" t="inlineStr">
        <is>
          <t xml:space="preserve">    负债差额(合计平衡项目)</t>
        </is>
      </c>
    </row>
    <row r="94">
      <c r="A94" s="198" t="inlineStr">
        <is>
          <t xml:space="preserve">    负债合计</t>
        </is>
      </c>
      <c r="B94" s="201" t="n">
        <v>20651127126.59</v>
      </c>
      <c r="C94" s="201" t="n">
        <v>18780653924.94</v>
      </c>
      <c r="D94" s="201" t="n">
        <v>18621174310.25</v>
      </c>
      <c r="E94" s="201" t="n">
        <v>19059997294.03</v>
      </c>
    </row>
    <row r="95">
      <c r="A95" s="198" t="inlineStr">
        <is>
          <t>所有者权益(或股东权益)：</t>
        </is>
      </c>
    </row>
    <row r="96">
      <c r="A96" s="197" t="inlineStr">
        <is>
          <t xml:space="preserve">    实收资本(或股本)</t>
        </is>
      </c>
      <c r="B96" s="201" t="n">
        <v>5000000000</v>
      </c>
      <c r="C96" s="201" t="n">
        <v>5000000000</v>
      </c>
      <c r="D96" s="201" t="n">
        <v>5000000000</v>
      </c>
      <c r="E96" s="201" t="n">
        <v>5000000000</v>
      </c>
    </row>
    <row r="97">
      <c r="A97" s="197" t="inlineStr">
        <is>
          <t xml:space="preserve">    其它权益工具</t>
        </is>
      </c>
    </row>
    <row r="98">
      <c r="A98" s="197" t="inlineStr">
        <is>
          <t xml:space="preserve">        其中：优先股</t>
        </is>
      </c>
    </row>
    <row r="99">
      <c r="A99" s="197" t="inlineStr">
        <is>
          <t xml:space="preserve">                    永续债</t>
        </is>
      </c>
    </row>
    <row r="100">
      <c r="A100" s="197" t="inlineStr">
        <is>
          <t xml:space="preserve">    资本公积金</t>
        </is>
      </c>
      <c r="B100" s="201" t="n">
        <v>5112102959.02</v>
      </c>
      <c r="C100" s="201" t="n">
        <v>5112102959.02</v>
      </c>
      <c r="D100" s="201" t="n">
        <v>5112975470.2</v>
      </c>
      <c r="E100" s="201" t="n">
        <v>4206123659.88</v>
      </c>
    </row>
    <row r="101">
      <c r="A101" s="197" t="inlineStr">
        <is>
          <t xml:space="preserve">    减：库存股</t>
        </is>
      </c>
    </row>
    <row r="102">
      <c r="A102" s="197" t="inlineStr">
        <is>
          <t xml:space="preserve">    其它综合收益</t>
        </is>
      </c>
      <c r="B102" s="201" t="n">
        <v>1121080.68</v>
      </c>
      <c r="C102" s="201" t="n">
        <v>1121080.68</v>
      </c>
    </row>
    <row r="103">
      <c r="A103" s="197" t="inlineStr">
        <is>
          <t xml:space="preserve">    专项储备</t>
        </is>
      </c>
    </row>
    <row r="104">
      <c r="A104" s="197" t="inlineStr">
        <is>
          <t xml:space="preserve">    盈余公积金</t>
        </is>
      </c>
      <c r="B104" s="201" t="n">
        <v>73594417.2</v>
      </c>
      <c r="C104" s="201" t="n">
        <v>73594417.2</v>
      </c>
      <c r="D104" s="201" t="n">
        <v>63625119.78</v>
      </c>
      <c r="E104" s="201" t="n">
        <v>53461949.12</v>
      </c>
    </row>
    <row r="105">
      <c r="A105" s="197" t="inlineStr">
        <is>
          <t xml:space="preserve">    一般风险准备</t>
        </is>
      </c>
    </row>
    <row r="106">
      <c r="A106" s="197" t="inlineStr">
        <is>
          <t xml:space="preserve">    未分配利润</t>
        </is>
      </c>
      <c r="B106" s="201" t="n">
        <v>2914776287.8</v>
      </c>
      <c r="C106" s="201" t="n">
        <v>2737926005.07</v>
      </c>
      <c r="D106" s="201" t="n">
        <v>2393279836.21</v>
      </c>
      <c r="E106" s="201" t="n">
        <v>2051239103.95</v>
      </c>
    </row>
    <row r="107">
      <c r="A107" s="197" t="inlineStr">
        <is>
          <t xml:space="preserve">    外币报表折算差额</t>
        </is>
      </c>
    </row>
    <row r="108">
      <c r="A108" s="197" t="inlineStr">
        <is>
          <t xml:space="preserve">    未确认的投资损失</t>
        </is>
      </c>
    </row>
    <row r="109">
      <c r="A109" s="197" t="inlineStr">
        <is>
          <t xml:space="preserve">    股东权益差额(特殊报表科目)</t>
        </is>
      </c>
    </row>
    <row r="110">
      <c r="A110" s="197" t="inlineStr">
        <is>
          <t xml:space="preserve">    股权权益差额(合计平衡项目)</t>
        </is>
      </c>
    </row>
    <row r="111">
      <c r="A111" s="198" t="inlineStr">
        <is>
          <t xml:space="preserve">    归属于母公司所有者权益合计</t>
        </is>
      </c>
      <c r="B111" s="201" t="n">
        <v>13101594744.7</v>
      </c>
      <c r="C111" s="201" t="n">
        <v>12924744461.97</v>
      </c>
      <c r="D111" s="201" t="n">
        <v>12569880426.19</v>
      </c>
      <c r="E111" s="201" t="n">
        <v>11310824712.95</v>
      </c>
    </row>
    <row r="112">
      <c r="A112" s="197" t="inlineStr">
        <is>
          <t xml:space="preserve">    少数股东权益</t>
        </is>
      </c>
      <c r="B112" s="201" t="n">
        <v>639310747.2</v>
      </c>
      <c r="C112" s="201" t="n">
        <v>635543070.67</v>
      </c>
      <c r="D112" s="201" t="n">
        <v>596473702.21</v>
      </c>
      <c r="E112" s="201" t="n">
        <v>553143089.16</v>
      </c>
    </row>
    <row r="113">
      <c r="A113" s="198" t="inlineStr">
        <is>
          <t xml:space="preserve">    所有者权益合计</t>
        </is>
      </c>
      <c r="B113" s="201" t="n">
        <v>13740905491.9</v>
      </c>
      <c r="C113" s="201" t="n">
        <v>13560287532.64</v>
      </c>
      <c r="D113" s="201" t="n">
        <v>13166354128.4</v>
      </c>
      <c r="E113" s="201" t="n">
        <v>11863967802.11</v>
      </c>
    </row>
    <row r="114">
      <c r="A114" s="197" t="inlineStr">
        <is>
          <t>负债及股东权益差额(特殊报表项目)</t>
        </is>
      </c>
    </row>
    <row r="115">
      <c r="A115" s="197" t="inlineStr">
        <is>
          <t>负债及股东权益差额(合计平衡项目)</t>
        </is>
      </c>
    </row>
    <row r="116">
      <c r="A116" s="197" t="inlineStr">
        <is>
          <t>负债和所有者权益总计</t>
        </is>
      </c>
      <c r="B116" s="201" t="n">
        <v>34392032618.49</v>
      </c>
      <c r="C116" s="201" t="n">
        <v>32340941457.58</v>
      </c>
      <c r="D116" s="201" t="n">
        <v>31787528438.65</v>
      </c>
      <c r="E116" s="201" t="n">
        <v>30923965096.14</v>
      </c>
    </row>
    <row r="117">
      <c r="A117" s="197" t="inlineStr">
        <is>
          <t>显示币种</t>
        </is>
      </c>
      <c r="B117" s="197" t="inlineStr">
        <is>
          <t>CNY</t>
        </is>
      </c>
      <c r="C117" s="197" t="inlineStr">
        <is>
          <t>CNY</t>
        </is>
      </c>
      <c r="D117" s="197" t="inlineStr">
        <is>
          <t>CNY</t>
        </is>
      </c>
      <c r="E117" s="197" t="inlineStr">
        <is>
          <t>CNY</t>
        </is>
      </c>
    </row>
    <row r="118">
      <c r="A118" s="197" t="inlineStr">
        <is>
          <t>原始币种</t>
        </is>
      </c>
      <c r="B118" s="197" t="inlineStr">
        <is>
          <t>CNY</t>
        </is>
      </c>
      <c r="C118" s="197" t="inlineStr">
        <is>
          <t>CNY</t>
        </is>
      </c>
      <c r="D118" s="197" t="inlineStr">
        <is>
          <t>CNY</t>
        </is>
      </c>
      <c r="E118" s="197" t="inlineStr">
        <is>
          <t>CNY</t>
        </is>
      </c>
    </row>
    <row r="119">
      <c r="A119" s="197" t="inlineStr">
        <is>
          <t>转换汇率</t>
        </is>
      </c>
      <c r="B119" s="202" t="n">
        <v>1</v>
      </c>
      <c r="C119" s="202" t="n">
        <v>1</v>
      </c>
      <c r="D119" s="202" t="n">
        <v>1</v>
      </c>
      <c r="E119" s="202" t="n">
        <v>1</v>
      </c>
    </row>
    <row r="120">
      <c r="A120" s="197" t="inlineStr">
        <is>
          <t>汇率类型</t>
        </is>
      </c>
      <c r="B120" s="197" t="inlineStr">
        <is>
          <t>期末汇率</t>
        </is>
      </c>
      <c r="C120" s="197" t="inlineStr">
        <is>
          <t>期末汇率</t>
        </is>
      </c>
      <c r="D120" s="197" t="inlineStr">
        <is>
          <t>期末汇率</t>
        </is>
      </c>
      <c r="E120" s="197" t="inlineStr">
        <is>
          <t>期末汇率</t>
        </is>
      </c>
    </row>
    <row r="121">
      <c r="A121" s="197" t="inlineStr">
        <is>
          <t>税率</t>
        </is>
      </c>
      <c r="D121" s="201" t="n">
        <v>25</v>
      </c>
    </row>
    <row r="122">
      <c r="A122" s="197" t="inlineStr">
        <is>
          <t>税率说明</t>
        </is>
      </c>
    </row>
    <row r="123">
      <c r="A123" s="197" t="inlineStr">
        <is>
          <t>审计意见(境内)</t>
        </is>
      </c>
      <c r="C123" s="197" t="inlineStr">
        <is>
          <t>标准无保留意见</t>
        </is>
      </c>
      <c r="D123" s="197" t="inlineStr">
        <is>
          <t>标准无保留意见</t>
        </is>
      </c>
      <c r="E123" s="197" t="inlineStr">
        <is>
          <t>标准无保留意见</t>
        </is>
      </c>
    </row>
    <row r="124">
      <c r="A124" s="197" t="inlineStr">
        <is>
          <t>审计意见(境外)</t>
        </is>
      </c>
    </row>
    <row r="125">
      <c r="A125" s="197" t="inlineStr">
        <is>
          <t>调整原因</t>
        </is>
      </c>
    </row>
    <row r="126">
      <c r="A126" s="197" t="inlineStr">
        <is>
          <t>调整说明</t>
        </is>
      </c>
    </row>
    <row r="127">
      <c r="A127" s="197" t="inlineStr">
        <is>
          <t>公告日期</t>
        </is>
      </c>
      <c r="B127" s="197" t="inlineStr">
        <is>
          <t>2023-08-31</t>
        </is>
      </c>
      <c r="C127" s="197" t="inlineStr">
        <is>
          <t>2023-04-28</t>
        </is>
      </c>
      <c r="D127" s="197" t="inlineStr">
        <is>
          <t>2022-04-29</t>
        </is>
      </c>
      <c r="E127" s="197" t="inlineStr">
        <is>
          <t>2021-04-30</t>
        </is>
      </c>
    </row>
    <row r="128">
      <c r="A128" s="197" t="inlineStr">
        <is>
          <t>数据来源</t>
        </is>
      </c>
      <c r="B128" s="197" t="inlineStr">
        <is>
          <t>公司公告值</t>
        </is>
      </c>
      <c r="C128" s="197" t="inlineStr">
        <is>
          <t>公司公告值</t>
        </is>
      </c>
      <c r="D128" s="197" t="inlineStr">
        <is>
          <t>公司公告值</t>
        </is>
      </c>
      <c r="E128" s="197" t="inlineStr">
        <is>
          <t>公司公告值</t>
        </is>
      </c>
    </row>
    <row r="131">
      <c r="A131" s="197" t="inlineStr">
        <is>
          <t>数据来源：Wind</t>
        </is>
      </c>
    </row>
  </sheetData>
  <pageMargins left="0.75" right="0.75" top="1" bottom="1" header="0.5" footer="0.5"/>
  <pageSetup orientation="portrait" paperSize="1"/>
</worksheet>
</file>

<file path=xl/worksheets/sheet2.xml><?xml version="1.0" encoding="utf-8"?>
<worksheet xmlns="http://schemas.openxmlformats.org/spreadsheetml/2006/main">
  <sheetPr codeName="Sheet9">
    <outlinePr summaryBelow="1" summaryRight="1"/>
    <pageSetUpPr/>
  </sheetPr>
  <dimension ref="A1:E66"/>
  <sheetViews>
    <sheetView workbookViewId="0">
      <pane xSplit="1" ySplit="1" topLeftCell="B2" activePane="bottomRight" state="frozen"/>
      <selection activeCell="A1" sqref="A1"/>
      <selection pane="topRight" activeCell="A1" sqref="A1"/>
      <selection pane="bottomLeft" activeCell="A1" sqref="A1"/>
      <selection pane="bottomRight" activeCell="A1" sqref="A1"/>
    </sheetView>
  </sheetViews>
  <sheetFormatPr baseColWidth="8" defaultColWidth="9.142857142857141" defaultRowHeight="16.8"/>
  <cols>
    <col width="67.1428571428571" customWidth="1" style="197" min="1" max="1"/>
    <col width="19.4285714285714" customWidth="1" style="197" min="2" max="5"/>
    <col width="9.142857142857141" customWidth="1" style="197" min="6" max="16384"/>
  </cols>
  <sheetData>
    <row r="1">
      <c r="A1" s="197" t="inlineStr">
        <is>
          <t>22无锡山水SCP001[012283707.IB] - 利润表 (单位 : 元 , CNY  )</t>
        </is>
      </c>
      <c r="B1" s="197" t="inlineStr">
        <is>
          <t>2023-06-30</t>
        </is>
      </c>
      <c r="C1" s="197" t="inlineStr">
        <is>
          <t>2022-12-31</t>
        </is>
      </c>
      <c r="D1" s="197" t="inlineStr">
        <is>
          <t>2021-12-31</t>
        </is>
      </c>
      <c r="E1" s="197" t="inlineStr">
        <is>
          <t>2020-12-31</t>
        </is>
      </c>
    </row>
    <row r="2">
      <c r="A2" s="197" t="inlineStr">
        <is>
          <t>报告期</t>
        </is>
      </c>
      <c r="B2" s="197" t="inlineStr">
        <is>
          <t>中报</t>
        </is>
      </c>
      <c r="C2" s="197" t="inlineStr">
        <is>
          <t>年报</t>
        </is>
      </c>
      <c r="D2" s="197" t="inlineStr">
        <is>
          <t>年报</t>
        </is>
      </c>
      <c r="E2" s="197" t="inlineStr">
        <is>
          <t>年报</t>
        </is>
      </c>
    </row>
    <row r="3">
      <c r="A3" s="197" t="inlineStr">
        <is>
          <t>报表类型</t>
        </is>
      </c>
      <c r="B3" s="197" t="inlineStr">
        <is>
          <t>合并报表</t>
        </is>
      </c>
      <c r="C3" s="197" t="inlineStr">
        <is>
          <t>合并报表</t>
        </is>
      </c>
      <c r="D3" s="197" t="inlineStr">
        <is>
          <t>合并报表</t>
        </is>
      </c>
      <c r="E3" s="197" t="inlineStr">
        <is>
          <t>合并报表</t>
        </is>
      </c>
    </row>
    <row r="4">
      <c r="A4" s="198" t="inlineStr">
        <is>
          <t xml:space="preserve">    营业总收入</t>
        </is>
      </c>
      <c r="B4" s="201" t="n">
        <v>1152767947.39</v>
      </c>
      <c r="C4" s="201" t="n">
        <v>2311679078.3</v>
      </c>
      <c r="D4" s="201" t="n">
        <v>2314271461.3</v>
      </c>
      <c r="E4" s="201" t="n">
        <v>2221450533.82</v>
      </c>
    </row>
    <row r="5">
      <c r="A5" s="197" t="inlineStr">
        <is>
          <t xml:space="preserve">    营业收入</t>
        </is>
      </c>
      <c r="B5" s="201" t="n">
        <v>1152767947.39</v>
      </c>
      <c r="C5" s="201" t="n">
        <v>2311679078.3</v>
      </c>
      <c r="D5" s="201" t="n">
        <v>2314271461.3</v>
      </c>
      <c r="E5" s="201" t="n">
        <v>2221450533.82</v>
      </c>
    </row>
    <row r="6">
      <c r="A6" s="197" t="inlineStr">
        <is>
          <t xml:space="preserve">        其他类金融业务收入</t>
        </is>
      </c>
    </row>
    <row r="7">
      <c r="A7" s="198" t="inlineStr">
        <is>
          <t>营业总成本</t>
        </is>
      </c>
      <c r="B7" s="201" t="n">
        <v>1058375385.26</v>
      </c>
      <c r="C7" s="201" t="n">
        <v>2123514528.1</v>
      </c>
      <c r="D7" s="201" t="n">
        <v>2089439650.12</v>
      </c>
      <c r="E7" s="201" t="n">
        <v>2047348948.63</v>
      </c>
    </row>
    <row r="8">
      <c r="A8" s="197" t="inlineStr">
        <is>
          <t xml:space="preserve">        营业成本</t>
        </is>
      </c>
      <c r="B8" s="201" t="n">
        <v>997805867.38</v>
      </c>
      <c r="C8" s="201" t="n">
        <v>1993923949.24</v>
      </c>
      <c r="D8" s="201" t="n">
        <v>1938238326.27</v>
      </c>
      <c r="E8" s="201" t="n">
        <v>1916787101.65</v>
      </c>
    </row>
    <row r="9">
      <c r="A9" s="197" t="inlineStr">
        <is>
          <t xml:space="preserve">    税金及附加</t>
        </is>
      </c>
      <c r="B9" s="201" t="n">
        <v>8892612.560000001</v>
      </c>
      <c r="C9" s="201" t="n">
        <v>21775337.57</v>
      </c>
      <c r="D9" s="201" t="n">
        <v>25224846.26</v>
      </c>
      <c r="E9" s="201" t="n">
        <v>21428259.45</v>
      </c>
    </row>
    <row r="10">
      <c r="A10" s="197" t="inlineStr">
        <is>
          <t xml:space="preserve">    销售费用</t>
        </is>
      </c>
      <c r="B10" s="201" t="n">
        <v>1469863.33</v>
      </c>
      <c r="C10" s="201" t="n">
        <v>1937914.65</v>
      </c>
      <c r="D10" s="201" t="n">
        <v>1713769</v>
      </c>
      <c r="E10" s="201" t="n">
        <v>1224615.16</v>
      </c>
    </row>
    <row r="11">
      <c r="A11" s="197" t="inlineStr">
        <is>
          <t xml:space="preserve">    管理费用</t>
        </is>
      </c>
      <c r="B11" s="201" t="n">
        <v>56081912.21</v>
      </c>
      <c r="C11" s="201" t="n">
        <v>114770889.41</v>
      </c>
      <c r="D11" s="201" t="n">
        <v>129373343.88</v>
      </c>
      <c r="E11" s="201" t="n">
        <v>115760906.82</v>
      </c>
    </row>
    <row r="12">
      <c r="A12" s="197" t="inlineStr">
        <is>
          <t xml:space="preserve">    研发费用</t>
        </is>
      </c>
    </row>
    <row r="13">
      <c r="A13" s="197" t="inlineStr">
        <is>
          <t xml:space="preserve">    财务费用</t>
        </is>
      </c>
      <c r="B13" s="201" t="n">
        <v>-5874870.22</v>
      </c>
      <c r="C13" s="201" t="n">
        <v>-8893562.77</v>
      </c>
      <c r="D13" s="201" t="n">
        <v>-5110635.29</v>
      </c>
      <c r="E13" s="201" t="n">
        <v>-7851934.45</v>
      </c>
    </row>
    <row r="14">
      <c r="A14" s="197" t="inlineStr">
        <is>
          <t xml:space="preserve">        其中：利息费用</t>
        </is>
      </c>
      <c r="B14" s="201" t="n">
        <v>7920541.35</v>
      </c>
      <c r="C14" s="201" t="n">
        <v>17656979.57</v>
      </c>
      <c r="D14" s="201" t="n">
        <v>6803683.65</v>
      </c>
      <c r="E14" s="201" t="n">
        <v>6714085.27</v>
      </c>
    </row>
    <row r="15">
      <c r="A15" s="197" t="inlineStr">
        <is>
          <t xml:space="preserve">                    减：利息收入</t>
        </is>
      </c>
      <c r="B15" s="201" t="n">
        <v>14914657.52</v>
      </c>
      <c r="C15" s="201" t="n">
        <v>36979824.76</v>
      </c>
      <c r="D15" s="201" t="n">
        <v>17400177.75</v>
      </c>
      <c r="E15" s="201" t="n">
        <v>19201696.72</v>
      </c>
    </row>
    <row r="16">
      <c r="A16" s="197" t="inlineStr">
        <is>
          <t xml:space="preserve">        其他业务成本(金融类)</t>
        </is>
      </c>
    </row>
    <row r="17">
      <c r="A17" s="197" t="inlineStr">
        <is>
          <t xml:space="preserve">    加：其他收益</t>
        </is>
      </c>
      <c r="B17" s="201" t="n">
        <v>84500000</v>
      </c>
      <c r="C17" s="201" t="n">
        <v>181237224.35</v>
      </c>
      <c r="D17" s="201" t="n">
        <v>179032787.64</v>
      </c>
      <c r="E17" s="201" t="n">
        <v>179064093</v>
      </c>
    </row>
    <row r="18">
      <c r="A18" s="197" t="inlineStr">
        <is>
          <t xml:space="preserve">    投资净收益</t>
        </is>
      </c>
      <c r="B18" s="201" t="n">
        <v>1203278.29</v>
      </c>
      <c r="C18" s="201" t="n">
        <v>1515042.18</v>
      </c>
      <c r="D18" s="201" t="n">
        <v>330357.83</v>
      </c>
      <c r="E18" s="201" t="n">
        <v>55609044.96</v>
      </c>
    </row>
    <row r="19">
      <c r="A19" s="197" t="inlineStr">
        <is>
          <t xml:space="preserve">        其中：对联营企业和合营企业的投资收益</t>
        </is>
      </c>
    </row>
    <row r="20">
      <c r="A20" s="197" t="inlineStr">
        <is>
          <t xml:space="preserve">                    以摊余成本计量的金融资产终止确认收益</t>
        </is>
      </c>
    </row>
    <row r="21">
      <c r="A21" s="197" t="inlineStr">
        <is>
          <t xml:space="preserve">    净敞口套期收益</t>
        </is>
      </c>
    </row>
    <row r="22">
      <c r="A22" s="197" t="inlineStr">
        <is>
          <t xml:space="preserve">    公允价值变动净收益</t>
        </is>
      </c>
      <c r="B22" s="201" t="n">
        <v>305900</v>
      </c>
      <c r="C22" s="201" t="n">
        <v>24340800</v>
      </c>
      <c r="D22" s="201" t="n">
        <v>17156846</v>
      </c>
      <c r="E22" s="201" t="n">
        <v>6542299</v>
      </c>
    </row>
    <row r="23">
      <c r="A23" s="197" t="inlineStr">
        <is>
          <t xml:space="preserve">    资产减值损失</t>
        </is>
      </c>
      <c r="E23" s="201" t="n">
        <v>-720657.9399999999</v>
      </c>
    </row>
    <row r="24">
      <c r="A24" s="197" t="inlineStr">
        <is>
          <t xml:space="preserve">    信用减值损失</t>
        </is>
      </c>
      <c r="B24" s="201" t="n">
        <v>-515802.27</v>
      </c>
      <c r="C24" s="201" t="n">
        <v>-115747.94</v>
      </c>
      <c r="D24" s="201" t="n">
        <v>1924136.48</v>
      </c>
    </row>
    <row r="25">
      <c r="A25" s="197" t="inlineStr">
        <is>
          <t xml:space="preserve">    资产处置收益</t>
        </is>
      </c>
      <c r="C25" s="201" t="n">
        <v>925366.15</v>
      </c>
      <c r="D25" s="201" t="n">
        <v>-1424081.07</v>
      </c>
    </row>
    <row r="26">
      <c r="A26" s="197" t="inlineStr">
        <is>
          <t xml:space="preserve">    汇兑净收益</t>
        </is>
      </c>
    </row>
    <row r="27">
      <c r="A27" s="197" t="inlineStr">
        <is>
          <t xml:space="preserve">    加：营业利润差额(特殊报表科目)</t>
        </is>
      </c>
    </row>
    <row r="28">
      <c r="A28" s="197" t="inlineStr">
        <is>
          <t xml:space="preserve">            营业利润差额(合计平衡项目)</t>
        </is>
      </c>
    </row>
    <row r="29">
      <c r="A29" s="198" t="inlineStr">
        <is>
          <t>营业利润</t>
        </is>
      </c>
      <c r="B29" s="201" t="n">
        <v>179885938.15</v>
      </c>
      <c r="C29" s="201" t="n">
        <v>396067234.94</v>
      </c>
      <c r="D29" s="201" t="n">
        <v>421851858.06</v>
      </c>
      <c r="E29" s="201" t="n">
        <v>414596364.21</v>
      </c>
    </row>
    <row r="30">
      <c r="A30" s="197" t="inlineStr">
        <is>
          <t xml:space="preserve">    加：营业外收入</t>
        </is>
      </c>
      <c r="B30" s="201" t="n">
        <v>3159408.51</v>
      </c>
      <c r="C30" s="201" t="n">
        <v>24891248.92</v>
      </c>
      <c r="D30" s="201" t="n">
        <v>10368861.98</v>
      </c>
      <c r="E30" s="201" t="n">
        <v>3214830.28</v>
      </c>
    </row>
    <row r="31">
      <c r="A31" s="197" t="inlineStr">
        <is>
          <t xml:space="preserve">    减：营业外支出</t>
        </is>
      </c>
      <c r="B31" s="201" t="n">
        <v>939695.16</v>
      </c>
      <c r="C31" s="201" t="n">
        <v>9085871.460000001</v>
      </c>
      <c r="D31" s="201" t="n">
        <v>2963708.82</v>
      </c>
      <c r="E31" s="201" t="n">
        <v>524551.9</v>
      </c>
    </row>
    <row r="32">
      <c r="A32" s="197" t="inlineStr">
        <is>
          <t xml:space="preserve">            其中：非流动资产处置净损失</t>
        </is>
      </c>
    </row>
    <row r="33">
      <c r="A33" s="197" t="inlineStr">
        <is>
          <t xml:space="preserve">    加：利润总额差额(特殊报表科目)</t>
        </is>
      </c>
    </row>
    <row r="34">
      <c r="A34" s="197" t="inlineStr">
        <is>
          <t xml:space="preserve">            利润总额差额(合计平衡项目)</t>
        </is>
      </c>
    </row>
    <row r="35">
      <c r="A35" s="198" t="inlineStr">
        <is>
          <t>利润总额</t>
        </is>
      </c>
      <c r="B35" s="201" t="n">
        <v>182105651.5</v>
      </c>
      <c r="C35" s="201" t="n">
        <v>411872612.4</v>
      </c>
      <c r="D35" s="201" t="n">
        <v>429257011.22</v>
      </c>
      <c r="E35" s="201" t="n">
        <v>417286642.59</v>
      </c>
    </row>
    <row r="36">
      <c r="A36" s="197" t="inlineStr">
        <is>
          <t xml:space="preserve">    减：所得税</t>
        </is>
      </c>
      <c r="B36" s="201" t="n">
        <v>1487692.24</v>
      </c>
      <c r="C36" s="201" t="n">
        <v>18387777.68</v>
      </c>
      <c r="D36" s="201" t="n">
        <v>34457495.25</v>
      </c>
      <c r="E36" s="201" t="n">
        <v>33984825.78</v>
      </c>
    </row>
    <row r="37">
      <c r="A37" s="197" t="inlineStr">
        <is>
          <t xml:space="preserve">    加：未确认的投资损失</t>
        </is>
      </c>
    </row>
    <row r="38">
      <c r="A38" s="197" t="inlineStr">
        <is>
          <t xml:space="preserve">    加：净利润差额(特殊报表科目)</t>
        </is>
      </c>
    </row>
    <row r="39">
      <c r="A39" s="197" t="inlineStr">
        <is>
          <t xml:space="preserve">            净利润差额(合计平衡项目)</t>
        </is>
      </c>
    </row>
    <row r="40">
      <c r="A40" s="198" t="inlineStr">
        <is>
          <t>净利润</t>
        </is>
      </c>
      <c r="B40" s="201" t="n">
        <v>180617959.26</v>
      </c>
      <c r="C40" s="201" t="n">
        <v>393484834.72</v>
      </c>
      <c r="D40" s="201" t="n">
        <v>394799515.97</v>
      </c>
      <c r="E40" s="201" t="n">
        <v>383301816.81</v>
      </c>
    </row>
    <row r="41">
      <c r="A41" s="197" t="inlineStr">
        <is>
          <t xml:space="preserve">    持续经营净利润</t>
        </is>
      </c>
      <c r="B41" s="201" t="n">
        <v>180617959.26</v>
      </c>
      <c r="C41" s="201" t="n">
        <v>393484834.72</v>
      </c>
      <c r="D41" s="201" t="n">
        <v>394799515.97</v>
      </c>
      <c r="E41" s="201" t="n">
        <v>383301816.81</v>
      </c>
    </row>
    <row r="42">
      <c r="A42" s="197" t="inlineStr">
        <is>
          <t xml:space="preserve">    终止经营净利润</t>
        </is>
      </c>
    </row>
    <row r="43">
      <c r="A43" s="197" t="inlineStr">
        <is>
          <t xml:space="preserve">    减：少数股东损益</t>
        </is>
      </c>
      <c r="B43" s="201" t="n">
        <v>3767676.53</v>
      </c>
      <c r="C43" s="201" t="n">
        <v>38869368.44</v>
      </c>
      <c r="D43" s="201" t="n">
        <v>42595613.05</v>
      </c>
      <c r="E43" s="201" t="n">
        <v>24613295.78</v>
      </c>
    </row>
    <row r="44">
      <c r="A44" s="197" t="inlineStr">
        <is>
          <t xml:space="preserve">    归属于母公司所有者的净利润</t>
        </is>
      </c>
      <c r="B44" s="201" t="n">
        <v>176850282.73</v>
      </c>
      <c r="C44" s="201" t="n">
        <v>354615466.28</v>
      </c>
      <c r="D44" s="201" t="n">
        <v>352203902.92</v>
      </c>
      <c r="E44" s="201" t="n">
        <v>358688521.03</v>
      </c>
    </row>
    <row r="45">
      <c r="A45" s="197" t="inlineStr">
        <is>
          <t xml:space="preserve">    加：其他综合收益</t>
        </is>
      </c>
      <c r="C45" s="201" t="n">
        <v>1121080.68</v>
      </c>
    </row>
    <row r="46">
      <c r="A46" s="198" t="inlineStr">
        <is>
          <t>综合收益总额</t>
        </is>
      </c>
      <c r="B46" s="201" t="n">
        <v>180617959.26</v>
      </c>
      <c r="C46" s="201" t="n">
        <v>394605915.4</v>
      </c>
      <c r="D46" s="201" t="n">
        <v>394799515.97</v>
      </c>
      <c r="E46" s="201" t="n">
        <v>383301816.81</v>
      </c>
    </row>
    <row r="47">
      <c r="A47" s="197" t="inlineStr">
        <is>
          <t xml:space="preserve">    减：归属于少数股东的综合收益总额</t>
        </is>
      </c>
      <c r="B47" s="201" t="n">
        <v>3767676.53</v>
      </c>
      <c r="C47" s="201" t="n">
        <v>38869368.44</v>
      </c>
      <c r="D47" s="201" t="n">
        <v>42595613.05</v>
      </c>
      <c r="E47" s="201" t="n">
        <v>24613295.78</v>
      </c>
    </row>
    <row r="48">
      <c r="A48" s="197" t="inlineStr">
        <is>
          <t xml:space="preserve">    归属于母公司普通股东综合收益总额</t>
        </is>
      </c>
      <c r="B48" s="201" t="n">
        <v>176850282.73</v>
      </c>
      <c r="C48" s="201" t="n">
        <v>355736546.96</v>
      </c>
      <c r="D48" s="201" t="n">
        <v>352203902.92</v>
      </c>
      <c r="E48" s="201" t="n">
        <v>358688521.03</v>
      </c>
    </row>
    <row r="49">
      <c r="A49" s="198" t="inlineStr">
        <is>
          <t>每股收益：</t>
        </is>
      </c>
    </row>
    <row r="50">
      <c r="A50" s="197" t="inlineStr">
        <is>
          <t xml:space="preserve">    基本每股收益</t>
        </is>
      </c>
    </row>
    <row r="51">
      <c r="A51" s="197" t="inlineStr">
        <is>
          <t xml:space="preserve">    稀释每股收益</t>
        </is>
      </c>
    </row>
    <row r="52">
      <c r="A52" s="197" t="inlineStr">
        <is>
          <t>显示币种</t>
        </is>
      </c>
      <c r="B52" s="197" t="inlineStr">
        <is>
          <t>CNY</t>
        </is>
      </c>
      <c r="C52" s="197" t="inlineStr">
        <is>
          <t>CNY</t>
        </is>
      </c>
      <c r="D52" s="197" t="inlineStr">
        <is>
          <t>CNY</t>
        </is>
      </c>
      <c r="E52" s="197" t="inlineStr">
        <is>
          <t>CNY</t>
        </is>
      </c>
    </row>
    <row r="53">
      <c r="A53" s="197" t="inlineStr">
        <is>
          <t>原始币种</t>
        </is>
      </c>
      <c r="B53" s="197" t="inlineStr">
        <is>
          <t>CNY</t>
        </is>
      </c>
      <c r="C53" s="197" t="inlineStr">
        <is>
          <t>CNY</t>
        </is>
      </c>
      <c r="D53" s="197" t="inlineStr">
        <is>
          <t>CNY</t>
        </is>
      </c>
      <c r="E53" s="197" t="inlineStr">
        <is>
          <t>CNY</t>
        </is>
      </c>
    </row>
    <row r="54">
      <c r="A54" s="197" t="inlineStr">
        <is>
          <t>转换汇率</t>
        </is>
      </c>
      <c r="B54" s="202" t="n">
        <v>1</v>
      </c>
      <c r="C54" s="202" t="n">
        <v>1</v>
      </c>
      <c r="D54" s="202" t="n">
        <v>1</v>
      </c>
      <c r="E54" s="202" t="n">
        <v>1</v>
      </c>
    </row>
    <row r="55">
      <c r="A55" s="197" t="inlineStr">
        <is>
          <t>利率类型</t>
        </is>
      </c>
      <c r="B55" s="197" t="inlineStr">
        <is>
          <t>期末汇率</t>
        </is>
      </c>
      <c r="C55" s="197" t="inlineStr">
        <is>
          <t>期末汇率</t>
        </is>
      </c>
      <c r="D55" s="197" t="inlineStr">
        <is>
          <t>期末汇率</t>
        </is>
      </c>
      <c r="E55" s="197" t="inlineStr">
        <is>
          <t>期末汇率</t>
        </is>
      </c>
    </row>
    <row r="56">
      <c r="A56" s="197" t="inlineStr">
        <is>
          <t>税率</t>
        </is>
      </c>
      <c r="D56" s="201" t="n">
        <v>25</v>
      </c>
    </row>
    <row r="57">
      <c r="A57" s="197" t="inlineStr">
        <is>
          <t>税率说明</t>
        </is>
      </c>
    </row>
    <row r="58">
      <c r="A58" s="197" t="inlineStr">
        <is>
          <t>审计意见(境内)</t>
        </is>
      </c>
      <c r="C58" s="197" t="inlineStr">
        <is>
          <t>标准无保留意见</t>
        </is>
      </c>
      <c r="D58" s="197" t="inlineStr">
        <is>
          <t>标准无保留意见</t>
        </is>
      </c>
      <c r="E58" s="197" t="inlineStr">
        <is>
          <t>标准无保留意见</t>
        </is>
      </c>
    </row>
    <row r="59">
      <c r="A59" s="197" t="inlineStr">
        <is>
          <t>审计意见(境外)</t>
        </is>
      </c>
    </row>
    <row r="60">
      <c r="A60" s="197" t="inlineStr">
        <is>
          <t>调整原因</t>
        </is>
      </c>
    </row>
    <row r="61">
      <c r="A61" s="197" t="inlineStr">
        <is>
          <t>调整说明</t>
        </is>
      </c>
    </row>
    <row r="62">
      <c r="A62" s="197" t="inlineStr">
        <is>
          <t>公告日期</t>
        </is>
      </c>
      <c r="B62" s="197" t="inlineStr">
        <is>
          <t>2023-08-31</t>
        </is>
      </c>
      <c r="C62" s="197" t="inlineStr">
        <is>
          <t>2023-04-28</t>
        </is>
      </c>
      <c r="D62" s="197" t="inlineStr">
        <is>
          <t>2022-04-29</t>
        </is>
      </c>
      <c r="E62" s="197" t="inlineStr">
        <is>
          <t>2021-04-30</t>
        </is>
      </c>
    </row>
    <row r="63">
      <c r="A63" s="197" t="inlineStr">
        <is>
          <t>数据来源</t>
        </is>
      </c>
      <c r="B63" s="197" t="inlineStr">
        <is>
          <t>公司公告值</t>
        </is>
      </c>
      <c r="C63" s="197" t="inlineStr">
        <is>
          <t>公司公告值</t>
        </is>
      </c>
      <c r="D63" s="197" t="inlineStr">
        <is>
          <t>公司公告值</t>
        </is>
      </c>
      <c r="E63" s="197" t="inlineStr">
        <is>
          <t>公司公告值</t>
        </is>
      </c>
    </row>
    <row r="66">
      <c r="A66" s="197" t="inlineStr">
        <is>
          <t>数据来源：Wind</t>
        </is>
      </c>
    </row>
  </sheetData>
  <pageMargins left="0.75" right="0.75" top="1" bottom="1" header="0.5" footer="0.5"/>
  <pageSetup orientation="portrait" paperSize="1"/>
</worksheet>
</file>

<file path=xl/worksheets/sheet3.xml><?xml version="1.0" encoding="utf-8"?>
<worksheet xmlns="http://schemas.openxmlformats.org/spreadsheetml/2006/main">
  <sheetPr codeName="Sheet8">
    <outlinePr summaryBelow="1" summaryRight="1"/>
    <pageSetUpPr/>
  </sheetPr>
  <dimension ref="A1:E113"/>
  <sheetViews>
    <sheetView workbookViewId="0">
      <pane xSplit="1" ySplit="1" topLeftCell="B2" activePane="bottomRight" state="frozen"/>
      <selection activeCell="A1" sqref="A1"/>
      <selection pane="topRight" activeCell="A1" sqref="A1"/>
      <selection pane="bottomLeft" activeCell="A1" sqref="A1"/>
      <selection pane="bottomRight" activeCell="A1" sqref="A1"/>
    </sheetView>
  </sheetViews>
  <sheetFormatPr baseColWidth="8" defaultColWidth="9.142857142857141" defaultRowHeight="16.8"/>
  <cols>
    <col width="71.4285714285714" customWidth="1" style="197" min="1" max="1"/>
    <col width="19.4285714285714" customWidth="1" style="197" min="2" max="2"/>
    <col width="20.5714285714286" customWidth="1" style="197" min="3" max="3"/>
    <col width="19.4285714285714" customWidth="1" style="197" min="4" max="4"/>
    <col width="20.5714285714286" customWidth="1" style="197" min="5" max="5"/>
    <col width="9.142857142857141" customWidth="1" style="197" min="6" max="16384"/>
  </cols>
  <sheetData>
    <row r="1">
      <c r="A1" s="197" t="inlineStr">
        <is>
          <t>22无锡山水SCP001[012283707.IB] - 现金流量表 (单位 : 元 , CNY  )</t>
        </is>
      </c>
      <c r="B1" s="197" t="inlineStr">
        <is>
          <t>2023-06-30</t>
        </is>
      </c>
      <c r="C1" s="197" t="inlineStr">
        <is>
          <t>2022-12-31</t>
        </is>
      </c>
      <c r="D1" s="197" t="inlineStr">
        <is>
          <t>2021-12-31</t>
        </is>
      </c>
      <c r="E1" s="197" t="inlineStr">
        <is>
          <t>2020-12-31</t>
        </is>
      </c>
    </row>
    <row r="2">
      <c r="A2" s="197" t="inlineStr">
        <is>
          <t>报告期</t>
        </is>
      </c>
      <c r="B2" s="197" t="inlineStr">
        <is>
          <t>中报</t>
        </is>
      </c>
      <c r="C2" s="197" t="inlineStr">
        <is>
          <t>年报</t>
        </is>
      </c>
      <c r="D2" s="197" t="inlineStr">
        <is>
          <t>年报</t>
        </is>
      </c>
      <c r="E2" s="197" t="inlineStr">
        <is>
          <t>年报</t>
        </is>
      </c>
    </row>
    <row r="3">
      <c r="A3" s="197" t="inlineStr">
        <is>
          <t>报表类型</t>
        </is>
      </c>
      <c r="B3" s="197" t="inlineStr">
        <is>
          <t>合并报表</t>
        </is>
      </c>
      <c r="C3" s="197" t="inlineStr">
        <is>
          <t>合并报表</t>
        </is>
      </c>
      <c r="D3" s="197" t="inlineStr">
        <is>
          <t>合并报表</t>
        </is>
      </c>
      <c r="E3" s="197" t="inlineStr">
        <is>
          <t>合并报表</t>
        </is>
      </c>
    </row>
    <row r="4">
      <c r="A4" s="198" t="inlineStr">
        <is>
          <t>经营活动产生的现金流量：</t>
        </is>
      </c>
    </row>
    <row r="5">
      <c r="A5" s="197" t="inlineStr">
        <is>
          <t xml:space="preserve">    销售商品、提供劳务收到的现金</t>
        </is>
      </c>
      <c r="B5" s="201" t="n">
        <v>209283230.56</v>
      </c>
      <c r="C5" s="201" t="n">
        <v>2591296967.14</v>
      </c>
      <c r="D5" s="201" t="n">
        <v>2666403082.68</v>
      </c>
      <c r="E5" s="201" t="n">
        <v>2337723417</v>
      </c>
    </row>
    <row r="6">
      <c r="A6" s="197" t="inlineStr">
        <is>
          <t xml:space="preserve">    收到的税费返还</t>
        </is>
      </c>
    </row>
    <row r="7">
      <c r="A7" s="197" t="inlineStr">
        <is>
          <t xml:space="preserve">    收到其他与经营活动有关的现金</t>
        </is>
      </c>
      <c r="B7" s="201" t="n">
        <v>2390954855.3</v>
      </c>
      <c r="C7" s="201" t="n">
        <v>2391173241.67</v>
      </c>
      <c r="D7" s="201" t="n">
        <v>3052027818.74</v>
      </c>
      <c r="E7" s="201" t="n">
        <v>3474307180.22</v>
      </c>
    </row>
    <row r="8">
      <c r="A8" s="197" t="inlineStr">
        <is>
          <t xml:space="preserve">        经营活动现金流入(金融类)</t>
        </is>
      </c>
    </row>
    <row r="9">
      <c r="A9" s="197" t="inlineStr">
        <is>
          <t xml:space="preserve">    经营活动现金流入差额(特殊报表科目)</t>
        </is>
      </c>
    </row>
    <row r="10">
      <c r="A10" s="197" t="inlineStr">
        <is>
          <t xml:space="preserve">    经营活动现金流入差额(合计平衡项目)</t>
        </is>
      </c>
    </row>
    <row r="11">
      <c r="A11" s="198" t="inlineStr">
        <is>
          <t xml:space="preserve">    经营活动现金流入小计</t>
        </is>
      </c>
      <c r="B11" s="201" t="n">
        <v>2600238085.86</v>
      </c>
      <c r="C11" s="201" t="n">
        <v>4982470208.81</v>
      </c>
      <c r="D11" s="201" t="n">
        <v>5718430901.42</v>
      </c>
      <c r="E11" s="201" t="n">
        <v>5812030597.22</v>
      </c>
    </row>
    <row r="12">
      <c r="A12" s="197" t="inlineStr">
        <is>
          <t xml:space="preserve">    购买商品、接受劳务支付的现金</t>
        </is>
      </c>
      <c r="B12" s="201" t="n">
        <v>2251069384.41</v>
      </c>
      <c r="C12" s="201" t="n">
        <v>3314480942.41</v>
      </c>
      <c r="D12" s="201" t="n">
        <v>2557123417.25</v>
      </c>
      <c r="E12" s="201" t="n">
        <v>1797457196.19</v>
      </c>
    </row>
    <row r="13">
      <c r="A13" s="197" t="inlineStr">
        <is>
          <t xml:space="preserve">    支付给职工以及为职工支付的现金</t>
        </is>
      </c>
      <c r="B13" s="201" t="n">
        <v>49160299.42</v>
      </c>
      <c r="C13" s="201" t="n">
        <v>61671721.33</v>
      </c>
      <c r="D13" s="201" t="n">
        <v>59971708.58</v>
      </c>
      <c r="E13" s="201" t="n">
        <v>50607045.15</v>
      </c>
    </row>
    <row r="14">
      <c r="A14" s="197" t="inlineStr">
        <is>
          <t xml:space="preserve">    支付的各项税费</t>
        </is>
      </c>
      <c r="B14" s="201" t="n">
        <v>18603494.86</v>
      </c>
      <c r="C14" s="201" t="n">
        <v>36008762.56</v>
      </c>
      <c r="D14" s="201" t="n">
        <v>66121492.23</v>
      </c>
      <c r="E14" s="201" t="n">
        <v>29484711.02</v>
      </c>
    </row>
    <row r="15">
      <c r="A15" s="197" t="inlineStr">
        <is>
          <t xml:space="preserve">    支付其他与经营活动有关的现金</t>
        </is>
      </c>
      <c r="B15" s="201" t="n">
        <v>1186430666.79</v>
      </c>
      <c r="C15" s="201" t="n">
        <v>2022145561.01</v>
      </c>
      <c r="D15" s="201" t="n">
        <v>2028986437.41</v>
      </c>
      <c r="E15" s="201" t="n">
        <v>2724437131.44</v>
      </c>
    </row>
    <row r="16">
      <c r="A16" s="197" t="inlineStr">
        <is>
          <t xml:space="preserve">        经营活动现金流出(金融类)</t>
        </is>
      </c>
    </row>
    <row r="17">
      <c r="A17" s="197" t="inlineStr">
        <is>
          <t xml:space="preserve">    经营活动现金流出差额(特殊报表科目)</t>
        </is>
      </c>
    </row>
    <row r="18">
      <c r="A18" s="197" t="inlineStr">
        <is>
          <t xml:space="preserve">    经营活动现金流出差额(合计平衡项目)</t>
        </is>
      </c>
    </row>
    <row r="19">
      <c r="A19" s="198" t="inlineStr">
        <is>
          <t xml:space="preserve">    经营活动现金流出小计</t>
        </is>
      </c>
      <c r="B19" s="201" t="n">
        <v>3505263845.48</v>
      </c>
      <c r="C19" s="201" t="n">
        <v>5434306987.31</v>
      </c>
      <c r="D19" s="201" t="n">
        <v>4712203055.47</v>
      </c>
      <c r="E19" s="201" t="n">
        <v>4601986083.8</v>
      </c>
    </row>
    <row r="20">
      <c r="A20" s="197" t="inlineStr">
        <is>
          <t xml:space="preserve">    经营活动产生的现金流量净额差额(合计平衡项目)</t>
        </is>
      </c>
      <c r="B20" s="201" t="n">
        <v>-0.01</v>
      </c>
      <c r="C20" s="201" t="n">
        <v>0.01</v>
      </c>
    </row>
    <row r="21">
      <c r="A21" s="198" t="inlineStr">
        <is>
          <t xml:space="preserve">    经营活动产生的现金流量净额</t>
        </is>
      </c>
      <c r="B21" s="201" t="n">
        <v>-905025759.63</v>
      </c>
      <c r="C21" s="201" t="n">
        <v>-451836778.49</v>
      </c>
      <c r="D21" s="201" t="n">
        <v>1006227845.95</v>
      </c>
      <c r="E21" s="201" t="n">
        <v>1210044513.42</v>
      </c>
    </row>
    <row r="22">
      <c r="A22" s="198" t="inlineStr">
        <is>
          <t>投资活动产生的现金流量：</t>
        </is>
      </c>
    </row>
    <row r="23">
      <c r="A23" s="197" t="inlineStr">
        <is>
          <t xml:space="preserve">    收回投资收到的现金</t>
        </is>
      </c>
      <c r="C23" s="201" t="n">
        <v>27682501</v>
      </c>
    </row>
    <row r="24">
      <c r="A24" s="197" t="inlineStr">
        <is>
          <t xml:space="preserve">    取得投资收益收到的现金</t>
        </is>
      </c>
      <c r="C24" s="201" t="n">
        <v>1857123.3</v>
      </c>
      <c r="D24" s="201" t="n">
        <v>330357.83</v>
      </c>
      <c r="E24" s="201" t="n">
        <v>32547844.24</v>
      </c>
    </row>
    <row r="25">
      <c r="A25" s="197" t="inlineStr">
        <is>
          <t xml:space="preserve">    处置固定资产、无形资产和其他长期资产收回的现金净额</t>
        </is>
      </c>
      <c r="E25" s="201" t="n">
        <v>1000</v>
      </c>
    </row>
    <row r="26">
      <c r="A26" s="197" t="inlineStr">
        <is>
          <t xml:space="preserve">    处置子公司及其他营业单位收到的现金净额</t>
        </is>
      </c>
    </row>
    <row r="27">
      <c r="A27" s="197" t="inlineStr">
        <is>
          <t xml:space="preserve">    收到其他与投资活动有关的现金</t>
        </is>
      </c>
      <c r="C27" s="201" t="n">
        <v>55158.86</v>
      </c>
      <c r="D27" s="201" t="n">
        <v>1051665.78</v>
      </c>
    </row>
    <row r="28">
      <c r="A28" s="197" t="inlineStr">
        <is>
          <t xml:space="preserve">    投资活动现金流入差额(特殊报表科目)</t>
        </is>
      </c>
    </row>
    <row r="29">
      <c r="A29" s="197" t="inlineStr">
        <is>
          <t xml:space="preserve">    投资活动现金流入差额(合计平衡项目)</t>
        </is>
      </c>
    </row>
    <row r="30">
      <c r="A30" s="198" t="inlineStr">
        <is>
          <t xml:space="preserve">    投资活动现金流入小计</t>
        </is>
      </c>
      <c r="C30" s="201" t="n">
        <v>29594783.16</v>
      </c>
      <c r="D30" s="201" t="n">
        <v>1382023.61</v>
      </c>
      <c r="E30" s="201" t="n">
        <v>32548844.24</v>
      </c>
    </row>
    <row r="31">
      <c r="A31" s="197" t="inlineStr">
        <is>
          <t xml:space="preserve">    购建固定资产、无形资产和其他长期资产支付的现金</t>
        </is>
      </c>
      <c r="B31" s="201" t="n">
        <v>321308819.49</v>
      </c>
      <c r="C31" s="201" t="n">
        <v>155585168.38</v>
      </c>
      <c r="D31" s="201" t="n">
        <v>88134053.8</v>
      </c>
      <c r="E31" s="201" t="n">
        <v>118923092.09</v>
      </c>
    </row>
    <row r="32">
      <c r="A32" s="197" t="inlineStr">
        <is>
          <t xml:space="preserve">    投资支付的现金</t>
        </is>
      </c>
      <c r="C32" s="201" t="n">
        <v>763127459.84</v>
      </c>
      <c r="D32" s="201" t="n">
        <v>66900001</v>
      </c>
      <c r="E32" s="201" t="n">
        <v>95149980</v>
      </c>
    </row>
    <row r="33">
      <c r="A33" s="197" t="inlineStr">
        <is>
          <t xml:space="preserve">    取得子公司及其他营业单位支付的现金净额</t>
        </is>
      </c>
    </row>
    <row r="34">
      <c r="A34" s="197" t="inlineStr">
        <is>
          <t xml:space="preserve">    支付其他与投资活动有关的现金</t>
        </is>
      </c>
      <c r="E34" s="201" t="n">
        <v>115772503.03</v>
      </c>
    </row>
    <row r="35">
      <c r="A35" s="197" t="inlineStr">
        <is>
          <t xml:space="preserve">    投资活动现金流出差额(特殊报表科目)</t>
        </is>
      </c>
    </row>
    <row r="36">
      <c r="A36" s="197" t="inlineStr">
        <is>
          <t xml:space="preserve">    投资活动现金流出差额(合计平衡项目)</t>
        </is>
      </c>
    </row>
    <row r="37">
      <c r="A37" s="198" t="inlineStr">
        <is>
          <t xml:space="preserve">    投资活动现金流出小计</t>
        </is>
      </c>
      <c r="B37" s="201" t="n">
        <v>321308819.49</v>
      </c>
      <c r="C37" s="201" t="n">
        <v>918712628.22</v>
      </c>
      <c r="D37" s="201" t="n">
        <v>155034054.8</v>
      </c>
      <c r="E37" s="201" t="n">
        <v>329845575.12</v>
      </c>
    </row>
    <row r="38">
      <c r="A38" s="197" t="inlineStr">
        <is>
          <t xml:space="preserve">    投资活动产生的现金流量净额差额(合计平衡项目)</t>
        </is>
      </c>
    </row>
    <row r="39">
      <c r="A39" s="198" t="inlineStr">
        <is>
          <t xml:space="preserve">    投资活动产生的现金流量净额</t>
        </is>
      </c>
      <c r="B39" s="201" t="n">
        <v>-321308819.49</v>
      </c>
      <c r="C39" s="201" t="n">
        <v>-889117845.0599999</v>
      </c>
      <c r="D39" s="201" t="n">
        <v>-153652031.19</v>
      </c>
      <c r="E39" s="201" t="n">
        <v>-297296730.88</v>
      </c>
    </row>
    <row r="40">
      <c r="A40" s="198" t="inlineStr">
        <is>
          <t>筹资活动产生的现金流量：</t>
        </is>
      </c>
    </row>
    <row r="41">
      <c r="A41" s="197" t="inlineStr">
        <is>
          <t xml:space="preserve">    吸收投资收到的现金</t>
        </is>
      </c>
      <c r="C41" s="201" t="n">
        <v>200000</v>
      </c>
      <c r="D41" s="201" t="n">
        <v>632225100</v>
      </c>
      <c r="E41" s="201" t="n">
        <v>200000000</v>
      </c>
    </row>
    <row r="42">
      <c r="A42" s="197" t="inlineStr">
        <is>
          <t xml:space="preserve">    其中：子公司吸收少数股东投资收到的现金</t>
        </is>
      </c>
    </row>
    <row r="43">
      <c r="A43" s="197" t="inlineStr">
        <is>
          <t xml:space="preserve">    取得借款收到的现金</t>
        </is>
      </c>
      <c r="B43" s="201" t="n">
        <v>3775660000</v>
      </c>
      <c r="C43" s="201" t="n">
        <v>4089239500</v>
      </c>
      <c r="D43" s="201" t="n">
        <v>2799520000</v>
      </c>
      <c r="E43" s="201" t="n">
        <v>4795994300</v>
      </c>
    </row>
    <row r="44">
      <c r="A44" s="197" t="inlineStr">
        <is>
          <t xml:space="preserve">    收到其他与筹资活动有关的现金</t>
        </is>
      </c>
      <c r="B44" s="201" t="n">
        <v>335969864.79</v>
      </c>
      <c r="C44" s="201" t="n">
        <v>1040911973.99</v>
      </c>
      <c r="D44" s="201" t="n">
        <v>1493778472.03</v>
      </c>
      <c r="E44" s="201" t="n">
        <v>1998000000</v>
      </c>
    </row>
    <row r="45">
      <c r="A45" s="197" t="inlineStr">
        <is>
          <t xml:space="preserve">    发行债券收到的现金</t>
        </is>
      </c>
      <c r="C45" s="201" t="n">
        <v>500000000</v>
      </c>
      <c r="D45" s="201" t="n">
        <v>2390000000</v>
      </c>
      <c r="E45" s="201" t="n">
        <v>800000000</v>
      </c>
    </row>
    <row r="46">
      <c r="A46" s="197" t="inlineStr">
        <is>
          <t xml:space="preserve">    筹资活动现金流入差额(特殊报表科目)</t>
        </is>
      </c>
    </row>
    <row r="47">
      <c r="A47" s="197" t="inlineStr">
        <is>
          <t xml:space="preserve">    筹资活动现金流入差额(合计平衡项目)</t>
        </is>
      </c>
    </row>
    <row r="48">
      <c r="A48" s="198" t="inlineStr">
        <is>
          <t xml:space="preserve">    筹资活动现金流入小计</t>
        </is>
      </c>
      <c r="B48" s="201" t="n">
        <v>4111629864.79</v>
      </c>
      <c r="C48" s="201" t="n">
        <v>5630351473.99</v>
      </c>
      <c r="D48" s="201" t="n">
        <v>7315523572.03</v>
      </c>
      <c r="E48" s="201" t="n">
        <v>7793994300</v>
      </c>
    </row>
    <row r="49">
      <c r="A49" s="197" t="inlineStr">
        <is>
          <t xml:space="preserve">    偿还债务支付的现金</t>
        </is>
      </c>
      <c r="B49" s="201" t="n">
        <v>1824850100</v>
      </c>
      <c r="C49" s="201" t="n">
        <v>4242319700</v>
      </c>
      <c r="D49" s="201" t="n">
        <v>5485033465</v>
      </c>
      <c r="E49" s="201" t="n">
        <v>6408938351.91</v>
      </c>
    </row>
    <row r="50">
      <c r="A50" s="197" t="inlineStr">
        <is>
          <t xml:space="preserve">    分配股利、利润或偿付利息支付的现金</t>
        </is>
      </c>
      <c r="B50" s="201" t="n">
        <v>397177717.23</v>
      </c>
      <c r="C50" s="201" t="n">
        <v>887017867.3099999</v>
      </c>
      <c r="D50" s="201" t="n">
        <v>938470291.58</v>
      </c>
      <c r="E50" s="201" t="n">
        <v>938652465.6</v>
      </c>
    </row>
    <row r="51">
      <c r="A51" s="197" t="inlineStr">
        <is>
          <t xml:space="preserve">    其中：子公司支付给少数股东的股利、利润</t>
        </is>
      </c>
    </row>
    <row r="52">
      <c r="A52" s="197" t="inlineStr">
        <is>
          <t xml:space="preserve">    支付其他与筹资活动有关的现金</t>
        </is>
      </c>
      <c r="B52" s="201" t="n">
        <v>41763172.7</v>
      </c>
      <c r="C52" s="201" t="n">
        <v>482835574.17</v>
      </c>
      <c r="D52" s="201" t="n">
        <v>1142522692.16</v>
      </c>
      <c r="E52" s="201" t="n">
        <v>1475534172.1</v>
      </c>
    </row>
    <row r="53">
      <c r="A53" s="197" t="inlineStr">
        <is>
          <t xml:space="preserve">    筹资活动现金流出差额(特殊报表科目)</t>
        </is>
      </c>
    </row>
    <row r="54">
      <c r="A54" s="197" t="inlineStr">
        <is>
          <t xml:space="preserve">    筹资活动现金流出差额(合计平衡项目)</t>
        </is>
      </c>
    </row>
    <row r="55">
      <c r="A55" s="198" t="inlineStr">
        <is>
          <t xml:space="preserve">    筹资活动现金流出小计</t>
        </is>
      </c>
      <c r="B55" s="201" t="n">
        <v>2263790989.93</v>
      </c>
      <c r="C55" s="201" t="n">
        <v>5612173141.48</v>
      </c>
      <c r="D55" s="201" t="n">
        <v>7566026448.74</v>
      </c>
      <c r="E55" s="201" t="n">
        <v>8823124989.610001</v>
      </c>
    </row>
    <row r="56">
      <c r="A56" s="197" t="inlineStr">
        <is>
          <t xml:space="preserve">    筹资活动产生的现金流量净额差额(合计平衡项目)</t>
        </is>
      </c>
    </row>
    <row r="57">
      <c r="A57" s="198" t="inlineStr">
        <is>
          <t xml:space="preserve">    筹资活动产生的现金流量净额</t>
        </is>
      </c>
      <c r="B57" s="201" t="n">
        <v>1847838874.86</v>
      </c>
      <c r="C57" s="201" t="n">
        <v>18178332.51</v>
      </c>
      <c r="D57" s="201" t="n">
        <v>-250502876.71</v>
      </c>
      <c r="E57" s="201" t="n">
        <v>-1029130689.61</v>
      </c>
    </row>
    <row r="58">
      <c r="A58" s="198" t="inlineStr">
        <is>
          <t>汇率变动对现金的影响</t>
        </is>
      </c>
    </row>
    <row r="59">
      <c r="A59" s="197" t="inlineStr">
        <is>
          <t xml:space="preserve">    直接法-现金及现金等价物净增加额差额(特殊报表科目)</t>
        </is>
      </c>
    </row>
    <row r="60">
      <c r="A60" s="197" t="inlineStr">
        <is>
          <t xml:space="preserve">    直接法-现金及现金等价物净增加额差额(合计平衡项目)</t>
        </is>
      </c>
    </row>
    <row r="61">
      <c r="A61" s="198" t="inlineStr">
        <is>
          <t>现金及现金等价物净增加额</t>
        </is>
      </c>
      <c r="B61" s="201" t="n">
        <v>621504295.74</v>
      </c>
      <c r="C61" s="201" t="n">
        <v>-1322776291.04</v>
      </c>
      <c r="D61" s="201" t="n">
        <v>602072938.05</v>
      </c>
      <c r="E61" s="201" t="n">
        <v>-116382907.07</v>
      </c>
    </row>
    <row r="62">
      <c r="A62" s="197" t="inlineStr">
        <is>
          <t xml:space="preserve">    期初现金及现金等价物余额</t>
        </is>
      </c>
      <c r="B62" s="201" t="n">
        <v>1185185099.14</v>
      </c>
      <c r="C62" s="201" t="n">
        <v>2507961390.18</v>
      </c>
      <c r="D62" s="201" t="n">
        <v>1905888452.13</v>
      </c>
      <c r="E62" s="201" t="n">
        <v>2022271359.2</v>
      </c>
    </row>
    <row r="63">
      <c r="A63" s="197" t="inlineStr">
        <is>
          <t xml:space="preserve">    期末现金及现金等价物余额</t>
        </is>
      </c>
      <c r="B63" s="201" t="n">
        <v>1806689394.88</v>
      </c>
      <c r="C63" s="201" t="n">
        <v>1185185099.14</v>
      </c>
      <c r="D63" s="201" t="n">
        <v>2507961390.18</v>
      </c>
      <c r="E63" s="201" t="n">
        <v>1905888452.13</v>
      </c>
    </row>
    <row r="64">
      <c r="A64" s="198" t="inlineStr">
        <is>
          <t>补充资料：</t>
        </is>
      </c>
    </row>
    <row r="65">
      <c r="A65" s="197" t="inlineStr">
        <is>
          <t xml:space="preserve">    净利润</t>
        </is>
      </c>
      <c r="C65" s="201" t="n">
        <v>393484834.72</v>
      </c>
      <c r="D65" s="201" t="n">
        <v>394799515.97</v>
      </c>
      <c r="E65" s="201" t="n">
        <v>383301816.81</v>
      </c>
    </row>
    <row r="66">
      <c r="A66" s="197" t="inlineStr">
        <is>
          <t xml:space="preserve">    加：资产减值准备</t>
        </is>
      </c>
      <c r="C66" s="201" t="n">
        <v>115747.94</v>
      </c>
      <c r="E66" s="201" t="n">
        <v>720657.9399999999</v>
      </c>
    </row>
    <row r="67">
      <c r="A67" s="197" t="inlineStr">
        <is>
          <t xml:space="preserve">            信用减值损失</t>
        </is>
      </c>
      <c r="D67" s="201" t="n">
        <v>-1924136.48</v>
      </c>
    </row>
    <row r="68">
      <c r="A68" s="197" t="inlineStr">
        <is>
          <t xml:space="preserve">            固定资产折旧、油气资产折耗、生产性生物资产折旧</t>
        </is>
      </c>
      <c r="C68" s="201" t="n">
        <v>28103240.67</v>
      </c>
      <c r="D68" s="201" t="n">
        <v>37795962.26</v>
      </c>
      <c r="E68" s="201" t="n">
        <v>40339451.92</v>
      </c>
    </row>
    <row r="69">
      <c r="A69" s="197" t="inlineStr">
        <is>
          <t xml:space="preserve">            无形资产摊销</t>
        </is>
      </c>
      <c r="C69" s="201" t="n">
        <v>779558.28</v>
      </c>
      <c r="D69" s="201" t="n">
        <v>759575.73</v>
      </c>
      <c r="E69" s="201" t="n">
        <v>1188876.13</v>
      </c>
    </row>
    <row r="70">
      <c r="A70" s="197" t="inlineStr">
        <is>
          <t xml:space="preserve">            使用权资产折旧</t>
        </is>
      </c>
    </row>
    <row r="71">
      <c r="A71" s="197" t="inlineStr">
        <is>
          <t xml:space="preserve">            长期待摊费用摊销</t>
        </is>
      </c>
      <c r="C71" s="201" t="n">
        <v>753351.2</v>
      </c>
      <c r="D71" s="201" t="n">
        <v>161729.91</v>
      </c>
      <c r="E71" s="201" t="n">
        <v>979800.5</v>
      </c>
    </row>
    <row r="72">
      <c r="A72" s="197" t="inlineStr">
        <is>
          <t xml:space="preserve">            待摊费用减少</t>
        </is>
      </c>
    </row>
    <row r="73">
      <c r="A73" s="197" t="inlineStr">
        <is>
          <t xml:space="preserve">            预提费用增加</t>
        </is>
      </c>
    </row>
    <row r="74">
      <c r="A74" s="197" t="inlineStr">
        <is>
          <t xml:space="preserve">            处置固定资产、无形资产和其他长期资产的损失</t>
        </is>
      </c>
      <c r="C74" s="201" t="n">
        <v>-925366.15</v>
      </c>
      <c r="D74" s="201" t="n">
        <v>1424081.07</v>
      </c>
    </row>
    <row r="75">
      <c r="A75" s="197" t="inlineStr">
        <is>
          <t xml:space="preserve">            固定资产报废损失</t>
        </is>
      </c>
      <c r="D75" s="201" t="n">
        <v>-674883.38</v>
      </c>
    </row>
    <row r="76">
      <c r="A76" s="197" t="inlineStr">
        <is>
          <t xml:space="preserve">            公允价值变动损失</t>
        </is>
      </c>
      <c r="C76" s="201" t="n">
        <v>-24340800</v>
      </c>
      <c r="D76" s="201" t="n">
        <v>-17156846</v>
      </c>
      <c r="E76" s="201" t="n">
        <v>-6542299</v>
      </c>
    </row>
    <row r="77">
      <c r="A77" s="197" t="inlineStr">
        <is>
          <t xml:space="preserve">            财务费用</t>
        </is>
      </c>
      <c r="C77" s="201" t="n">
        <v>17656979.57</v>
      </c>
      <c r="D77" s="201" t="n">
        <v>6803683.65</v>
      </c>
      <c r="E77" s="201" t="n">
        <v>6714085.27</v>
      </c>
    </row>
    <row r="78">
      <c r="A78" s="197" t="inlineStr">
        <is>
          <t xml:space="preserve">            投资损失</t>
        </is>
      </c>
      <c r="C78" s="201" t="n">
        <v>-1515042.18</v>
      </c>
      <c r="D78" s="201" t="n">
        <v>-330357.83</v>
      </c>
      <c r="E78" s="201" t="n">
        <v>-55609044.96</v>
      </c>
    </row>
    <row r="79">
      <c r="A79" s="197" t="inlineStr">
        <is>
          <t xml:space="preserve">            递延所得税资产减少</t>
        </is>
      </c>
      <c r="C79" s="201" t="n">
        <v>-28936.99</v>
      </c>
      <c r="D79" s="201" t="n">
        <v>504784.14</v>
      </c>
      <c r="E79" s="201" t="n">
        <v>-203914.49</v>
      </c>
    </row>
    <row r="80">
      <c r="A80" s="197" t="inlineStr">
        <is>
          <t xml:space="preserve">            递延所得税负债增加</t>
        </is>
      </c>
      <c r="C80" s="201" t="n">
        <v>6496893.56</v>
      </c>
      <c r="D80" s="201" t="n">
        <v>4321511.5</v>
      </c>
      <c r="E80" s="201" t="n">
        <v>-38158863.01</v>
      </c>
    </row>
    <row r="81">
      <c r="A81" s="197" t="inlineStr">
        <is>
          <t xml:space="preserve">            存货的减少</t>
        </is>
      </c>
      <c r="C81" s="201" t="n">
        <v>-1928220476.77</v>
      </c>
      <c r="D81" s="201" t="n">
        <v>-773033187.2</v>
      </c>
      <c r="E81" s="201" t="n">
        <v>687668329.85</v>
      </c>
    </row>
    <row r="82">
      <c r="A82" s="197" t="inlineStr">
        <is>
          <t xml:space="preserve">            经营性应收项目的减少</t>
        </is>
      </c>
      <c r="C82" s="201" t="n">
        <v>238453713.97</v>
      </c>
      <c r="D82" s="201" t="n">
        <v>565785177.11</v>
      </c>
      <c r="E82" s="201" t="n">
        <v>-526144851.02</v>
      </c>
    </row>
    <row r="83">
      <c r="A83" s="197" t="inlineStr">
        <is>
          <t xml:space="preserve">            经营性应付项目的增加</t>
        </is>
      </c>
      <c r="C83" s="201" t="n">
        <v>817349523.6900001</v>
      </c>
      <c r="D83" s="201" t="n">
        <v>786991235.5</v>
      </c>
      <c r="E83" s="201" t="n">
        <v>715790467.48</v>
      </c>
    </row>
    <row r="84">
      <c r="A84" s="197" t="inlineStr">
        <is>
          <t xml:space="preserve">            未确认的投资损失</t>
        </is>
      </c>
    </row>
    <row r="85">
      <c r="A85" s="197" t="inlineStr">
        <is>
          <t xml:space="preserve">            其他</t>
        </is>
      </c>
    </row>
    <row r="86">
      <c r="A86" s="197" t="inlineStr">
        <is>
          <t xml:space="preserve">            间接法-经营活动现金流量净额差额(特殊报表科目)</t>
        </is>
      </c>
    </row>
    <row r="87">
      <c r="A87" s="197" t="inlineStr">
        <is>
          <t xml:space="preserve">            间接法-经营活动现金流量净额差额(合计平衡项目)</t>
        </is>
      </c>
    </row>
    <row r="88">
      <c r="A88" s="197" t="inlineStr">
        <is>
          <t xml:space="preserve">    间接法-经营活动产生的现金流量净额</t>
        </is>
      </c>
      <c r="C88" s="201" t="n">
        <v>-451836778.49</v>
      </c>
      <c r="D88" s="201" t="n">
        <v>1006227845.95</v>
      </c>
      <c r="E88" s="201" t="n">
        <v>1210044513.42</v>
      </c>
    </row>
    <row r="89">
      <c r="A89" s="197" t="inlineStr">
        <is>
          <t xml:space="preserve">    债务转为资本</t>
        </is>
      </c>
    </row>
    <row r="90">
      <c r="A90" s="197" t="inlineStr">
        <is>
          <t xml:space="preserve">    一年内到期的可转换公司债券</t>
        </is>
      </c>
    </row>
    <row r="91">
      <c r="A91" s="197" t="inlineStr">
        <is>
          <t xml:space="preserve">    融资租入固定资产</t>
        </is>
      </c>
    </row>
    <row r="92">
      <c r="A92" s="197" t="inlineStr">
        <is>
          <t xml:space="preserve">    现金的期末余额</t>
        </is>
      </c>
      <c r="C92" s="201" t="n">
        <v>1185185099.14</v>
      </c>
      <c r="D92" s="201" t="n">
        <v>2507961390.18</v>
      </c>
      <c r="E92" s="201" t="n">
        <v>1905888452.13</v>
      </c>
    </row>
    <row r="93">
      <c r="A93" s="197" t="inlineStr">
        <is>
          <t xml:space="preserve">    减：现金的期初余额</t>
        </is>
      </c>
      <c r="C93" s="201" t="n">
        <v>2507961390.18</v>
      </c>
      <c r="D93" s="201" t="n">
        <v>1905888452.13</v>
      </c>
      <c r="E93" s="201" t="n">
        <v>2022271359.2</v>
      </c>
    </row>
    <row r="94">
      <c r="A94" s="197" t="inlineStr">
        <is>
          <t xml:space="preserve">    加：现金等价物的期末余额</t>
        </is>
      </c>
    </row>
    <row r="95">
      <c r="A95" s="197" t="inlineStr">
        <is>
          <t xml:space="preserve">    减：现金等价物的期初余额</t>
        </is>
      </c>
    </row>
    <row r="96">
      <c r="A96" s="197" t="inlineStr">
        <is>
          <t xml:space="preserve">    加：间接法-现金净增加额差额(特殊报表科目)</t>
        </is>
      </c>
    </row>
    <row r="97">
      <c r="A97" s="197" t="inlineStr">
        <is>
          <t xml:space="preserve">            间接法-现金净增加额差额(合计平衡项目)</t>
        </is>
      </c>
    </row>
    <row r="98">
      <c r="A98" s="197" t="inlineStr">
        <is>
          <t xml:space="preserve">    间接法-现金及现金等价物净增加额</t>
        </is>
      </c>
      <c r="C98" s="201" t="n">
        <v>-1322776291.04</v>
      </c>
      <c r="D98" s="201" t="n">
        <v>602072938.05</v>
      </c>
      <c r="E98" s="201" t="n">
        <v>-116382907.07</v>
      </c>
    </row>
    <row r="99">
      <c r="A99" s="197" t="inlineStr">
        <is>
          <t>显示币种</t>
        </is>
      </c>
      <c r="B99" s="197" t="inlineStr">
        <is>
          <t>CNY</t>
        </is>
      </c>
      <c r="C99" s="197" t="inlineStr">
        <is>
          <t>CNY</t>
        </is>
      </c>
      <c r="D99" s="197" t="inlineStr">
        <is>
          <t>CNY</t>
        </is>
      </c>
      <c r="E99" s="197" t="inlineStr">
        <is>
          <t>CNY</t>
        </is>
      </c>
    </row>
    <row r="100">
      <c r="A100" s="197" t="inlineStr">
        <is>
          <t>原始币种</t>
        </is>
      </c>
      <c r="B100" s="197" t="inlineStr">
        <is>
          <t>CNY</t>
        </is>
      </c>
      <c r="C100" s="197" t="inlineStr">
        <is>
          <t>CNY</t>
        </is>
      </c>
      <c r="D100" s="197" t="inlineStr">
        <is>
          <t>CNY</t>
        </is>
      </c>
      <c r="E100" s="197" t="inlineStr">
        <is>
          <t>CNY</t>
        </is>
      </c>
    </row>
    <row r="101">
      <c r="A101" s="197" t="inlineStr">
        <is>
          <t>转换汇率</t>
        </is>
      </c>
      <c r="B101" s="202" t="n">
        <v>1</v>
      </c>
      <c r="C101" s="202" t="n">
        <v>1</v>
      </c>
      <c r="D101" s="202" t="n">
        <v>1</v>
      </c>
      <c r="E101" s="202" t="n">
        <v>1</v>
      </c>
    </row>
    <row r="102">
      <c r="A102" s="197" t="inlineStr">
        <is>
          <t>利率类型</t>
        </is>
      </c>
      <c r="B102" s="197" t="inlineStr">
        <is>
          <t>期末汇率</t>
        </is>
      </c>
      <c r="C102" s="197" t="inlineStr">
        <is>
          <t>期末汇率</t>
        </is>
      </c>
      <c r="D102" s="197" t="inlineStr">
        <is>
          <t>期末汇率</t>
        </is>
      </c>
      <c r="E102" s="197" t="inlineStr">
        <is>
          <t>期末汇率</t>
        </is>
      </c>
    </row>
    <row r="103">
      <c r="A103" s="197" t="inlineStr">
        <is>
          <t>税率</t>
        </is>
      </c>
      <c r="D103" s="201" t="n">
        <v>25</v>
      </c>
    </row>
    <row r="104">
      <c r="A104" s="197" t="inlineStr">
        <is>
          <t>税率说明</t>
        </is>
      </c>
    </row>
    <row r="105">
      <c r="A105" s="197" t="inlineStr">
        <is>
          <t>审计意见(境内)</t>
        </is>
      </c>
      <c r="C105" s="197" t="inlineStr">
        <is>
          <t>标准无保留意见</t>
        </is>
      </c>
      <c r="D105" s="197" t="inlineStr">
        <is>
          <t>标准无保留意见</t>
        </is>
      </c>
      <c r="E105" s="197" t="inlineStr">
        <is>
          <t>标准无保留意见</t>
        </is>
      </c>
    </row>
    <row r="106">
      <c r="A106" s="197" t="inlineStr">
        <is>
          <t>审计意见(境外)</t>
        </is>
      </c>
    </row>
    <row r="107">
      <c r="A107" s="197" t="inlineStr">
        <is>
          <t>调整原因</t>
        </is>
      </c>
    </row>
    <row r="108">
      <c r="A108" s="197" t="inlineStr">
        <is>
          <t>调整说明</t>
        </is>
      </c>
    </row>
    <row r="109">
      <c r="A109" s="197" t="inlineStr">
        <is>
          <t>公告日期</t>
        </is>
      </c>
      <c r="B109" s="197" t="inlineStr">
        <is>
          <t>2023-08-31</t>
        </is>
      </c>
      <c r="C109" s="197" t="inlineStr">
        <is>
          <t>2023-04-28</t>
        </is>
      </c>
      <c r="D109" s="197" t="inlineStr">
        <is>
          <t>2022-04-29</t>
        </is>
      </c>
      <c r="E109" s="197" t="inlineStr">
        <is>
          <t>2021-04-30</t>
        </is>
      </c>
    </row>
    <row r="110">
      <c r="A110" s="197" t="inlineStr">
        <is>
          <t>数据来源</t>
        </is>
      </c>
      <c r="B110" s="197" t="inlineStr">
        <is>
          <t>公司公告值</t>
        </is>
      </c>
      <c r="C110" s="197" t="inlineStr">
        <is>
          <t>公司公告值</t>
        </is>
      </c>
      <c r="D110" s="197" t="inlineStr">
        <is>
          <t>公司公告值</t>
        </is>
      </c>
      <c r="E110" s="197" t="inlineStr">
        <is>
          <t>公司公告值</t>
        </is>
      </c>
    </row>
    <row r="113">
      <c r="A113" s="197" t="inlineStr">
        <is>
          <t>数据来源：Wind</t>
        </is>
      </c>
    </row>
  </sheetData>
  <pageMargins left="0.75" right="0.75" top="1" bottom="1" header="0.5" footer="0.5"/>
  <pageSetup orientation="portrait" paperSize="1"/>
</worksheet>
</file>

<file path=xl/worksheets/sheet4.xml><?xml version="1.0" encoding="utf-8"?>
<worksheet xmlns="http://schemas.openxmlformats.org/spreadsheetml/2006/main">
  <sheetPr codeName="Sheet2">
    <tabColor indexed="13"/>
    <outlinePr summaryBelow="1" summaryRight="1"/>
    <pageSetUpPr/>
  </sheetPr>
  <dimension ref="A1:J111"/>
  <sheetViews>
    <sheetView zoomScale="105" zoomScaleNormal="105" workbookViewId="0">
      <selection activeCell="C108" sqref="C108"/>
    </sheetView>
  </sheetViews>
  <sheetFormatPr baseColWidth="8" defaultColWidth="9" defaultRowHeight="15.2"/>
  <cols>
    <col width="8.571428571428569" customWidth="1" style="159" min="1" max="1"/>
    <col width="16.4285714285714" customWidth="1" min="2" max="2"/>
    <col width="22.2857142857143" customWidth="1" min="3" max="3"/>
    <col width="17.2857142857143" customWidth="1" min="4" max="5"/>
    <col width="17.1428571428571" customWidth="1" min="6" max="6"/>
    <col width="14.2857142857143" customWidth="1" min="7" max="7"/>
    <col width="20.8571428571429" customWidth="1" min="8" max="8"/>
    <col width="15.4285714285714" customWidth="1" min="9" max="9"/>
  </cols>
  <sheetData>
    <row r="1" ht="22.15" customHeight="1">
      <c r="A1" s="161" t="inlineStr">
        <is>
          <t>项目编号</t>
        </is>
      </c>
      <c r="B1" s="162" t="inlineStr">
        <is>
          <t>项目名称（元）</t>
        </is>
      </c>
      <c r="C1" s="163" t="n">
        <v>45930</v>
      </c>
      <c r="D1" s="203" t="n"/>
      <c r="E1" s="163" t="n"/>
      <c r="F1" s="163" t="n"/>
      <c r="G1" s="163" t="n"/>
      <c r="H1" s="20" t="inlineStr">
        <is>
          <t>筛选</t>
        </is>
      </c>
    </row>
    <row r="2" ht="14.1" customHeight="1">
      <c r="A2" s="185" t="n">
        <v>1000</v>
      </c>
      <c r="B2" s="173" t="inlineStr">
        <is>
          <t xml:space="preserve">流动资产： </t>
        </is>
      </c>
      <c r="C2" s="186" t="n"/>
      <c r="D2" s="186" t="n"/>
      <c r="E2" s="186" t="n"/>
      <c r="F2" s="186" t="n"/>
      <c r="G2" s="186" t="n"/>
      <c r="H2">
        <f>C2+D2+E2+F2</f>
        <v/>
      </c>
      <c r="I2">
        <f>B2</f>
        <v/>
      </c>
      <c r="J2" s="43" t="n"/>
    </row>
    <row r="3" ht="14.1" customHeight="1">
      <c r="A3" s="185" t="n">
        <v>1001</v>
      </c>
      <c r="B3" s="185" t="inlineStr">
        <is>
          <t xml:space="preserve">  货币资金 </t>
        </is>
      </c>
      <c r="C3" s="186" t="n"/>
      <c r="D3" s="186" t="n"/>
      <c r="E3" s="186" t="n"/>
      <c r="F3" s="186" t="n"/>
      <c r="G3" s="186" t="n"/>
      <c r="H3">
        <f>C3+D3+E3+F3</f>
        <v/>
      </c>
      <c r="I3">
        <f>B3</f>
        <v/>
      </c>
      <c r="J3" s="43">
        <f>CONCATENATE("近三年及一期，拟承租人",B3,"分别为",ROUND(F3/100000000,2),"亿元、",ROUND(E3/100000000,2),"亿元、",ROUND(D3/100000000,2),"亿元及",ROUND(C3/100000000,2),"亿元。")</f>
        <v/>
      </c>
    </row>
    <row r="4" ht="14.1" customHeight="1">
      <c r="A4" s="185" t="n">
        <v>1002</v>
      </c>
      <c r="B4" s="185" t="inlineStr">
        <is>
          <t xml:space="preserve">  结算备付金* </t>
        </is>
      </c>
      <c r="C4" s="186" t="n"/>
      <c r="D4" s="186" t="n"/>
      <c r="E4" s="186" t="n"/>
      <c r="F4" s="186" t="n"/>
      <c r="G4" s="186" t="n"/>
      <c r="H4">
        <f>C4+D4+E4+F4</f>
        <v/>
      </c>
      <c r="I4">
        <f>B4</f>
        <v/>
      </c>
      <c r="J4" s="43">
        <f>CONCATENATE("近三年及一期，拟承租人",B4,"分别为",ROUND(F4/100000000,2),"亿元、",ROUND(E4/100000000,2),"亿元、",ROUND(D4/100000000,2),"亿元及",ROUND(C4/100000000,2),"亿元。")</f>
        <v/>
      </c>
    </row>
    <row r="5" ht="14.1" customHeight="1">
      <c r="A5" s="185" t="n">
        <v>1003</v>
      </c>
      <c r="B5" s="185" t="inlineStr">
        <is>
          <t xml:space="preserve">  拆出资金* </t>
        </is>
      </c>
      <c r="C5" s="186" t="n"/>
      <c r="D5" s="186" t="n"/>
      <c r="E5" s="186" t="n"/>
      <c r="F5" s="186" t="n"/>
      <c r="G5" s="186" t="n"/>
      <c r="H5">
        <f>C5+D5+E5+F5</f>
        <v/>
      </c>
      <c r="I5">
        <f>B5</f>
        <v/>
      </c>
      <c r="J5" s="43">
        <f>CONCATENATE("近三年及一期，拟承租人",B5,"分别为",ROUND(F5/100000000,2),"亿元、",ROUND(E5/100000000,2),"亿元、",ROUND(D5/100000000,2),"亿元及",ROUND(C5/100000000,2),"亿元。")</f>
        <v/>
      </c>
    </row>
    <row r="6" ht="14.1" customHeight="1">
      <c r="A6" s="185" t="n">
        <v>1004</v>
      </c>
      <c r="B6" s="185" t="inlineStr">
        <is>
          <t xml:space="preserve">  交易性金融资产 </t>
        </is>
      </c>
      <c r="C6" s="186" t="n"/>
      <c r="D6" s="186" t="n"/>
      <c r="E6" s="186" t="n"/>
      <c r="F6" s="186" t="n"/>
      <c r="G6" s="186" t="n"/>
      <c r="H6">
        <f>C6+D6+E6+F6</f>
        <v/>
      </c>
      <c r="I6">
        <f>B6</f>
        <v/>
      </c>
      <c r="J6" s="43">
        <f>CONCATENATE("近三年及一期，拟承租人",B6,"分别为",ROUND(F6/100000000,2),"亿元、",ROUND(E6/100000000,2),"亿元、",ROUND(D6/100000000,2),"亿元及",ROUND(C6/100000000,2),"亿元。")</f>
        <v/>
      </c>
    </row>
    <row r="7" ht="14.1" customHeight="1">
      <c r="A7" s="185" t="n">
        <v>1005</v>
      </c>
      <c r="B7" s="185" t="inlineStr">
        <is>
          <t xml:space="preserve">  衍生金融资产 </t>
        </is>
      </c>
      <c r="C7" s="186" t="n"/>
      <c r="D7" s="186" t="n"/>
      <c r="E7" s="186" t="n"/>
      <c r="F7" s="186" t="n"/>
      <c r="G7" s="186" t="n"/>
      <c r="H7">
        <f>C7+D7+E7+F7</f>
        <v/>
      </c>
      <c r="I7">
        <f>B7</f>
        <v/>
      </c>
      <c r="J7" s="43">
        <f>CONCATENATE("近三年及一期，拟承租人",B7,"分别为",ROUND(F7/100000000,2),"亿元、",ROUND(E7/100000000,2),"亿元、",ROUND(D7/100000000,2),"亿元及",ROUND(C7/100000000,2),"亿元。")</f>
        <v/>
      </c>
    </row>
    <row r="8" ht="14.1" customHeight="1">
      <c r="A8" s="185" t="n">
        <v>1006</v>
      </c>
      <c r="B8" s="185" t="inlineStr">
        <is>
          <t xml:space="preserve">  应收票据 </t>
        </is>
      </c>
      <c r="C8" s="186" t="n"/>
      <c r="D8" s="186" t="n"/>
      <c r="E8" s="186" t="n"/>
      <c r="F8" s="186" t="n"/>
      <c r="G8" s="186" t="n"/>
      <c r="H8">
        <f>C8+D8+E8+F8</f>
        <v/>
      </c>
      <c r="I8">
        <f>B8</f>
        <v/>
      </c>
      <c r="J8" s="43">
        <f>CONCATENATE("近三年及一期，拟承租人",B8,"分别为",ROUND(F8/100000000,2),"亿元、",ROUND(E8/100000000,2),"亿元、",ROUND(D8/100000000,2),"亿元及",ROUND(C8/100000000,2),"亿元。")</f>
        <v/>
      </c>
    </row>
    <row r="9" ht="14.1" customHeight="1">
      <c r="A9" s="185" t="n">
        <v>1007</v>
      </c>
      <c r="B9" s="185" t="inlineStr">
        <is>
          <t xml:space="preserve">  应收账款 </t>
        </is>
      </c>
      <c r="C9" s="186" t="n"/>
      <c r="D9" s="186" t="n"/>
      <c r="E9" s="186" t="n"/>
      <c r="F9" s="186" t="n"/>
      <c r="G9" s="186" t="n"/>
      <c r="H9">
        <f>C9+D9+E9+F9</f>
        <v/>
      </c>
      <c r="I9">
        <f>B9</f>
        <v/>
      </c>
      <c r="J9" s="43">
        <f>CONCATENATE("近三年及一期，拟承租人",B9,"分别为",ROUND(F9/100000000,2),"亿元、",ROUND(E9/100000000,2),"亿元、",ROUND(D9/100000000,2),"亿元及",ROUND(C9/100000000,2),"亿元。")</f>
        <v/>
      </c>
    </row>
    <row r="10" ht="14.1" customHeight="1">
      <c r="A10" s="185" t="n">
        <v>1008</v>
      </c>
      <c r="B10" s="185" t="inlineStr">
        <is>
          <t xml:space="preserve">  应收款项融资 </t>
        </is>
      </c>
      <c r="C10" s="186" t="n"/>
      <c r="D10" s="186" t="n"/>
      <c r="E10" s="186" t="n"/>
      <c r="F10" s="186" t="n"/>
      <c r="G10" s="186" t="n"/>
      <c r="H10">
        <f>C10+D10+E10+F10</f>
        <v/>
      </c>
      <c r="I10">
        <f>B10</f>
        <v/>
      </c>
      <c r="J10" s="43">
        <f>CONCATENATE("近三年及一期，拟承租人",B10,"分别为",ROUND(F10/100000000,2),"亿元、",ROUND(E10/100000000,2),"亿元、",ROUND(D10/100000000,2),"亿元及",ROUND(C10/100000000,2),"亿元。")</f>
        <v/>
      </c>
    </row>
    <row r="11" ht="14.1" customHeight="1">
      <c r="A11" s="185" t="n">
        <v>1009</v>
      </c>
      <c r="B11" s="185" t="inlineStr">
        <is>
          <t xml:space="preserve">  预付款项 </t>
        </is>
      </c>
      <c r="C11" s="186" t="n"/>
      <c r="D11" s="186" t="n"/>
      <c r="E11" s="186" t="n"/>
      <c r="F11" s="186" t="n"/>
      <c r="G11" s="186" t="n"/>
      <c r="H11">
        <f>C11+D11+E11+F11</f>
        <v/>
      </c>
      <c r="I11">
        <f>B11</f>
        <v/>
      </c>
      <c r="J11" s="43">
        <f>CONCATENATE("近三年及一期，拟承租人",B11,"分别为",ROUND(F11/100000000,2),"亿元、",ROUND(E11/100000000,2),"亿元、",ROUND(D11/100000000,2),"亿元及",ROUND(C11/100000000,2),"亿元。")</f>
        <v/>
      </c>
    </row>
    <row r="12" ht="14.1" customHeight="1">
      <c r="A12" s="185" t="n">
        <v>1010</v>
      </c>
      <c r="B12" s="185" t="inlineStr">
        <is>
          <t xml:space="preserve">  应收保费* </t>
        </is>
      </c>
      <c r="C12" s="186" t="n"/>
      <c r="D12" s="186" t="n"/>
      <c r="E12" s="186" t="n"/>
      <c r="F12" s="186" t="n"/>
      <c r="G12" s="186" t="n"/>
      <c r="H12">
        <f>C12+D12+E12+F12</f>
        <v/>
      </c>
      <c r="I12">
        <f>B12</f>
        <v/>
      </c>
      <c r="J12" s="43">
        <f>CONCATENATE("近三年及一期，拟承租人",B12,"分别为",ROUND(F12/100000000,2),"亿元、",ROUND(E12/100000000,2),"亿元、",ROUND(D12/100000000,2),"亿元及",ROUND(C12/100000000,2),"亿元。")</f>
        <v/>
      </c>
    </row>
    <row r="13" ht="14.1" customHeight="1">
      <c r="A13" s="185" t="n">
        <v>1011</v>
      </c>
      <c r="B13" s="185" t="inlineStr">
        <is>
          <t xml:space="preserve">  应收分保账款* </t>
        </is>
      </c>
      <c r="C13" s="186" t="n"/>
      <c r="D13" s="186" t="n"/>
      <c r="E13" s="186" t="n"/>
      <c r="F13" s="186" t="n"/>
      <c r="G13" s="186" t="n"/>
      <c r="H13">
        <f>C13+D13+E13+F13</f>
        <v/>
      </c>
      <c r="I13">
        <f>B13</f>
        <v/>
      </c>
      <c r="J13" s="43">
        <f>CONCATENATE("近三年及一期，拟承租人",B13,"分别为",ROUND(F13/100000000,2),"亿元、",ROUND(E13/100000000,2),"亿元、",ROUND(D13/100000000,2),"亿元及",ROUND(C13/100000000,2),"亿元。")</f>
        <v/>
      </c>
    </row>
    <row r="14" ht="14.1" customHeight="1">
      <c r="A14" s="185" t="n">
        <v>1012</v>
      </c>
      <c r="B14" s="185" t="inlineStr">
        <is>
          <t xml:space="preserve">  应收分保合同准备金* </t>
        </is>
      </c>
      <c r="C14" s="186" t="n"/>
      <c r="D14" s="186" t="n"/>
      <c r="E14" s="186" t="n"/>
      <c r="F14" s="186" t="n"/>
      <c r="G14" s="186" t="n"/>
      <c r="H14">
        <f>C14+D14+E14+F14</f>
        <v/>
      </c>
      <c r="I14">
        <f>B14</f>
        <v/>
      </c>
      <c r="J14" s="43">
        <f>CONCATENATE("近三年及一期，拟承租人",B14,"分别为",ROUND(F14/100000000,2),"亿元、",ROUND(E14/100000000,2),"亿元、",ROUND(D14/100000000,2),"亿元及",ROUND(C14/100000000,2),"亿元。")</f>
        <v/>
      </c>
    </row>
    <row r="15" ht="14.1" customHeight="1">
      <c r="A15" s="185" t="n">
        <v>1013</v>
      </c>
      <c r="B15" s="185" t="inlineStr">
        <is>
          <t xml:space="preserve">  其他应收款 </t>
        </is>
      </c>
      <c r="C15" s="186" t="n"/>
      <c r="D15" s="186" t="n"/>
      <c r="E15" s="186" t="n"/>
      <c r="F15" s="186" t="n"/>
      <c r="G15" s="186" t="n"/>
      <c r="H15">
        <f>C15+D15+E15+F15</f>
        <v/>
      </c>
      <c r="I15">
        <f>B15</f>
        <v/>
      </c>
      <c r="J15" s="43">
        <f>CONCATENATE("近三年及一期，拟承租人",B15,"分别为",ROUND(F15/100000000,2),"亿元、",ROUND(E15/100000000,2),"亿元、",ROUND(D15/100000000,2),"亿元及",ROUND(C15/100000000,2),"亿元。")</f>
        <v/>
      </c>
    </row>
    <row r="16" ht="14.1" customHeight="1">
      <c r="A16" s="185" t="n">
        <v>101301</v>
      </c>
      <c r="B16" s="185" t="inlineStr">
        <is>
          <t xml:space="preserve">    其中：应收利息</t>
        </is>
      </c>
      <c r="C16" s="186" t="n"/>
      <c r="D16" s="186" t="n"/>
      <c r="E16" s="186" t="n"/>
      <c r="F16" s="186" t="n"/>
      <c r="G16" s="186" t="n"/>
      <c r="H16">
        <f>C16+D16+E16+F16</f>
        <v/>
      </c>
      <c r="I16">
        <f>B16</f>
        <v/>
      </c>
      <c r="J16" s="43">
        <f>CONCATENATE("近三年及一期，拟承租人",B16,"分别为",ROUND(F16/100000000,2),"亿元、",ROUND(E16/100000000,2),"亿元、",ROUND(D16/100000000,2),"亿元及",ROUND(C16/100000000,2),"亿元。")</f>
        <v/>
      </c>
    </row>
    <row r="17" ht="14.1" customHeight="1">
      <c r="A17" s="185" t="n">
        <v>101302</v>
      </c>
      <c r="B17" s="185" t="inlineStr">
        <is>
          <t xml:space="preserve">          应收股利</t>
        </is>
      </c>
      <c r="C17" s="186" t="n"/>
      <c r="D17" s="186" t="n"/>
      <c r="E17" s="186" t="n"/>
      <c r="F17" s="186" t="n"/>
      <c r="G17" s="186" t="n"/>
      <c r="H17">
        <f>C17+D17+E17+F17</f>
        <v/>
      </c>
      <c r="I17">
        <f>B17</f>
        <v/>
      </c>
      <c r="J17" s="43">
        <f>CONCATENATE("近三年及一期，拟承租人",B17,"分别为",ROUND(F17/100000000,2),"亿元、",ROUND(E17/100000000,2),"亿元、",ROUND(D17/100000000,2),"亿元及",ROUND(C17/100000000,2),"亿元。")</f>
        <v/>
      </c>
    </row>
    <row r="18" ht="14.1" customHeight="1">
      <c r="A18" s="185" t="n">
        <v>1014</v>
      </c>
      <c r="B18" s="185" t="inlineStr">
        <is>
          <t xml:space="preserve">  买入返售金融资产* </t>
        </is>
      </c>
      <c r="C18" s="186" t="n"/>
      <c r="D18" s="186" t="n"/>
      <c r="E18" s="186" t="n"/>
      <c r="F18" s="186" t="n"/>
      <c r="G18" s="186" t="n"/>
      <c r="H18">
        <f>C18+D18+E18+F18</f>
        <v/>
      </c>
      <c r="I18">
        <f>B18</f>
        <v/>
      </c>
      <c r="J18" s="43">
        <f>CONCATENATE("近三年及一期，拟承租人",B18,"分别为",ROUND(F18/100000000,2),"亿元、",ROUND(E18/100000000,2),"亿元、",ROUND(D18/100000000,2),"亿元及",ROUND(C18/100000000,2),"亿元。")</f>
        <v/>
      </c>
    </row>
    <row r="19" ht="14.1" customHeight="1">
      <c r="A19" s="185" t="n">
        <v>1015</v>
      </c>
      <c r="B19" s="185" t="inlineStr">
        <is>
          <t xml:space="preserve">  存货 </t>
        </is>
      </c>
      <c r="C19" s="186" t="n"/>
      <c r="D19" s="186" t="n"/>
      <c r="E19" s="186" t="n"/>
      <c r="F19" s="186" t="n"/>
      <c r="G19" s="186" t="n"/>
      <c r="H19">
        <f>C19+D19+E19+F19</f>
        <v/>
      </c>
      <c r="I19">
        <f>B19</f>
        <v/>
      </c>
      <c r="J19" s="43">
        <f>CONCATENATE("近三年及一期，拟承租人",B19,"分别为",ROUND(F19/100000000,2),"亿元、",ROUND(E19/100000000,2),"亿元、",ROUND(D19/100000000,2),"亿元及",ROUND(C19/100000000,2),"亿元。")</f>
        <v/>
      </c>
    </row>
    <row r="20" ht="14.1" customHeight="1">
      <c r="A20" s="185" t="n">
        <v>1016</v>
      </c>
      <c r="B20" s="185" t="inlineStr">
        <is>
          <t xml:space="preserve">  合同资产 </t>
        </is>
      </c>
      <c r="C20" s="186" t="n"/>
      <c r="D20" s="186" t="n"/>
      <c r="E20" s="186" t="n"/>
      <c r="F20" s="186" t="n"/>
      <c r="G20" s="186" t="n"/>
      <c r="H20">
        <f>C20+D20+E20+F20</f>
        <v/>
      </c>
      <c r="I20">
        <f>B20</f>
        <v/>
      </c>
      <c r="J20" s="43">
        <f>CONCATENATE("近三年及一期，拟承租人",B20,"分别为",ROUND(F20/100000000,2),"亿元、",ROUND(E20/100000000,2),"亿元、",ROUND(D20/100000000,2),"亿元及",ROUND(C20/100000000,2),"亿元。")</f>
        <v/>
      </c>
    </row>
    <row r="21" ht="14.1" customHeight="1">
      <c r="A21" s="185" t="n">
        <v>1017</v>
      </c>
      <c r="B21" s="185" t="inlineStr">
        <is>
          <t xml:space="preserve">  持有待售资产 </t>
        </is>
      </c>
      <c r="C21" s="204" t="n"/>
      <c r="D21" s="186" t="n"/>
      <c r="E21" s="186" t="n"/>
      <c r="F21" s="186" t="n"/>
      <c r="G21" s="186" t="n"/>
      <c r="H21">
        <f>C21+D21+E21+F21</f>
        <v/>
      </c>
      <c r="I21">
        <f>B21</f>
        <v/>
      </c>
      <c r="J21" s="43">
        <f>CONCATENATE("近三年及一期，拟承租人",B21,"分别为",ROUND(F21/100000000,2),"亿元、",ROUND(E21/100000000,2),"亿元、",ROUND(D21/100000000,2),"亿元及",ROUND(C21/100000000,2),"亿元。")</f>
        <v/>
      </c>
    </row>
    <row r="22" ht="14.1" customHeight="1">
      <c r="A22" s="185" t="n">
        <v>1018</v>
      </c>
      <c r="B22" s="185" t="inlineStr">
        <is>
          <t xml:space="preserve">  一年内到期的非流动资产 </t>
        </is>
      </c>
      <c r="C22" s="204" t="n"/>
      <c r="D22" s="186" t="n"/>
      <c r="E22" s="186" t="n"/>
      <c r="F22" s="186" t="n"/>
      <c r="G22" s="186" t="n"/>
      <c r="H22">
        <f>C22+D22+E22+F22</f>
        <v/>
      </c>
      <c r="I22">
        <f>B22</f>
        <v/>
      </c>
      <c r="J22" s="43">
        <f>CONCATENATE("近三年及一期，拟承租人",B22,"分别为",ROUND(F22/100000000,2),"亿元、",ROUND(E22/100000000,2),"亿元、",ROUND(D22/100000000,2),"亿元及",ROUND(C22/100000000,2),"亿元。")</f>
        <v/>
      </c>
    </row>
    <row r="23" ht="14.1" customHeight="1">
      <c r="A23" s="185" t="n">
        <v>1019</v>
      </c>
      <c r="B23" s="185" t="inlineStr">
        <is>
          <t xml:space="preserve">  其他流动资产 </t>
        </is>
      </c>
      <c r="C23" s="204" t="n"/>
      <c r="D23" s="186" t="n"/>
      <c r="E23" s="186" t="n"/>
      <c r="F23" s="186" t="n"/>
      <c r="G23" s="186" t="n"/>
      <c r="H23">
        <f>C23+D23+E23+F23</f>
        <v/>
      </c>
      <c r="I23">
        <f>B23</f>
        <v/>
      </c>
      <c r="J23" s="43">
        <f>CONCATENATE("近三年及一期，拟承租人",B23,"分别为",ROUND(F23/100000000,2),"亿元、",ROUND(E23/100000000,2),"亿元、",ROUND(D23/100000000,2),"亿元及",ROUND(C23/100000000,2),"亿元。")</f>
        <v/>
      </c>
    </row>
    <row r="24" ht="14.1" customFormat="1" customHeight="1" s="183">
      <c r="A24" s="188" t="n">
        <v>1099</v>
      </c>
      <c r="B24" s="188" t="inlineStr">
        <is>
          <t xml:space="preserve">流动资产合计 </t>
        </is>
      </c>
      <c r="C24" s="205">
        <f>C3+C4+C5+C6+C7+C8+C9+C10+C11+C12+C13+C14+C15+C18+C19+C20+C21+C22+C23</f>
        <v/>
      </c>
      <c r="D24" s="190">
        <f>D3+D4+D5+D6+D7+D8+D9+D10+D11+D12+D13+D14+D15+D18+D19+D20+D21+D22+D23</f>
        <v/>
      </c>
      <c r="E24" s="190">
        <f>E3+E4+E5+E6+E7+E8+E9+E10+E11+E12+E13+E14+E15+E18+E19+E20+E21+E22+E23</f>
        <v/>
      </c>
      <c r="F24" s="190">
        <f>F3+F4+F5+F6+F7+F8+F9+F10+F11+F12+F13+F14+F15+F18+F19+F20+F21+F22+F23</f>
        <v/>
      </c>
      <c r="G24" s="190">
        <f>G3+G4+G5+G6+G7+G8+G9+G10+G11+G12+G13+G14+G15+G18+G19+G20+G21+G22+G23</f>
        <v/>
      </c>
      <c r="H24">
        <f>C24+D24+E24+F24</f>
        <v/>
      </c>
      <c r="I24" s="183">
        <f>B24</f>
        <v/>
      </c>
      <c r="J24" s="43">
        <f>CONCATENATE("近三年及一期，拟承租人",B24,"分别为",ROUND(F24/100000000,2),"亿元、",ROUND(E24/100000000,2),"亿元、",ROUND(D24/100000000,2),"亿元及",ROUND(C24/100000000,2),"亿元。")</f>
        <v/>
      </c>
    </row>
    <row r="25" ht="15" customFormat="1" customHeight="1" s="184">
      <c r="A25" s="185" t="n">
        <v>1100</v>
      </c>
      <c r="B25" s="173" t="inlineStr">
        <is>
          <t xml:space="preserve">非流动资产： </t>
        </is>
      </c>
      <c r="C25" s="204" t="n"/>
      <c r="D25" s="186" t="n"/>
      <c r="E25" s="186" t="n"/>
      <c r="F25" s="186" t="n"/>
      <c r="G25" s="186" t="n"/>
      <c r="H25">
        <f>C25+D25+E25+F25</f>
        <v/>
      </c>
      <c r="I25">
        <f>B25</f>
        <v/>
      </c>
      <c r="J25" s="43" t="n"/>
    </row>
    <row r="26" ht="15" customFormat="1" customHeight="1" s="184">
      <c r="A26" s="185" t="n">
        <v>1101</v>
      </c>
      <c r="B26" s="185" t="inlineStr">
        <is>
          <t xml:space="preserve">  发放贷款和垫款* </t>
        </is>
      </c>
      <c r="C26" s="206" t="n"/>
      <c r="D26" s="186" t="n"/>
      <c r="E26" s="186" t="n"/>
      <c r="F26" s="186" t="n"/>
      <c r="G26" s="186" t="n"/>
      <c r="H26">
        <f>C26+D26+E26+F26</f>
        <v/>
      </c>
      <c r="I26">
        <f>B26</f>
        <v/>
      </c>
      <c r="J26" s="43">
        <f>CONCATENATE("近三年及一期，拟承租人",B26,"分别为",ROUND(F26/100000000,2),"亿元、",ROUND(E26/100000000,2),"亿元、",ROUND(D26/100000000,2),"亿元及",ROUND(C26/100000000,2),"亿元。")</f>
        <v/>
      </c>
    </row>
    <row r="27" ht="15" customFormat="1" customHeight="1" s="184">
      <c r="A27" s="185" t="n">
        <v>1102</v>
      </c>
      <c r="B27" s="185" t="inlineStr">
        <is>
          <t xml:space="preserve">  债权投资 </t>
        </is>
      </c>
      <c r="C27" s="206" t="n"/>
      <c r="D27" s="186" t="n"/>
      <c r="E27" s="186" t="n"/>
      <c r="F27" s="186" t="n"/>
      <c r="G27" s="186" t="n"/>
      <c r="H27">
        <f>C27+D27+E27+F27</f>
        <v/>
      </c>
      <c r="I27">
        <f>B27</f>
        <v/>
      </c>
      <c r="J27" s="43">
        <f>CONCATENATE("近三年及一期，拟承租人",B27,"分别为",ROUND(F27/100000000,2),"亿元、",ROUND(E27/100000000,2),"亿元、",ROUND(D27/100000000,2),"亿元及",ROUND(C27/100000000,2),"亿元。")</f>
        <v/>
      </c>
    </row>
    <row r="28" ht="15" customFormat="1" customHeight="1" s="184">
      <c r="A28" s="185" t="n">
        <v>1103</v>
      </c>
      <c r="B28" s="185" t="inlineStr">
        <is>
          <t xml:space="preserve">  其他债权投资 </t>
        </is>
      </c>
      <c r="C28" s="206" t="n"/>
      <c r="D28" s="186" t="n"/>
      <c r="E28" s="186" t="n"/>
      <c r="F28" s="186" t="n"/>
      <c r="G28" s="186" t="n"/>
      <c r="H28">
        <f>C28+D28+E28+F28</f>
        <v/>
      </c>
      <c r="I28">
        <f>B28</f>
        <v/>
      </c>
      <c r="J28" s="43">
        <f>CONCATENATE("近三年及一期，拟承租人",B28,"分别为",ROUND(F28/100000000,2),"亿元、",ROUND(E28/100000000,2),"亿元、",ROUND(D28/100000000,2),"亿元及",ROUND(C28/100000000,2),"亿元。")</f>
        <v/>
      </c>
    </row>
    <row r="29" ht="15" customFormat="1" customHeight="1" s="184">
      <c r="A29" s="185" t="n">
        <v>1104</v>
      </c>
      <c r="B29" s="185" t="inlineStr">
        <is>
          <t xml:space="preserve">  长期应收款 </t>
        </is>
      </c>
      <c r="C29" s="206" t="n"/>
      <c r="D29" s="186" t="n"/>
      <c r="E29" s="186" t="n"/>
      <c r="F29" s="186" t="n"/>
      <c r="G29" s="186" t="n"/>
      <c r="H29">
        <f>C29+D29+E29+F29</f>
        <v/>
      </c>
      <c r="I29">
        <f>B29</f>
        <v/>
      </c>
      <c r="J29" s="43">
        <f>CONCATENATE("近三年及一期，拟承租人",B29,"分别为",ROUND(F29/100000000,2),"亿元、",ROUND(E29/100000000,2),"亿元、",ROUND(D29/100000000,2),"亿元及",ROUND(C29/100000000,2),"亿元。")</f>
        <v/>
      </c>
    </row>
    <row r="30" ht="15" customFormat="1" customHeight="1" s="184">
      <c r="A30" s="185" t="n">
        <v>1105</v>
      </c>
      <c r="B30" s="185" t="inlineStr">
        <is>
          <t xml:space="preserve">  长期股权投资 </t>
        </is>
      </c>
      <c r="C30" s="206" t="n"/>
      <c r="D30" s="186" t="n"/>
      <c r="E30" s="186" t="n"/>
      <c r="F30" s="186" t="n"/>
      <c r="G30" s="186" t="n"/>
      <c r="H30">
        <f>C30+D30+E30+F30</f>
        <v/>
      </c>
      <c r="I30">
        <f>B30</f>
        <v/>
      </c>
      <c r="J30" s="43">
        <f>CONCATENATE("近三年及一期，拟承租人",B30,"分别为",ROUND(F30/100000000,2),"亿元、",ROUND(E30/100000000,2),"亿元、",ROUND(D30/100000000,2),"亿元及",ROUND(C30/100000000,2),"亿元。")</f>
        <v/>
      </c>
    </row>
    <row r="31" ht="15" customFormat="1" customHeight="1" s="184">
      <c r="A31" s="185" t="n">
        <v>1106</v>
      </c>
      <c r="B31" s="185" t="inlineStr">
        <is>
          <t xml:space="preserve">  可供出售金融资产 </t>
        </is>
      </c>
      <c r="C31" s="204" t="n"/>
      <c r="D31" s="186" t="n"/>
      <c r="E31" s="186" t="n"/>
      <c r="F31" s="186" t="n"/>
      <c r="G31" s="186" t="n"/>
      <c r="H31">
        <f>C31+D31+E31+F31</f>
        <v/>
      </c>
      <c r="I31">
        <f>B31</f>
        <v/>
      </c>
      <c r="J31" s="43">
        <f>CONCATENATE("近三年及一期，拟承租人",B31,"分别为",ROUND(F31/100000000,2),"亿元、",ROUND(E31/100000000,2),"亿元、",ROUND(D31/100000000,2),"亿元及",ROUND(C31/100000000,2),"亿元。")</f>
        <v/>
      </c>
    </row>
    <row r="32" ht="15" customFormat="1" customHeight="1" s="184">
      <c r="A32" s="185" t="n">
        <v>1107</v>
      </c>
      <c r="B32" s="185" t="inlineStr">
        <is>
          <t xml:space="preserve">  持有至到期投资 </t>
        </is>
      </c>
      <c r="C32" s="204" t="n"/>
      <c r="D32" s="186" t="n"/>
      <c r="E32" s="186" t="n"/>
      <c r="F32" s="186" t="n"/>
      <c r="G32" s="186" t="n"/>
      <c r="H32">
        <f>C32+D32+E32+F32</f>
        <v/>
      </c>
      <c r="I32">
        <f>B32</f>
        <v/>
      </c>
      <c r="J32" s="43">
        <f>CONCATENATE("近三年及一期，拟承租人",B32,"分别为",ROUND(F32/100000000,2),"亿元、",ROUND(E32/100000000,2),"亿元、",ROUND(D32/100000000,2),"亿元及",ROUND(C32/100000000,2),"亿元。")</f>
        <v/>
      </c>
    </row>
    <row r="33" ht="15" customFormat="1" customHeight="1" s="184">
      <c r="A33" s="185" t="n">
        <v>1108</v>
      </c>
      <c r="B33" s="185" t="inlineStr">
        <is>
          <t xml:space="preserve">  其他权益工具投资 </t>
        </is>
      </c>
      <c r="C33" s="204" t="n"/>
      <c r="D33" s="186" t="n"/>
      <c r="E33" s="186" t="n"/>
      <c r="F33" s="186" t="n"/>
      <c r="G33" s="186" t="n"/>
      <c r="H33">
        <f>C33+D33+E33+F33</f>
        <v/>
      </c>
      <c r="I33">
        <f>B33</f>
        <v/>
      </c>
      <c r="J33" s="43">
        <f>CONCATENATE("近三年及一期，拟承租人",B33,"分别为",ROUND(F33/100000000,2),"亿元、",ROUND(E33/100000000,2),"亿元、",ROUND(D33/100000000,2),"亿元及",ROUND(C33/100000000,2),"亿元。")</f>
        <v/>
      </c>
    </row>
    <row r="34" ht="15" customFormat="1" customHeight="1" s="184">
      <c r="A34" s="185" t="n">
        <v>1109</v>
      </c>
      <c r="B34" s="185" t="inlineStr">
        <is>
          <t xml:space="preserve">  其他非流动金融资产 </t>
        </is>
      </c>
      <c r="C34" s="204" t="n"/>
      <c r="D34" s="186" t="n"/>
      <c r="E34" s="186" t="n"/>
      <c r="F34" s="186" t="n"/>
      <c r="G34" s="186" t="n"/>
      <c r="H34">
        <f>C34+D34+E34+F34</f>
        <v/>
      </c>
      <c r="I34">
        <f>B34</f>
        <v/>
      </c>
      <c r="J34" s="43">
        <f>CONCATENATE("近三年及一期，拟承租人",B34,"分别为",ROUND(F34/100000000,2),"亿元、",ROUND(E34/100000000,2),"亿元、",ROUND(D34/100000000,2),"亿元及",ROUND(C34/100000000,2),"亿元。")</f>
        <v/>
      </c>
    </row>
    <row r="35" ht="15" customFormat="1" customHeight="1" s="184">
      <c r="A35" s="185" t="n">
        <v>1110</v>
      </c>
      <c r="B35" s="185" t="inlineStr">
        <is>
          <t xml:space="preserve">  投资性房地产 </t>
        </is>
      </c>
      <c r="C35" s="204" t="n"/>
      <c r="D35" s="186" t="n"/>
      <c r="E35" s="186" t="n"/>
      <c r="F35" s="186" t="n"/>
      <c r="G35" s="186" t="n"/>
      <c r="H35">
        <f>C35+D35+E35+F35</f>
        <v/>
      </c>
      <c r="I35">
        <f>B35</f>
        <v/>
      </c>
      <c r="J35" s="43">
        <f>CONCATENATE("近三年及一期，拟承租人",B35,"分别为",ROUND(F35/100000000,2),"亿元、",ROUND(E35/100000000,2),"亿元、",ROUND(D35/100000000,2),"亿元及",ROUND(C35/100000000,2),"亿元。")</f>
        <v/>
      </c>
    </row>
    <row r="36" ht="15" customFormat="1" customHeight="1" s="184">
      <c r="A36" s="185" t="n">
        <v>1111</v>
      </c>
      <c r="B36" s="185" t="inlineStr">
        <is>
          <t xml:space="preserve">  固定资产 </t>
        </is>
      </c>
      <c r="C36" s="204" t="n"/>
      <c r="D36" s="186" t="n"/>
      <c r="E36" s="186" t="n"/>
      <c r="F36" s="186" t="n"/>
      <c r="G36" s="186" t="n"/>
      <c r="H36">
        <f>C36+D36+E36+F36</f>
        <v/>
      </c>
      <c r="I36">
        <f>B36</f>
        <v/>
      </c>
      <c r="J36" s="43">
        <f>CONCATENATE("近三年及一期，拟承租人",B36,"分别为",ROUND(F36/100000000,2),"亿元、",ROUND(E36/100000000,2),"亿元、",ROUND(D36/100000000,2),"亿元及",ROUND(C36/100000000,2),"亿元。")</f>
        <v/>
      </c>
    </row>
    <row r="37" ht="15" customFormat="1" customHeight="1" s="184">
      <c r="A37" s="185" t="n">
        <v>1112</v>
      </c>
      <c r="B37" s="185" t="inlineStr">
        <is>
          <t xml:space="preserve">  累计折旧</t>
        </is>
      </c>
      <c r="C37" s="204" t="n"/>
      <c r="D37" s="186" t="n"/>
      <c r="E37" s="186" t="n"/>
      <c r="F37" s="186" t="n"/>
      <c r="G37" s="186" t="n"/>
      <c r="H37">
        <f>C37+D37+E37+F37</f>
        <v/>
      </c>
      <c r="I37">
        <f>B37</f>
        <v/>
      </c>
      <c r="J37" s="43">
        <f>CONCATENATE("近三年及一期，拟承租人",B37,"分别为",ROUND(F37/100000000,2),"亿元、",ROUND(E37/100000000,2),"亿元、",ROUND(D37/100000000,2),"亿元及",ROUND(C37/100000000,2),"亿元。")</f>
        <v/>
      </c>
    </row>
    <row r="38" ht="15" customFormat="1" customHeight="1" s="184">
      <c r="A38" s="185" t="n">
        <v>1113</v>
      </c>
      <c r="B38" s="185" t="inlineStr">
        <is>
          <t xml:space="preserve">  固定资产减值准备 </t>
        </is>
      </c>
      <c r="C38" s="204" t="n"/>
      <c r="D38" s="186" t="n"/>
      <c r="E38" s="186" t="n"/>
      <c r="F38" s="186" t="n"/>
      <c r="G38" s="186" t="n"/>
      <c r="H38">
        <f>C38+D38+E38+F38</f>
        <v/>
      </c>
      <c r="I38">
        <f>B38</f>
        <v/>
      </c>
      <c r="J38" s="43">
        <f>CONCATENATE("近三年及一期，拟承租人",B38,"分别为",ROUND(F38/100000000,2),"亿元、",ROUND(E38/100000000,2),"亿元、",ROUND(D38/100000000,2),"亿元及",ROUND(C38/100000000,2),"亿元。")</f>
        <v/>
      </c>
    </row>
    <row r="39" ht="15" customFormat="1" customHeight="1" s="184">
      <c r="A39" s="185" t="n">
        <v>1114</v>
      </c>
      <c r="B39" s="185" t="inlineStr">
        <is>
          <t xml:space="preserve">  固定资产净额</t>
        </is>
      </c>
      <c r="C39" s="207">
        <f>C36-C37-C38</f>
        <v/>
      </c>
      <c r="D39" s="193">
        <f>D36-D37-D38</f>
        <v/>
      </c>
      <c r="E39" s="193">
        <f>E36-E37-E38</f>
        <v/>
      </c>
      <c r="F39" s="193">
        <f>F36-F37-F38</f>
        <v/>
      </c>
      <c r="G39" s="193">
        <f>G36-G37-G38</f>
        <v/>
      </c>
      <c r="H39">
        <f>C39+D39+E39+F39</f>
        <v/>
      </c>
      <c r="I39">
        <f>B39</f>
        <v/>
      </c>
      <c r="J39" s="43">
        <f>CONCATENATE("近三年及一期，拟承租人",B39,"分别为",ROUND(F39/100000000,2),"亿元、",ROUND(E39/100000000,2),"亿元、",ROUND(D39/100000000,2),"亿元及",ROUND(C39/100000000,2),"亿元。")</f>
        <v/>
      </c>
    </row>
    <row r="40" ht="15" customFormat="1" customHeight="1" s="184">
      <c r="A40" s="185" t="n">
        <v>1115</v>
      </c>
      <c r="B40" s="185" t="inlineStr">
        <is>
          <t xml:space="preserve">  固定资产清理</t>
        </is>
      </c>
      <c r="C40" s="204" t="n"/>
      <c r="D40" s="186" t="n"/>
      <c r="E40" s="186" t="n"/>
      <c r="F40" s="186" t="n"/>
      <c r="G40" s="186" t="n"/>
      <c r="H40">
        <f>C40+D40+E40+F40</f>
        <v/>
      </c>
      <c r="I40">
        <f>B40</f>
        <v/>
      </c>
      <c r="J40" s="43">
        <f>CONCATENATE("近三年及一期，拟承租人",B40,"分别为",ROUND(F40/100000000,2),"亿元、",ROUND(E40/100000000,2),"亿元、",ROUND(D40/100000000,2),"亿元及",ROUND(C40/100000000,2),"亿元。")</f>
        <v/>
      </c>
    </row>
    <row r="41" ht="15" customFormat="1" customHeight="1" s="184">
      <c r="A41" s="185" t="n">
        <v>1116</v>
      </c>
      <c r="B41" s="185" t="inlineStr">
        <is>
          <t xml:space="preserve">  工程物资</t>
        </is>
      </c>
      <c r="C41" s="204" t="n"/>
      <c r="D41" s="186" t="n"/>
      <c r="E41" s="186" t="n"/>
      <c r="F41" s="186" t="n"/>
      <c r="G41" s="186" t="n"/>
      <c r="H41">
        <f>C41+D41+E41+F41</f>
        <v/>
      </c>
      <c r="I41">
        <f>B41</f>
        <v/>
      </c>
      <c r="J41" s="43">
        <f>CONCATENATE("近三年及一期，拟承租人",B41,"分别为",ROUND(F41/100000000,2),"亿元、",ROUND(E41/100000000,2),"亿元、",ROUND(D41/100000000,2),"亿元及",ROUND(C41/100000000,2),"亿元。")</f>
        <v/>
      </c>
    </row>
    <row r="42" ht="15" customFormat="1" customHeight="1" s="184">
      <c r="A42" s="185" t="n">
        <v>1117</v>
      </c>
      <c r="B42" s="185" t="inlineStr">
        <is>
          <t xml:space="preserve">  在建工程 </t>
        </is>
      </c>
      <c r="C42" s="204" t="n"/>
      <c r="D42" s="186" t="n"/>
      <c r="E42" s="186" t="n"/>
      <c r="F42" s="186" t="n"/>
      <c r="G42" s="186" t="n"/>
      <c r="H42">
        <f>C42+D42+E42+F42</f>
        <v/>
      </c>
      <c r="I42">
        <f>B42</f>
        <v/>
      </c>
      <c r="J42" s="43">
        <f>CONCATENATE("近三年及一期，拟承租人",B42,"分别为",ROUND(F42/100000000,2),"亿元、",ROUND(E42/100000000,2),"亿元、",ROUND(D42/100000000,2),"亿元及",ROUND(C42/100000000,2),"亿元。")</f>
        <v/>
      </c>
    </row>
    <row r="43" ht="15" customFormat="1" customHeight="1" s="184">
      <c r="A43" s="185" t="n">
        <v>1118</v>
      </c>
      <c r="B43" s="185" t="inlineStr">
        <is>
          <t xml:space="preserve">  生产性生物资产 </t>
        </is>
      </c>
      <c r="C43" s="204" t="n"/>
      <c r="D43" s="186" t="n"/>
      <c r="E43" s="186" t="n"/>
      <c r="F43" s="186" t="n"/>
      <c r="G43" s="186" t="n"/>
      <c r="H43">
        <f>C43+D43+E43+F43</f>
        <v/>
      </c>
      <c r="I43">
        <f>B43</f>
        <v/>
      </c>
      <c r="J43" s="43">
        <f>CONCATENATE("近三年及一期，拟承租人",B43,"分别为",ROUND(F43/100000000,2),"亿元、",ROUND(E43/100000000,2),"亿元、",ROUND(D43/100000000,2),"亿元及",ROUND(C43/100000000,2),"亿元。")</f>
        <v/>
      </c>
    </row>
    <row r="44" ht="15" customFormat="1" customHeight="1" s="184">
      <c r="A44" s="185" t="n">
        <v>1119</v>
      </c>
      <c r="B44" s="185" t="inlineStr">
        <is>
          <t xml:space="preserve">  油气资产 </t>
        </is>
      </c>
      <c r="C44" s="204" t="n"/>
      <c r="D44" s="186" t="n"/>
      <c r="E44" s="186" t="n"/>
      <c r="F44" s="186" t="n"/>
      <c r="G44" s="186" t="n"/>
      <c r="H44">
        <f>C44+D44+E44+F44</f>
        <v/>
      </c>
      <c r="I44">
        <f>B44</f>
        <v/>
      </c>
      <c r="J44" s="43">
        <f>CONCATENATE("近三年及一期，拟承租人",B44,"分别为",ROUND(F44/100000000,2),"亿元、",ROUND(E44/100000000,2),"亿元、",ROUND(D44/100000000,2),"亿元及",ROUND(C44/100000000,2),"亿元。")</f>
        <v/>
      </c>
    </row>
    <row r="45" ht="15" customFormat="1" customHeight="1" s="184">
      <c r="A45" s="185" t="n">
        <v>1120</v>
      </c>
      <c r="B45" s="185" t="inlineStr">
        <is>
          <t xml:space="preserve">  使用权资产 </t>
        </is>
      </c>
      <c r="C45" s="204" t="n"/>
      <c r="D45" s="186" t="n"/>
      <c r="E45" s="186" t="n"/>
      <c r="F45" s="186" t="n"/>
      <c r="G45" s="186" t="n"/>
      <c r="H45">
        <f>C45+D45+E45+F45</f>
        <v/>
      </c>
      <c r="I45">
        <f>B45</f>
        <v/>
      </c>
      <c r="J45" s="43">
        <f>CONCATENATE("近三年及一期，拟承租人",B45,"分别为",ROUND(F45/100000000,2),"亿元、",ROUND(E45/100000000,2),"亿元、",ROUND(D45/100000000,2),"亿元及",ROUND(C45/100000000,2),"亿元。")</f>
        <v/>
      </c>
    </row>
    <row r="46" ht="15" customFormat="1" customHeight="1" s="184">
      <c r="A46" s="185" t="n">
        <v>1121</v>
      </c>
      <c r="B46" s="185" t="inlineStr">
        <is>
          <t xml:space="preserve">  无形资产 </t>
        </is>
      </c>
      <c r="C46" s="204" t="n"/>
      <c r="D46" s="186" t="n"/>
      <c r="E46" s="186" t="n"/>
      <c r="F46" s="186" t="n"/>
      <c r="G46" s="186" t="n"/>
      <c r="H46">
        <f>C46+D46+E46+F46</f>
        <v/>
      </c>
      <c r="I46">
        <f>B46</f>
        <v/>
      </c>
      <c r="J46" s="43">
        <f>CONCATENATE("近三年及一期，拟承租人",B46,"分别为",ROUND(F46/100000000,2),"亿元、",ROUND(E46/100000000,2),"亿元、",ROUND(D46/100000000,2),"亿元及",ROUND(C46/100000000,2),"亿元。")</f>
        <v/>
      </c>
    </row>
    <row r="47" ht="15" customFormat="1" customHeight="1" s="184">
      <c r="A47" s="185" t="n">
        <v>1122</v>
      </c>
      <c r="B47" s="185" t="inlineStr">
        <is>
          <t xml:space="preserve">  开发支出 </t>
        </is>
      </c>
      <c r="C47" s="204" t="n"/>
      <c r="D47" s="186" t="n"/>
      <c r="E47" s="186" t="n"/>
      <c r="F47" s="186" t="n"/>
      <c r="G47" s="186" t="n"/>
      <c r="H47">
        <f>C47+D47+E47+F47</f>
        <v/>
      </c>
      <c r="I47">
        <f>B47</f>
        <v/>
      </c>
      <c r="J47" s="43">
        <f>CONCATENATE("近三年及一期，拟承租人",B47,"分别为",ROUND(F47/100000000,2),"亿元、",ROUND(E47/100000000,2),"亿元、",ROUND(D47/100000000,2),"亿元及",ROUND(C47/100000000,2),"亿元。")</f>
        <v/>
      </c>
    </row>
    <row r="48" ht="15" customFormat="1" customHeight="1" s="184">
      <c r="A48" s="185" t="n">
        <v>1123</v>
      </c>
      <c r="B48" s="185" t="inlineStr">
        <is>
          <t xml:space="preserve">  商誉 </t>
        </is>
      </c>
      <c r="C48" s="204" t="n"/>
      <c r="D48" s="186" t="n"/>
      <c r="E48" s="186" t="n"/>
      <c r="F48" s="186" t="n"/>
      <c r="G48" s="186" t="n"/>
      <c r="H48">
        <f>C48+D48+E48+F48</f>
        <v/>
      </c>
      <c r="I48">
        <f>B48</f>
        <v/>
      </c>
      <c r="J48" s="43">
        <f>CONCATENATE("近三年及一期，拟承租人",B48,"分别为",ROUND(F48/100000000,2),"亿元、",ROUND(E48/100000000,2),"亿元、",ROUND(D48/100000000,2),"亿元及",ROUND(C48/100000000,2),"亿元。")</f>
        <v/>
      </c>
    </row>
    <row r="49" ht="15" customFormat="1" customHeight="1" s="184">
      <c r="A49" s="185" t="n">
        <v>1124</v>
      </c>
      <c r="B49" s="185" t="inlineStr">
        <is>
          <t xml:space="preserve">  长期待摊费用 </t>
        </is>
      </c>
      <c r="C49" s="204" t="n"/>
      <c r="D49" s="186" t="n"/>
      <c r="E49" s="186" t="n"/>
      <c r="F49" s="186" t="n"/>
      <c r="G49" s="186" t="n"/>
      <c r="H49">
        <f>C49+D49+E49+F49</f>
        <v/>
      </c>
      <c r="I49">
        <f>B49</f>
        <v/>
      </c>
      <c r="J49" s="43">
        <f>CONCATENATE("近三年及一期，拟承租人",B49,"分别为",ROUND(F49/100000000,2),"亿元、",ROUND(E49/100000000,2),"亿元、",ROUND(D49/100000000,2),"亿元及",ROUND(C49/100000000,2),"亿元。")</f>
        <v/>
      </c>
    </row>
    <row r="50" ht="15" customFormat="1" customHeight="1" s="184">
      <c r="A50" s="185" t="n">
        <v>1125</v>
      </c>
      <c r="B50" s="185" t="inlineStr">
        <is>
          <t xml:space="preserve">  递延所得税资产 </t>
        </is>
      </c>
      <c r="C50" s="204" t="n"/>
      <c r="D50" s="186" t="n"/>
      <c r="E50" s="186" t="n"/>
      <c r="F50" s="186" t="n"/>
      <c r="G50" s="186" t="n"/>
      <c r="H50">
        <f>C50+D50+E50+F50</f>
        <v/>
      </c>
      <c r="I50">
        <f>B50</f>
        <v/>
      </c>
      <c r="J50" s="43">
        <f>CONCATENATE("近三年及一期，拟承租人",B50,"分别为",ROUND(F50/100000000,2),"亿元、",ROUND(E50/100000000,2),"亿元、",ROUND(D50/100000000,2),"亿元及",ROUND(C50/100000000,2),"亿元。")</f>
        <v/>
      </c>
    </row>
    <row r="51" ht="15" customFormat="1" customHeight="1" s="184">
      <c r="A51" s="185" t="n">
        <v>1126</v>
      </c>
      <c r="B51" s="185" t="inlineStr">
        <is>
          <t xml:space="preserve">  其他非流动资产 </t>
        </is>
      </c>
      <c r="C51" s="204" t="n"/>
      <c r="D51" s="186" t="n"/>
      <c r="E51" s="186" t="n"/>
      <c r="F51" s="186" t="n"/>
      <c r="G51" s="186" t="n"/>
      <c r="H51">
        <f>C51+D51+E51+F51</f>
        <v/>
      </c>
      <c r="I51">
        <f>B51</f>
        <v/>
      </c>
      <c r="J51" s="43">
        <f>CONCATENATE("近三年及一期，拟承租人",B51,"分别为",ROUND(F51/100000000,2),"亿元、",ROUND(E51/100000000,2),"亿元、",ROUND(D51/100000000,2),"亿元及",ROUND(C51/100000000,2),"亿元。")</f>
        <v/>
      </c>
    </row>
    <row r="52" ht="14.1" customFormat="1" customHeight="1" s="183">
      <c r="A52" s="188" t="n">
        <v>1199</v>
      </c>
      <c r="B52" s="194" t="inlineStr">
        <is>
          <t xml:space="preserve">非流动资产合计 </t>
        </is>
      </c>
      <c r="C52" s="190">
        <f>C26+C27+C28+C29+C30+C31+C32+C32+C33+C34+C35+C39+C40+C41+C42+C43+C44+C45+C46+C47+C48+C49+C50+C51</f>
        <v/>
      </c>
      <c r="D52" s="190">
        <f>D26+D27+D28+D29+D30+D31+D32+D32+D33+D34+D35+D39+D40+D41+D42+D43+D44+D45+D46+D47+D48+D49+D50+D51</f>
        <v/>
      </c>
      <c r="E52" s="190">
        <f>E26+E27+E28+E29+E30+E31+E32+E32+E33+E34+E35+E39+E40+E41+E42+E43+E44+E45+E46+E47+E48+E49+E50+E51</f>
        <v/>
      </c>
      <c r="F52" s="190">
        <f>F26+F27+F28+F29+F30+F31+F32+F32+F33+F34+F35+F39+F40+F41+F42+F43+F44+F45+F46+F47+F48+F49+F50+F51</f>
        <v/>
      </c>
      <c r="G52" s="190">
        <f>G26+G27+G28+G29+G30+G31+G32+G32+G33+G34+G35+G39+G40+G41+G42+G43+G44+G45+G46+G47+G48+G49+G50+G51</f>
        <v/>
      </c>
      <c r="H52">
        <f>C52+D52+E52+F52</f>
        <v/>
      </c>
      <c r="I52">
        <f>B52</f>
        <v/>
      </c>
      <c r="J52" s="43">
        <f>CONCATENATE("近三年及一期，拟承租人",B52,"分别为",ROUND(F52/100000000,2),"亿元、",ROUND(E52/100000000,2),"亿元、",ROUND(D52/100000000,2),"亿元及",ROUND(C52/100000000,2),"亿元。")</f>
        <v/>
      </c>
    </row>
    <row r="53" ht="14.1" customFormat="1" customHeight="1" s="183">
      <c r="A53" s="188" t="n">
        <v>1999</v>
      </c>
      <c r="B53" s="188" t="inlineStr">
        <is>
          <t xml:space="preserve">      资产总计 </t>
        </is>
      </c>
      <c r="C53" s="190">
        <f>C24+C52</f>
        <v/>
      </c>
      <c r="D53" s="190">
        <f>D24+D52</f>
        <v/>
      </c>
      <c r="E53" s="190">
        <f>E24+E52</f>
        <v/>
      </c>
      <c r="F53" s="190">
        <f>F24+F52</f>
        <v/>
      </c>
      <c r="G53" s="190">
        <f>G24+G52</f>
        <v/>
      </c>
      <c r="H53">
        <f>C53+D53+E53+F53</f>
        <v/>
      </c>
      <c r="I53" s="183">
        <f>B53</f>
        <v/>
      </c>
      <c r="J53" s="43">
        <f>CONCATENATE("近三年及一期，拟承租人",B53,"分别为",ROUND(F53/100000000,2),"亿元、",ROUND(E53/100000000,2),"亿元、",ROUND(D53/100000000,2),"亿元及",ROUND(C53/100000000,2),"亿元。")</f>
        <v/>
      </c>
    </row>
    <row r="54" ht="14.1" customHeight="1">
      <c r="A54" s="43" t="n">
        <v>2000</v>
      </c>
      <c r="B54" s="59" t="inlineStr">
        <is>
          <t>应付</t>
        </is>
      </c>
      <c r="C54" s="186" t="n"/>
      <c r="D54" s="186" t="n"/>
      <c r="E54" s="186" t="n"/>
      <c r="F54" s="186" t="n"/>
      <c r="G54" s="186" t="n"/>
      <c r="H54">
        <f>C54+D54+E54+F54</f>
        <v/>
      </c>
      <c r="I54">
        <f>B54</f>
        <v/>
      </c>
      <c r="J54" s="43" t="n"/>
    </row>
    <row r="55" ht="14.1" customHeight="1">
      <c r="A55" s="43" t="n">
        <v>2001</v>
      </c>
      <c r="B55" s="43" t="inlineStr">
        <is>
          <t xml:space="preserve">  短期借款 </t>
        </is>
      </c>
      <c r="C55" s="186" t="n"/>
      <c r="D55" s="186" t="n"/>
      <c r="E55" s="186" t="n"/>
      <c r="F55" s="186" t="n"/>
      <c r="G55" s="186" t="n"/>
      <c r="H55">
        <f>C55+D55+E55+F55</f>
        <v/>
      </c>
      <c r="I55">
        <f>B55</f>
        <v/>
      </c>
      <c r="J55" s="43">
        <f>CONCATENATE("近三年及一期，拟承租人",B55,"分别为",ROUND(F55/100000000,2),"亿元、",ROUND(E55/100000000,2),"亿元、",ROUND(D55/100000000,2),"亿元及",ROUND(C55/100000000,2),"亿元。")</f>
        <v/>
      </c>
    </row>
    <row r="56" ht="14.1" customHeight="1">
      <c r="A56" s="43" t="n">
        <v>2002</v>
      </c>
      <c r="B56" s="43" t="inlineStr">
        <is>
          <t xml:space="preserve">  向中央银行借款* </t>
        </is>
      </c>
      <c r="C56" s="186" t="n"/>
      <c r="D56" s="186" t="n"/>
      <c r="E56" s="186" t="n"/>
      <c r="F56" s="186" t="n"/>
      <c r="G56" s="186" t="n"/>
      <c r="H56">
        <f>C56+D56+E56+F56</f>
        <v/>
      </c>
      <c r="I56">
        <f>B56</f>
        <v/>
      </c>
      <c r="J56" s="43">
        <f>CONCATENATE("近三年及一期，拟承租人",B56,"分别为",ROUND(F56/100000000,2),"亿元、",ROUND(E56/100000000,2),"亿元、",ROUND(D56/100000000,2),"亿元及",ROUND(C56/100000000,2),"亿元。")</f>
        <v/>
      </c>
    </row>
    <row r="57" ht="14.1" customHeight="1">
      <c r="A57" s="43" t="n">
        <v>2003</v>
      </c>
      <c r="B57" s="43" t="inlineStr">
        <is>
          <t xml:space="preserve">  拆入资金* </t>
        </is>
      </c>
      <c r="C57" s="186" t="n"/>
      <c r="D57" s="186" t="n"/>
      <c r="E57" s="186" t="n"/>
      <c r="F57" s="186" t="n"/>
      <c r="G57" s="186" t="n"/>
      <c r="H57">
        <f>C57+D57+E57+F57</f>
        <v/>
      </c>
      <c r="I57">
        <f>B57</f>
        <v/>
      </c>
      <c r="J57" s="43">
        <f>CONCATENATE("近三年及一期，拟承租人",B57,"分别为",ROUND(F57/100000000,2),"亿元、",ROUND(E57/100000000,2),"亿元、",ROUND(D57/100000000,2),"亿元及",ROUND(C57/100000000,2),"亿元。")</f>
        <v/>
      </c>
    </row>
    <row r="58" ht="14.1" customHeight="1">
      <c r="A58" s="43" t="n">
        <v>2004</v>
      </c>
      <c r="B58" s="43" t="inlineStr">
        <is>
          <t xml:space="preserve">  交易性金融负债 </t>
        </is>
      </c>
      <c r="C58" s="186" t="n"/>
      <c r="D58" s="186" t="n"/>
      <c r="E58" s="186" t="n"/>
      <c r="F58" s="186" t="n"/>
      <c r="G58" s="186" t="n"/>
      <c r="H58">
        <f>C58+D58+E58+F58</f>
        <v/>
      </c>
      <c r="I58">
        <f>B58</f>
        <v/>
      </c>
      <c r="J58" s="43">
        <f>CONCATENATE("近三年及一期，拟承租人",B58,"分别为",ROUND(F58/100000000,2),"亿元、",ROUND(E58/100000000,2),"亿元、",ROUND(D58/100000000,2),"亿元及",ROUND(C58/100000000,2),"亿元。")</f>
        <v/>
      </c>
    </row>
    <row r="59" ht="14.1" customHeight="1">
      <c r="A59" s="43" t="n">
        <v>2005</v>
      </c>
      <c r="B59" s="43" t="inlineStr">
        <is>
          <t xml:space="preserve">  衍生金融负债 </t>
        </is>
      </c>
      <c r="C59" s="186" t="n"/>
      <c r="D59" s="186" t="n"/>
      <c r="E59" s="186" t="n"/>
      <c r="F59" s="186" t="n"/>
      <c r="G59" s="186" t="n"/>
      <c r="H59">
        <f>C59+D59+E59+F59</f>
        <v/>
      </c>
      <c r="I59">
        <f>B59</f>
        <v/>
      </c>
      <c r="J59" s="43">
        <f>CONCATENATE("近三年及一期，拟承租人",B59,"分别为",ROUND(F59/100000000,2),"亿元、",ROUND(E59/100000000,2),"亿元、",ROUND(D59/100000000,2),"亿元及",ROUND(C59/100000000,2),"亿元。")</f>
        <v/>
      </c>
    </row>
    <row r="60" ht="14.1" customHeight="1">
      <c r="A60" s="43" t="n">
        <v>2006</v>
      </c>
      <c r="B60" s="43" t="inlineStr">
        <is>
          <t xml:space="preserve">  应付票据 </t>
        </is>
      </c>
      <c r="C60" s="186" t="n"/>
      <c r="D60" s="186" t="n"/>
      <c r="E60" s="186" t="n"/>
      <c r="F60" s="186" t="n"/>
      <c r="G60" s="186" t="n"/>
      <c r="H60">
        <f>C60+D60+E60+F60</f>
        <v/>
      </c>
      <c r="I60">
        <f>B60</f>
        <v/>
      </c>
      <c r="J60" s="43">
        <f>CONCATENATE("近三年及一期，拟承租人",B60,"分别为",ROUND(F60/100000000,2),"亿元、",ROUND(E60/100000000,2),"亿元、",ROUND(D60/100000000,2),"亿元及",ROUND(C60/100000000,2),"亿元。")</f>
        <v/>
      </c>
    </row>
    <row r="61" ht="14.1" customHeight="1">
      <c r="A61" s="43" t="n">
        <v>2007</v>
      </c>
      <c r="B61" s="43" t="inlineStr">
        <is>
          <t xml:space="preserve">  应付账款 </t>
        </is>
      </c>
      <c r="C61" s="186" t="n"/>
      <c r="D61" s="186" t="n"/>
      <c r="E61" s="186" t="n"/>
      <c r="F61" s="186" t="n"/>
      <c r="G61" s="186" t="n"/>
      <c r="H61">
        <f>C61+D61+E61+F61</f>
        <v/>
      </c>
      <c r="I61">
        <f>B61</f>
        <v/>
      </c>
      <c r="J61" s="43">
        <f>CONCATENATE("近三年及一期，拟承租人",B61,"分别为",ROUND(F61/100000000,2),"亿元、",ROUND(E61/100000000,2),"亿元、",ROUND(D61/100000000,2),"亿元及",ROUND(C61/100000000,2),"亿元。")</f>
        <v/>
      </c>
    </row>
    <row r="62" ht="14.1" customHeight="1">
      <c r="A62" s="43" t="n">
        <v>2008</v>
      </c>
      <c r="B62" s="43" t="inlineStr">
        <is>
          <t xml:space="preserve">  预收款项 </t>
        </is>
      </c>
      <c r="C62" s="186" t="n"/>
      <c r="D62" s="186" t="n"/>
      <c r="E62" s="186" t="n"/>
      <c r="F62" s="186" t="n"/>
      <c r="G62" s="186" t="n"/>
      <c r="H62">
        <f>C62+D62+E62+F62</f>
        <v/>
      </c>
      <c r="I62">
        <f>B62</f>
        <v/>
      </c>
      <c r="J62" s="43">
        <f>CONCATENATE("近三年及一期，拟承租人",B62,"分别为",ROUND(F62/100000000,2),"亿元、",ROUND(E62/100000000,2),"亿元、",ROUND(D62/100000000,2),"亿元及",ROUND(C62/100000000,2),"亿元。")</f>
        <v/>
      </c>
    </row>
    <row r="63" ht="14.1" customHeight="1">
      <c r="A63" s="43" t="n">
        <v>2009</v>
      </c>
      <c r="B63" s="43" t="inlineStr">
        <is>
          <t xml:space="preserve">  合同负债 </t>
        </is>
      </c>
      <c r="C63" s="186" t="n"/>
      <c r="D63" s="186" t="n"/>
      <c r="E63" s="186" t="n"/>
      <c r="F63" s="186" t="n"/>
      <c r="G63" s="186" t="n"/>
      <c r="H63">
        <f>C63+D63+E63+F63</f>
        <v/>
      </c>
      <c r="I63">
        <f>B63</f>
        <v/>
      </c>
      <c r="J63" s="43">
        <f>CONCATENATE("近三年及一期，拟承租人",B63,"分别为",ROUND(F63/100000000,2),"亿元、",ROUND(E63/100000000,2),"亿元、",ROUND(D63/100000000,2),"亿元及",ROUND(C63/100000000,2),"亿元。")</f>
        <v/>
      </c>
    </row>
    <row r="64" ht="14.1" customHeight="1">
      <c r="A64" s="43" t="n">
        <v>2010</v>
      </c>
      <c r="B64" s="43" t="inlineStr">
        <is>
          <t xml:space="preserve">  卖出回购金融资产款* </t>
        </is>
      </c>
      <c r="C64" s="186" t="n"/>
      <c r="D64" s="186" t="n"/>
      <c r="E64" s="186" t="n"/>
      <c r="F64" s="186" t="n"/>
      <c r="G64" s="186" t="n"/>
      <c r="H64">
        <f>C64+D64+E64+F64</f>
        <v/>
      </c>
      <c r="I64">
        <f>B64</f>
        <v/>
      </c>
      <c r="J64" s="43">
        <f>CONCATENATE("近三年及一期，拟承租人",B64,"分别为",ROUND(F64/100000000,2),"亿元、",ROUND(E64/100000000,2),"亿元、",ROUND(D64/100000000,2),"亿元及",ROUND(C64/100000000,2),"亿元。")</f>
        <v/>
      </c>
    </row>
    <row r="65" ht="14.1" customHeight="1">
      <c r="A65" s="43" t="n">
        <v>2011</v>
      </c>
      <c r="B65" s="43" t="inlineStr">
        <is>
          <t xml:space="preserve">  吸收存款及同业存放* </t>
        </is>
      </c>
      <c r="C65" s="186" t="n"/>
      <c r="D65" s="186" t="n"/>
      <c r="E65" s="186" t="n"/>
      <c r="F65" s="186" t="n"/>
      <c r="G65" s="186" t="n"/>
      <c r="H65">
        <f>C65+D65+E65+F65</f>
        <v/>
      </c>
      <c r="I65">
        <f>B65</f>
        <v/>
      </c>
      <c r="J65" s="43">
        <f>CONCATENATE("近三年及一期，拟承租人",B65,"分别为",ROUND(F65/100000000,2),"亿元、",ROUND(E65/100000000,2),"亿元、",ROUND(D65/100000000,2),"亿元及",ROUND(C65/100000000,2),"亿元。")</f>
        <v/>
      </c>
    </row>
    <row r="66" ht="14.1" customHeight="1">
      <c r="A66" s="43" t="n">
        <v>2012</v>
      </c>
      <c r="B66" s="43" t="inlineStr">
        <is>
          <t xml:space="preserve">  代理买卖证券款* </t>
        </is>
      </c>
      <c r="C66" s="186" t="n"/>
      <c r="D66" s="186" t="n"/>
      <c r="E66" s="186" t="n"/>
      <c r="F66" s="186" t="n"/>
      <c r="G66" s="186" t="n"/>
      <c r="H66">
        <f>C66+D66+E66+F66</f>
        <v/>
      </c>
      <c r="I66">
        <f>B66</f>
        <v/>
      </c>
      <c r="J66" s="43">
        <f>CONCATENATE("近三年及一期，拟承租人",B66,"分别为",ROUND(F66/100000000,2),"亿元、",ROUND(E66/100000000,2),"亿元、",ROUND(D66/100000000,2),"亿元及",ROUND(C66/100000000,2),"亿元。")</f>
        <v/>
      </c>
    </row>
    <row r="67" ht="14.1" customHeight="1">
      <c r="A67" s="43" t="n">
        <v>2013</v>
      </c>
      <c r="B67" s="43" t="inlineStr">
        <is>
          <t xml:space="preserve">  代理承销证券款* </t>
        </is>
      </c>
      <c r="C67" s="186" t="n"/>
      <c r="D67" s="186" t="n"/>
      <c r="E67" s="186" t="n"/>
      <c r="F67" s="186" t="n"/>
      <c r="G67" s="186" t="n"/>
      <c r="H67">
        <f>C67+D67+E67+F67</f>
        <v/>
      </c>
      <c r="I67">
        <f>B67</f>
        <v/>
      </c>
      <c r="J67" s="43">
        <f>CONCATENATE("近三年及一期，拟承租人",B67,"分别为",ROUND(F67/100000000,2),"亿元、",ROUND(E67/100000000,2),"亿元、",ROUND(D67/100000000,2),"亿元及",ROUND(C67/100000000,2),"亿元。")</f>
        <v/>
      </c>
    </row>
    <row r="68" ht="14.1" customHeight="1">
      <c r="A68" s="43" t="n">
        <v>2014</v>
      </c>
      <c r="B68" s="43" t="inlineStr">
        <is>
          <t xml:space="preserve">  应付职工薪酬 </t>
        </is>
      </c>
      <c r="C68" s="186" t="n"/>
      <c r="D68" s="186" t="n"/>
      <c r="E68" s="186" t="n"/>
      <c r="F68" s="186" t="n"/>
      <c r="G68" s="186" t="n"/>
      <c r="H68">
        <f>C68+D68+E68+F68</f>
        <v/>
      </c>
      <c r="I68">
        <f>B68</f>
        <v/>
      </c>
      <c r="J68" s="43">
        <f>CONCATENATE("近三年及一期，拟承租人",B68,"分别为",ROUND(F68/100000000,2),"亿元、",ROUND(E68/100000000,2),"亿元、",ROUND(D68/100000000,2),"亿元及",ROUND(C68/100000000,2),"亿元。")</f>
        <v/>
      </c>
    </row>
    <row r="69" ht="14.1" customHeight="1">
      <c r="A69" s="43" t="n">
        <v>2015</v>
      </c>
      <c r="B69" s="43" t="inlineStr">
        <is>
          <t xml:space="preserve">  应交税费 </t>
        </is>
      </c>
      <c r="C69" s="186" t="n"/>
      <c r="D69" s="186" t="n"/>
      <c r="E69" s="186" t="n"/>
      <c r="F69" s="186" t="n"/>
      <c r="G69" s="186" t="n"/>
      <c r="H69">
        <f>C69+D69+E69+F69</f>
        <v/>
      </c>
      <c r="I69">
        <f>B69</f>
        <v/>
      </c>
      <c r="J69" s="43">
        <f>CONCATENATE("近三年及一期，拟承租人",B69,"分别为",ROUND(F69/100000000,2),"亿元、",ROUND(E69/100000000,2),"亿元、",ROUND(D69/100000000,2),"亿元及",ROUND(C69/100000000,2),"亿元。")</f>
        <v/>
      </c>
    </row>
    <row r="70" ht="14.1" customHeight="1">
      <c r="A70" s="43" t="n">
        <v>2016</v>
      </c>
      <c r="B70" s="43" t="inlineStr">
        <is>
          <t xml:space="preserve">  其他应付款 </t>
        </is>
      </c>
      <c r="C70" s="186" t="n"/>
      <c r="D70" s="186" t="n"/>
      <c r="E70" s="186" t="n"/>
      <c r="F70" s="186" t="n"/>
      <c r="G70" s="186" t="n"/>
      <c r="H70">
        <f>C70+D70+E70+F70</f>
        <v/>
      </c>
      <c r="I70">
        <f>B70</f>
        <v/>
      </c>
      <c r="J70" s="43">
        <f>CONCATENATE("近三年及一期，拟承租人",B70,"分别为",ROUND(F70/100000000,2),"亿元、",ROUND(E70/100000000,2),"亿元、",ROUND(D70/100000000,2),"亿元及",ROUND(C70/100000000,2),"亿元。")</f>
        <v/>
      </c>
    </row>
    <row r="71" ht="14.1" customHeight="1">
      <c r="A71" s="43" t="n">
        <v>2017</v>
      </c>
      <c r="B71" s="43" t="inlineStr">
        <is>
          <t xml:space="preserve">   其中：应付利息</t>
        </is>
      </c>
      <c r="C71" s="186" t="n"/>
      <c r="D71" s="186" t="n"/>
      <c r="E71" s="186" t="n"/>
      <c r="F71" s="186" t="n"/>
      <c r="G71" s="186" t="n"/>
      <c r="H71">
        <f>C71+D71+E71+F71</f>
        <v/>
      </c>
      <c r="I71">
        <f>B71</f>
        <v/>
      </c>
      <c r="J71" s="43">
        <f>CONCATENATE("近三年及一期，拟承租人",B71,"分别为",ROUND(F71/100000000,2),"亿元、",ROUND(E71/100000000,2),"亿元、",ROUND(D71/100000000,2),"亿元及",ROUND(C71/100000000,2),"亿元。")</f>
        <v/>
      </c>
    </row>
    <row r="72" ht="14.1" customHeight="1">
      <c r="A72" s="43" t="n">
        <v>201701</v>
      </c>
      <c r="B72" s="43" t="inlineStr">
        <is>
          <t xml:space="preserve">         应付股利</t>
        </is>
      </c>
      <c r="C72" s="186" t="n"/>
      <c r="D72" s="186" t="n"/>
      <c r="E72" s="186" t="n"/>
      <c r="F72" s="186" t="n"/>
      <c r="G72" s="186" t="n"/>
      <c r="H72">
        <f>C72+D72+E72+F72</f>
        <v/>
      </c>
      <c r="I72">
        <f>B72</f>
        <v/>
      </c>
      <c r="J72" s="43">
        <f>CONCATENATE("近三年及一期，拟承租人",B72,"分别为",ROUND(F72/100000000,2),"亿元、",ROUND(E72/100000000,2),"亿元、",ROUND(D72/100000000,2),"亿元及",ROUND(C72/100000000,2),"亿元。")</f>
        <v/>
      </c>
    </row>
    <row r="73" ht="14.1" customHeight="1">
      <c r="A73" s="43" t="n">
        <v>2018</v>
      </c>
      <c r="B73" s="43" t="inlineStr">
        <is>
          <t xml:space="preserve">  应付手续费及佣金* </t>
        </is>
      </c>
      <c r="C73" s="186" t="n"/>
      <c r="D73" s="186" t="n"/>
      <c r="E73" s="186" t="n"/>
      <c r="F73" s="186" t="n"/>
      <c r="G73" s="186" t="n"/>
      <c r="H73">
        <f>C73+D73+E73+F73</f>
        <v/>
      </c>
      <c r="I73">
        <f>B73</f>
        <v/>
      </c>
      <c r="J73" s="43">
        <f>CONCATENATE("近三年及一期，拟承租人",B73,"分别为",ROUND(F73/100000000,2),"亿元、",ROUND(E73/100000000,2),"亿元、",ROUND(D73/100000000,2),"亿元及",ROUND(C73/100000000,2),"亿元。")</f>
        <v/>
      </c>
    </row>
    <row r="74" ht="14.1" customHeight="1">
      <c r="A74" s="43" t="n">
        <v>2019</v>
      </c>
      <c r="B74" s="43" t="inlineStr">
        <is>
          <t xml:space="preserve">  应付分保账款* </t>
        </is>
      </c>
      <c r="C74" s="186" t="n"/>
      <c r="D74" s="186" t="n"/>
      <c r="E74" s="186" t="n"/>
      <c r="F74" s="186" t="n"/>
      <c r="G74" s="186" t="n"/>
      <c r="H74">
        <f>C74+D74+E74+F74</f>
        <v/>
      </c>
      <c r="I74">
        <f>B74</f>
        <v/>
      </c>
      <c r="J74" s="43">
        <f>CONCATENATE("近三年及一期，拟承租人",B74,"分别为",ROUND(F74/100000000,2),"亿元、",ROUND(E74/100000000,2),"亿元、",ROUND(D74/100000000,2),"亿元及",ROUND(C74/100000000,2),"亿元。")</f>
        <v/>
      </c>
    </row>
    <row r="75" ht="14.1" customHeight="1">
      <c r="A75" s="43" t="n">
        <v>2020</v>
      </c>
      <c r="B75" s="43" t="inlineStr">
        <is>
          <t xml:space="preserve">  持有待售负债 </t>
        </is>
      </c>
      <c r="C75" s="186" t="n"/>
      <c r="D75" s="186" t="n"/>
      <c r="E75" s="186" t="n"/>
      <c r="F75" s="186" t="n"/>
      <c r="G75" s="186" t="n"/>
      <c r="H75">
        <f>C75+D75+E75+F75</f>
        <v/>
      </c>
      <c r="I75">
        <f>B75</f>
        <v/>
      </c>
      <c r="J75" s="43">
        <f>CONCATENATE("近三年及一期，拟承租人",B75,"分别为",ROUND(F75/100000000,2),"亿元、",ROUND(E75/100000000,2),"亿元、",ROUND(D75/100000000,2),"亿元及",ROUND(C75/100000000,2),"亿元。")</f>
        <v/>
      </c>
    </row>
    <row r="76" ht="14.1" customHeight="1">
      <c r="A76" s="43" t="n">
        <v>2021</v>
      </c>
      <c r="B76" s="43" t="inlineStr">
        <is>
          <t xml:space="preserve">  一年内到期的非流动负债 </t>
        </is>
      </c>
      <c r="C76" s="186" t="n"/>
      <c r="D76" s="186" t="n"/>
      <c r="E76" s="186" t="n"/>
      <c r="F76" s="186" t="n"/>
      <c r="G76" s="186" t="n"/>
      <c r="H76">
        <f>C76+D76+E76+F76</f>
        <v/>
      </c>
      <c r="I76">
        <f>B76</f>
        <v/>
      </c>
      <c r="J76" s="43">
        <f>CONCATENATE("近三年及一期，拟承租人",B76,"分别为",ROUND(F76/100000000,2),"亿元、",ROUND(E76/100000000,2),"亿元、",ROUND(D76/100000000,2),"亿元及",ROUND(C76/100000000,2),"亿元。")</f>
        <v/>
      </c>
    </row>
    <row r="77" ht="14.1" customHeight="1">
      <c r="A77" s="43" t="n">
        <v>2022</v>
      </c>
      <c r="B77" s="43" t="inlineStr">
        <is>
          <t xml:space="preserve">  其他流动负债 </t>
        </is>
      </c>
      <c r="C77" s="186" t="n"/>
      <c r="D77" s="186" t="n"/>
      <c r="E77" s="186" t="n"/>
      <c r="F77" s="186" t="n"/>
      <c r="G77" s="186" t="n"/>
      <c r="H77">
        <f>C77+D77+E77+F77</f>
        <v/>
      </c>
      <c r="I77">
        <f>B77</f>
        <v/>
      </c>
      <c r="J77" s="43">
        <f>CONCATENATE("近三年及一期，拟承租人",B77,"分别为",ROUND(F77/100000000,2),"亿元、",ROUND(E77/100000000,2),"亿元、",ROUND(D77/100000000,2),"亿元及",ROUND(C77/100000000,2),"亿元。")</f>
        <v/>
      </c>
    </row>
    <row r="78" ht="14.1" customFormat="1" customHeight="1" s="183">
      <c r="A78" s="188" t="n">
        <v>2099</v>
      </c>
      <c r="B78" s="188" t="inlineStr">
        <is>
          <t xml:space="preserve">    流动负债合计 </t>
        </is>
      </c>
      <c r="C78" s="190">
        <f>C55+C56+C57+C58+C59+C60+C61+C62+C63+C64+C65+C66+C67+C68+C69+C70+C73+C74+C75+C76+C77</f>
        <v/>
      </c>
      <c r="D78" s="190">
        <f>D55+D56+D57+D58+D59+D60+D61+D62+D63+D64+D65+D66+D67+D68+D69+D70+D73+D74+D75+D76+D77</f>
        <v/>
      </c>
      <c r="E78" s="190">
        <f>E55+E56+E57+E58+E59+E60+E61+E62+E63+E64+E65+E66+E67+E68+E69+E70+E73+E74+E75+E76+E77</f>
        <v/>
      </c>
      <c r="F78" s="190">
        <f>F55+F56+F57+F58+F59+F60+F61+F62+F63+F64+F65+F66+F67+F68+F69+F70+F73+F74+F75+F76+F77</f>
        <v/>
      </c>
      <c r="G78" s="190">
        <f>G55+G56+G57+G58+G59+G60+G61+G62+G63+G64+G65+G66+G67+G68+G69+G70+G73+G74+G75+G76+G77</f>
        <v/>
      </c>
      <c r="H78">
        <f>C78+D78+E78+F78</f>
        <v/>
      </c>
      <c r="I78">
        <f>B78</f>
        <v/>
      </c>
      <c r="J78" s="43">
        <f>CONCATENATE("近三年及一期，拟承租人",B78,"分别为",ROUND(F78/100000000,2),"亿元、",ROUND(E78/100000000,2),"亿元、",ROUND(D78/100000000,2),"亿元及",ROUND(C78/100000000,2),"亿元。")</f>
        <v/>
      </c>
    </row>
    <row r="79" ht="14.1" customHeight="1">
      <c r="A79" s="43" t="n">
        <v>2100</v>
      </c>
      <c r="B79" s="59" t="inlineStr">
        <is>
          <t xml:space="preserve">非流动负债： </t>
        </is>
      </c>
      <c r="C79" s="186" t="n"/>
      <c r="D79" s="186" t="n"/>
      <c r="E79" s="186" t="n"/>
      <c r="F79" s="186" t="n"/>
      <c r="G79" s="186" t="n"/>
      <c r="H79">
        <f>C79+D79+E79+F79</f>
        <v/>
      </c>
      <c r="I79">
        <f>B79</f>
        <v/>
      </c>
      <c r="J79" s="43">
        <f>CONCATENATE("近三年及一期，拟承租人",B79,"分别为",ROUND(F79/100000000,2),"亿元、",ROUND(E79/100000000,2),"亿元、",ROUND(D79/100000000,2),"亿元及",ROUND(C79/100000000,2),"亿元。")</f>
        <v/>
      </c>
    </row>
    <row r="80" ht="14.1" customHeight="1">
      <c r="A80" s="43" t="n">
        <v>2101</v>
      </c>
      <c r="B80" s="43" t="inlineStr">
        <is>
          <t xml:space="preserve">  保险合同准备金* </t>
        </is>
      </c>
      <c r="C80" s="186" t="n"/>
      <c r="D80" s="186" t="n"/>
      <c r="E80" s="186" t="n"/>
      <c r="F80" s="186" t="n"/>
      <c r="G80" s="186" t="n"/>
      <c r="H80">
        <f>C80+D80+E80+F80</f>
        <v/>
      </c>
      <c r="I80">
        <f>B80</f>
        <v/>
      </c>
      <c r="J80" s="43">
        <f>CONCATENATE("近三年及一期，拟承租人",B80,"分别为",ROUND(F80/100000000,2),"亿元、",ROUND(E80/100000000,2),"亿元、",ROUND(D80/100000000,2),"亿元及",ROUND(C80/100000000,2),"亿元。")</f>
        <v/>
      </c>
    </row>
    <row r="81" ht="14.1" customHeight="1">
      <c r="A81" s="43" t="n">
        <v>2102</v>
      </c>
      <c r="B81" s="43" t="inlineStr">
        <is>
          <t xml:space="preserve">  长期借款 </t>
        </is>
      </c>
      <c r="C81" s="186" t="n"/>
      <c r="D81" s="186" t="n"/>
      <c r="E81" s="186" t="n"/>
      <c r="F81" s="186" t="n"/>
      <c r="G81" s="186" t="n"/>
      <c r="H81">
        <f>C81+D81+E81+F81</f>
        <v/>
      </c>
      <c r="I81">
        <f>B81</f>
        <v/>
      </c>
      <c r="J81" s="43">
        <f>CONCATENATE("近三年及一期，拟承租人",B81,"分别为",ROUND(F81/100000000,2),"亿元、",ROUND(E81/100000000,2),"亿元、",ROUND(D81/100000000,2),"亿元及",ROUND(C81/100000000,2),"亿元。")</f>
        <v/>
      </c>
    </row>
    <row r="82" ht="14.1" customHeight="1">
      <c r="A82" s="43" t="n">
        <v>2103</v>
      </c>
      <c r="B82" s="43" t="inlineStr">
        <is>
          <t xml:space="preserve">  应付债券 </t>
        </is>
      </c>
      <c r="C82" s="186" t="n"/>
      <c r="D82" s="186" t="n"/>
      <c r="E82" s="186" t="n"/>
      <c r="F82" s="186" t="n"/>
      <c r="G82" s="186" t="n"/>
      <c r="H82">
        <f>C82+D82+E82+F82</f>
        <v/>
      </c>
      <c r="I82">
        <f>B82</f>
        <v/>
      </c>
      <c r="J82" s="43">
        <f>CONCATENATE("近三年及一期，拟承租人",B82,"分别为",ROUND(F82/100000000,2),"亿元、",ROUND(E82/100000000,2),"亿元、",ROUND(D82/100000000,2),"亿元及",ROUND(C82/100000000,2),"亿元。")</f>
        <v/>
      </c>
    </row>
    <row r="83" ht="14.1" customHeight="1">
      <c r="A83" s="43" t="n">
        <v>210301</v>
      </c>
      <c r="B83" s="43" t="inlineStr">
        <is>
          <t xml:space="preserve">    其中：优先股 </t>
        </is>
      </c>
      <c r="C83" s="186" t="n"/>
      <c r="D83" s="186" t="n"/>
      <c r="E83" s="186" t="n"/>
      <c r="F83" s="186" t="n"/>
      <c r="G83" s="186" t="n"/>
      <c r="H83">
        <f>C83+D83+E83+F83</f>
        <v/>
      </c>
      <c r="I83">
        <f>B83</f>
        <v/>
      </c>
      <c r="J83" s="43">
        <f>CONCATENATE("近三年及一期，拟承租人",B83,"分别为",ROUND(F83/100000000,2),"亿元、",ROUND(E83/100000000,2),"亿元、",ROUND(D83/100000000,2),"亿元及",ROUND(C83/100000000,2),"亿元。")</f>
        <v/>
      </c>
    </row>
    <row r="84" ht="14.1" customHeight="1">
      <c r="A84" s="43" t="n">
        <v>210302</v>
      </c>
      <c r="B84" s="43" t="inlineStr">
        <is>
          <t xml:space="preserve">          永续债 </t>
        </is>
      </c>
      <c r="C84" s="186" t="n"/>
      <c r="D84" s="186" t="n"/>
      <c r="E84" s="186" t="n"/>
      <c r="F84" s="186" t="n"/>
      <c r="G84" s="186" t="n"/>
      <c r="H84">
        <f>C84+D84+E84+F84</f>
        <v/>
      </c>
      <c r="I84">
        <f>B84</f>
        <v/>
      </c>
      <c r="J84" s="43">
        <f>CONCATENATE("近三年及一期，拟承租人",B84,"分别为",ROUND(F84/100000000,2),"亿元、",ROUND(E84/100000000,2),"亿元、",ROUND(D84/100000000,2),"亿元及",ROUND(C84/100000000,2),"亿元。")</f>
        <v/>
      </c>
    </row>
    <row r="85" ht="14.1" customHeight="1">
      <c r="A85" s="43" t="n">
        <v>2104</v>
      </c>
      <c r="B85" s="43" t="inlineStr">
        <is>
          <t xml:space="preserve">  租赁负债 </t>
        </is>
      </c>
      <c r="C85" s="186" t="n"/>
      <c r="D85" s="186" t="n"/>
      <c r="E85" s="186" t="n"/>
      <c r="F85" s="186" t="n"/>
      <c r="G85" s="186" t="n"/>
      <c r="H85">
        <f>C85+D85+E85+F85</f>
        <v/>
      </c>
      <c r="I85">
        <f>B85</f>
        <v/>
      </c>
      <c r="J85" s="43">
        <f>CONCATENATE("近三年及一期，拟承租人",B85,"分别为",ROUND(F85/100000000,2),"亿元、",ROUND(E85/100000000,2),"亿元、",ROUND(D85/100000000,2),"亿元及",ROUND(C85/100000000,2),"亿元。")</f>
        <v/>
      </c>
    </row>
    <row r="86" ht="14.1" customHeight="1">
      <c r="A86" s="43" t="n">
        <v>2105</v>
      </c>
      <c r="B86" s="43" t="inlineStr">
        <is>
          <t xml:space="preserve">  专项应付款 </t>
        </is>
      </c>
      <c r="C86" s="186" t="n"/>
      <c r="D86" s="186" t="n"/>
      <c r="E86" s="186" t="n"/>
      <c r="F86" s="186" t="n"/>
      <c r="G86" s="186" t="n"/>
      <c r="H86">
        <f>C86+D86+E86+F86</f>
        <v/>
      </c>
      <c r="I86">
        <f>B86</f>
        <v/>
      </c>
      <c r="J86" s="43">
        <f>CONCATENATE("近三年及一期，拟承租人",B86,"分别为",ROUND(F86/100000000,2),"亿元、",ROUND(E86/100000000,2),"亿元、",ROUND(D86/100000000,2),"亿元及",ROUND(C86/100000000,2),"亿元。")</f>
        <v/>
      </c>
    </row>
    <row r="87" ht="14.1" customHeight="1">
      <c r="A87" s="43" t="n">
        <v>2106</v>
      </c>
      <c r="B87" s="43" t="inlineStr">
        <is>
          <t xml:space="preserve">  长期应付款 </t>
        </is>
      </c>
      <c r="C87" s="186" t="n"/>
      <c r="D87" s="186" t="n"/>
      <c r="E87" s="186" t="n"/>
      <c r="F87" s="186" t="n"/>
      <c r="G87" s="186" t="n"/>
      <c r="H87">
        <f>C87+D87+E87+F87</f>
        <v/>
      </c>
      <c r="I87">
        <f>B87</f>
        <v/>
      </c>
      <c r="J87" s="43">
        <f>CONCATENATE("近三年及一期，拟承租人",B87,"分别为",ROUND(F87/100000000,2),"亿元、",ROUND(E87/100000000,2),"亿元、",ROUND(D87/100000000,2),"亿元及",ROUND(C87/100000000,2),"亿元。")</f>
        <v/>
      </c>
    </row>
    <row r="88" ht="14.1" customHeight="1">
      <c r="A88" s="43" t="n">
        <v>2107</v>
      </c>
      <c r="B88" s="43" t="inlineStr">
        <is>
          <t xml:space="preserve">  长期应付职工薪酬</t>
        </is>
      </c>
      <c r="C88" s="186" t="n"/>
      <c r="D88" s="186" t="n"/>
      <c r="E88" s="186" t="n"/>
      <c r="F88" s="186" t="n"/>
      <c r="G88" s="186" t="n"/>
      <c r="H88">
        <f>C88+D88+E88+F88</f>
        <v/>
      </c>
      <c r="I88">
        <f>B88</f>
        <v/>
      </c>
      <c r="J88" s="43">
        <f>CONCATENATE("近三年及一期，拟承租人",B88,"分别为",ROUND(F88/100000000,2),"亿元、",ROUND(E88/100000000,2),"亿元、",ROUND(D88/100000000,2),"亿元及",ROUND(C88/100000000,2),"亿元。")</f>
        <v/>
      </c>
    </row>
    <row r="89" ht="14.1" customHeight="1">
      <c r="A89" s="43" t="n">
        <v>2108</v>
      </c>
      <c r="B89" s="43" t="inlineStr">
        <is>
          <t xml:space="preserve">  预计负债 </t>
        </is>
      </c>
      <c r="C89" s="186" t="n"/>
      <c r="D89" s="186" t="n"/>
      <c r="E89" s="186" t="n"/>
      <c r="F89" s="186" t="n"/>
      <c r="G89" s="186" t="n"/>
      <c r="H89">
        <f>C89+D89+E89+F89</f>
        <v/>
      </c>
      <c r="I89">
        <f>B89</f>
        <v/>
      </c>
      <c r="J89" s="43">
        <f>CONCATENATE("近三年及一期，拟承租人",B89,"分别为",ROUND(F89/100000000,2),"亿元、",ROUND(E89/100000000,2),"亿元、",ROUND(D89/100000000,2),"亿元及",ROUND(C89/100000000,2),"亿元。")</f>
        <v/>
      </c>
    </row>
    <row r="90" ht="14.1" customHeight="1">
      <c r="A90" s="43" t="n">
        <v>2109</v>
      </c>
      <c r="B90" s="43" t="inlineStr">
        <is>
          <t xml:space="preserve">  递延收益 </t>
        </is>
      </c>
      <c r="C90" s="186" t="n"/>
      <c r="D90" s="186" t="n"/>
      <c r="E90" s="186" t="n"/>
      <c r="F90" s="186" t="n"/>
      <c r="G90" s="186" t="n"/>
      <c r="H90">
        <f>C90+D90+E90+F90</f>
        <v/>
      </c>
      <c r="I90">
        <f>B90</f>
        <v/>
      </c>
      <c r="J90" s="43">
        <f>CONCATENATE("近三年及一期，拟承租人",B90,"分别为",ROUND(F90/100000000,2),"亿元、",ROUND(E90/100000000,2),"亿元、",ROUND(D90/100000000,2),"亿元及",ROUND(C90/100000000,2),"亿元。")</f>
        <v/>
      </c>
    </row>
    <row r="91" ht="14.1" customHeight="1">
      <c r="A91" s="43" t="n">
        <v>2110</v>
      </c>
      <c r="B91" s="43" t="inlineStr">
        <is>
          <t xml:space="preserve">  递延所得税负债 </t>
        </is>
      </c>
      <c r="C91" s="186" t="n"/>
      <c r="D91" s="186" t="n"/>
      <c r="E91" s="186" t="n"/>
      <c r="F91" s="186" t="n"/>
      <c r="G91" s="186" t="n"/>
      <c r="H91">
        <f>C91+D91+E91+F91</f>
        <v/>
      </c>
      <c r="I91">
        <f>B91</f>
        <v/>
      </c>
      <c r="J91" s="43">
        <f>CONCATENATE("近三年及一期，拟承租人",B91,"分别为",ROUND(F91/100000000,2),"亿元、",ROUND(E91/100000000,2),"亿元、",ROUND(D91/100000000,2),"亿元及",ROUND(C91/100000000,2),"亿元。")</f>
        <v/>
      </c>
    </row>
    <row r="92" ht="14.1" customHeight="1">
      <c r="A92" s="43" t="n">
        <v>2111</v>
      </c>
      <c r="B92" s="43" t="inlineStr">
        <is>
          <t xml:space="preserve">  其他非流动负债 </t>
        </is>
      </c>
      <c r="C92" s="186" t="n"/>
      <c r="D92" s="186" t="n"/>
      <c r="E92" s="186" t="n"/>
      <c r="F92" s="186" t="n"/>
      <c r="G92" s="186" t="n"/>
      <c r="H92">
        <f>C92+D92+E92+F92</f>
        <v/>
      </c>
      <c r="I92">
        <f>B92</f>
        <v/>
      </c>
      <c r="J92" s="43">
        <f>CONCATENATE("近三年及一期，拟承租人",B92,"分别为",ROUND(F92/100000000,2),"亿元、",ROUND(E92/100000000,2),"亿元、",ROUND(D92/100000000,2),"亿元及",ROUND(C92/100000000,2),"亿元。")</f>
        <v/>
      </c>
    </row>
    <row r="93" ht="14.1" customFormat="1" customHeight="1" s="183">
      <c r="A93" s="188" t="n">
        <v>2199</v>
      </c>
      <c r="B93" s="188" t="inlineStr">
        <is>
          <t xml:space="preserve">    非流动负债合计 </t>
        </is>
      </c>
      <c r="C93" s="190">
        <f>C81+C82+C85+C86+C87+C88+C89+C90+C91+C92</f>
        <v/>
      </c>
      <c r="D93" s="190">
        <f>D81+D82+D85+D86+D87+D88+D89+D90+D91+D92</f>
        <v/>
      </c>
      <c r="E93" s="190">
        <f>E81+E82+E85+E86+E87+E88+E89+E90+E91+E92</f>
        <v/>
      </c>
      <c r="F93" s="190">
        <f>F81+F82+F85+F86+F87+F88+F89+F90+F91+F92</f>
        <v/>
      </c>
      <c r="G93" s="190">
        <f>G81+G82+G85+G86+G87+G88+G89+G90+G91+G92</f>
        <v/>
      </c>
      <c r="H93">
        <f>C93+D93+E93+F93</f>
        <v/>
      </c>
      <c r="I93">
        <f>B93</f>
        <v/>
      </c>
      <c r="J93" s="43">
        <f>CONCATENATE("近三年及一期，拟承租人",B93,"分别为",ROUND(F93/100000000,2),"亿元、",ROUND(E93/100000000,2),"亿元、",ROUND(D93/100000000,2),"亿元及",ROUND(C93/100000000,2),"亿元。")</f>
        <v/>
      </c>
    </row>
    <row r="94" ht="14.1" customFormat="1" customHeight="1" s="183">
      <c r="A94" s="188" t="n">
        <v>3999</v>
      </c>
      <c r="B94" s="188" t="inlineStr">
        <is>
          <t xml:space="preserve">      负债合计</t>
        </is>
      </c>
      <c r="C94" s="190">
        <f>C78+C93</f>
        <v/>
      </c>
      <c r="D94" s="190">
        <f>D78+D93</f>
        <v/>
      </c>
      <c r="E94" s="190">
        <f>E78+E93</f>
        <v/>
      </c>
      <c r="F94" s="190">
        <f>F78+F93</f>
        <v/>
      </c>
      <c r="G94" s="190">
        <f>G78+G93</f>
        <v/>
      </c>
      <c r="H94">
        <f>C94+D94+E94+F94</f>
        <v/>
      </c>
      <c r="I94" s="183">
        <f>B94</f>
        <v/>
      </c>
      <c r="J94" s="43">
        <f>CONCATENATE("近三年及一期，拟承租人",B94,"分别为",ROUND(F94/100000000,2),"亿元、",ROUND(E94/100000000,2),"亿元、",ROUND(D94/100000000,2),"亿元及",ROUND(C94/100000000,2),"亿元。")</f>
        <v/>
      </c>
    </row>
    <row r="95" ht="14.1" customHeight="1">
      <c r="A95" s="43" t="n">
        <v>5000</v>
      </c>
      <c r="B95" s="173" t="inlineStr">
        <is>
          <t xml:space="preserve">所有者权益（或股东权益）： </t>
        </is>
      </c>
      <c r="C95" s="186" t="n"/>
      <c r="D95" s="186" t="n"/>
      <c r="E95" s="186" t="n"/>
      <c r="F95" s="186" t="n"/>
      <c r="G95" s="186" t="n"/>
      <c r="H95">
        <f>C95+D95+E95+F95</f>
        <v/>
      </c>
      <c r="I95">
        <f>B95</f>
        <v/>
      </c>
      <c r="J95" s="43">
        <f>CONCATENATE("近三年及一期，拟承租人",B95,"分别为",ROUND(F95/100000000,2),"亿元、",ROUND(E95/100000000,2),"亿元、",ROUND(D95/100000000,2),"亿元及",ROUND(C95/100000000,2),"亿元。")</f>
        <v/>
      </c>
    </row>
    <row r="96" ht="14.1" customHeight="1">
      <c r="A96" s="43" t="n">
        <v>5001</v>
      </c>
      <c r="B96" s="43" t="inlineStr">
        <is>
          <t xml:space="preserve">  实收资本（或股本） </t>
        </is>
      </c>
      <c r="C96" s="186" t="n"/>
      <c r="D96" s="186" t="n"/>
      <c r="E96" s="186" t="n"/>
      <c r="F96" s="186" t="n"/>
      <c r="G96" s="186" t="n"/>
      <c r="H96">
        <f>C96+D96+E96+F96</f>
        <v/>
      </c>
      <c r="I96">
        <f>B96</f>
        <v/>
      </c>
      <c r="J96" s="43">
        <f>CONCATENATE("近三年及一期，拟承租人",B96,"分别为",ROUND(F96/100000000,2),"亿元、",ROUND(E96/100000000,2),"亿元、",ROUND(D96/100000000,2),"亿元及",ROUND(C96/100000000,2),"亿元。")</f>
        <v/>
      </c>
    </row>
    <row r="97" ht="14.1" customHeight="1">
      <c r="A97" s="43" t="n">
        <v>5002</v>
      </c>
      <c r="B97" s="43" t="inlineStr">
        <is>
          <t xml:space="preserve">  其他权益工具 </t>
        </is>
      </c>
      <c r="C97" s="186" t="n"/>
      <c r="D97" s="186" t="n"/>
      <c r="E97" s="186" t="n"/>
      <c r="F97" s="186" t="n"/>
      <c r="G97" s="186" t="n"/>
      <c r="H97">
        <f>C97+D97+E97+F97</f>
        <v/>
      </c>
      <c r="I97">
        <f>B97</f>
        <v/>
      </c>
      <c r="J97" s="43">
        <f>CONCATENATE("近三年及一期，拟承租人",B97,"分别为",ROUND(F97/100000000,2),"亿元、",ROUND(E97/100000000,2),"亿元、",ROUND(D97/100000000,2),"亿元及",ROUND(C97/100000000,2),"亿元。")</f>
        <v/>
      </c>
    </row>
    <row r="98" ht="14.1" customHeight="1">
      <c r="A98" s="43" t="n">
        <v>500201</v>
      </c>
      <c r="B98" s="59" t="inlineStr">
        <is>
          <t xml:space="preserve">    其中：优先股 </t>
        </is>
      </c>
      <c r="C98" s="186" t="n"/>
      <c r="D98" s="186" t="n"/>
      <c r="E98" s="186" t="n"/>
      <c r="F98" s="186" t="n"/>
      <c r="G98" s="186" t="n"/>
      <c r="H98">
        <f>C98+D98+E98+F98</f>
        <v/>
      </c>
      <c r="I98">
        <f>B98</f>
        <v/>
      </c>
      <c r="J98" s="43">
        <f>CONCATENATE("近三年及一期，拟承租人",B98,"分别为",ROUND(F98/100000000,2),"亿元、",ROUND(E98/100000000,2),"亿元、",ROUND(D98/100000000,2),"亿元及",ROUND(C98/100000000,2),"亿元。")</f>
        <v/>
      </c>
    </row>
    <row r="99" ht="14.1" customHeight="1">
      <c r="A99" s="43" t="n">
        <v>500202</v>
      </c>
      <c r="B99" s="43" t="inlineStr">
        <is>
          <t xml:space="preserve">          永续债 </t>
        </is>
      </c>
      <c r="C99" s="186" t="n"/>
      <c r="D99" s="186" t="n"/>
      <c r="E99" s="186" t="n"/>
      <c r="F99" s="186" t="n"/>
      <c r="G99" s="186" t="n"/>
      <c r="H99">
        <f>C99+D99+E99+F99</f>
        <v/>
      </c>
      <c r="I99">
        <f>B99</f>
        <v/>
      </c>
      <c r="J99" s="43">
        <f>CONCATENATE("近三年及一期，拟承租人",B99,"分别为",ROUND(F99/100000000,2),"亿元、",ROUND(E99/100000000,2),"亿元、",ROUND(D99/100000000,2),"亿元及",ROUND(C99/100000000,2),"亿元。")</f>
        <v/>
      </c>
    </row>
    <row r="100" ht="14.1" customHeight="1">
      <c r="A100" s="43" t="n">
        <v>5003</v>
      </c>
      <c r="B100" s="43" t="inlineStr">
        <is>
          <t xml:space="preserve">  资本公积 </t>
        </is>
      </c>
      <c r="C100" s="186" t="n"/>
      <c r="D100" s="186" t="n"/>
      <c r="E100" s="186" t="n"/>
      <c r="F100" s="186" t="n"/>
      <c r="G100" s="186" t="n"/>
      <c r="H100">
        <f>C100+D100+E100+F100</f>
        <v/>
      </c>
      <c r="I100">
        <f>B100</f>
        <v/>
      </c>
      <c r="J100" s="43">
        <f>CONCATENATE("近三年及一期，拟承租人",B100,"分别为",ROUND(F100/100000000,2),"亿元、",ROUND(E100/100000000,2),"亿元、",ROUND(D100/100000000,2),"亿元及",ROUND(C100/100000000,2),"亿元。")</f>
        <v/>
      </c>
    </row>
    <row r="101" ht="14.1" customHeight="1">
      <c r="A101" s="43" t="n">
        <v>5004</v>
      </c>
      <c r="B101" s="43" t="inlineStr">
        <is>
          <t xml:space="preserve">  减：库存股 </t>
        </is>
      </c>
      <c r="C101" s="186" t="n"/>
      <c r="D101" s="186" t="n"/>
      <c r="E101" s="186" t="n"/>
      <c r="F101" s="186" t="n"/>
      <c r="G101" s="186" t="n"/>
      <c r="H101">
        <f>C101+D101+E101+F101</f>
        <v/>
      </c>
      <c r="I101">
        <f>B101</f>
        <v/>
      </c>
      <c r="J101" s="43">
        <f>CONCATENATE("近三年及一期，拟承租人",B101,"分别为",ROUND(F101/100000000,2),"亿元、",ROUND(E101/100000000,2),"亿元、",ROUND(D101/100000000,2),"亿元及",ROUND(C101/100000000,2),"亿元。")</f>
        <v/>
      </c>
    </row>
    <row r="102" ht="14.1" customHeight="1">
      <c r="A102" s="43" t="n">
        <v>5005</v>
      </c>
      <c r="B102" s="43" t="inlineStr">
        <is>
          <t xml:space="preserve">  其他综合收益 </t>
        </is>
      </c>
      <c r="C102" s="186" t="n"/>
      <c r="D102" s="186" t="n"/>
      <c r="E102" s="186" t="n"/>
      <c r="F102" s="186" t="n"/>
      <c r="G102" s="186" t="n"/>
      <c r="H102">
        <f>C102+D102+E102+F102</f>
        <v/>
      </c>
      <c r="I102">
        <f>B102</f>
        <v/>
      </c>
      <c r="J102" s="43">
        <f>CONCATENATE("近三年及一期，拟承租人",B102,"分别为",ROUND(F102/100000000,2),"亿元、",ROUND(E102/100000000,2),"亿元、",ROUND(D102/100000000,2),"亿元及",ROUND(C102/100000000,2),"亿元。")</f>
        <v/>
      </c>
    </row>
    <row r="103" ht="14.1" customHeight="1">
      <c r="A103" s="43" t="n">
        <v>5006</v>
      </c>
      <c r="B103" s="43" t="inlineStr">
        <is>
          <t xml:space="preserve">  专项储备 400561</t>
        </is>
      </c>
      <c r="C103" s="186" t="n"/>
      <c r="D103" s="186" t="n"/>
      <c r="E103" s="186" t="n"/>
      <c r="F103" s="186" t="n"/>
      <c r="G103" s="186" t="n"/>
      <c r="H103">
        <f>C103+D103+E103+F103</f>
        <v/>
      </c>
      <c r="I103">
        <f>B103</f>
        <v/>
      </c>
      <c r="J103" s="43">
        <f>CONCATENATE("近三年及一期，拟承租人",B103,"分别为",ROUND(F103/100000000,2),"亿元、",ROUND(E103/100000000,2),"亿元、",ROUND(D103/100000000,2),"亿元及",ROUND(C103/100000000,2),"亿元。")</f>
        <v/>
      </c>
    </row>
    <row r="104" ht="14.1" customHeight="1">
      <c r="A104" s="43" t="n">
        <v>5007</v>
      </c>
      <c r="B104" s="43" t="inlineStr">
        <is>
          <t xml:space="preserve">  盈余公积 </t>
        </is>
      </c>
      <c r="C104" s="186" t="n"/>
      <c r="D104" s="186" t="n"/>
      <c r="E104" s="186" t="n"/>
      <c r="F104" s="186" t="n"/>
      <c r="G104" s="186" t="n"/>
      <c r="H104">
        <f>C104+D104+E104+F104</f>
        <v/>
      </c>
      <c r="I104">
        <f>B104</f>
        <v/>
      </c>
      <c r="J104" s="43">
        <f>CONCATENATE("近三年及一期，拟承租人",B104,"分别为",ROUND(F104/100000000,2),"亿元、",ROUND(E104/100000000,2),"亿元、",ROUND(D104/100000000,2),"亿元及",ROUND(C104/100000000,2),"亿元。")</f>
        <v/>
      </c>
    </row>
    <row r="105" ht="14.1" customHeight="1">
      <c r="A105" s="43" t="n">
        <v>5008</v>
      </c>
      <c r="B105" s="43" t="inlineStr">
        <is>
          <t xml:space="preserve">  一般风险准备* </t>
        </is>
      </c>
      <c r="C105" s="186" t="n"/>
      <c r="D105" s="186" t="n"/>
      <c r="E105" s="186" t="n"/>
      <c r="F105" s="186" t="n"/>
      <c r="G105" s="186" t="n"/>
      <c r="H105">
        <f>C105+D105+E105+F105</f>
        <v/>
      </c>
      <c r="I105">
        <f>B105</f>
        <v/>
      </c>
      <c r="J105" s="43">
        <f>CONCATENATE("近三年及一期，拟承租人",B105,"分别为",ROUND(F105/100000000,2),"亿元、",ROUND(E105/100000000,2),"亿元、",ROUND(D105/100000000,2),"亿元及",ROUND(C105/100000000,2),"亿元。")</f>
        <v/>
      </c>
    </row>
    <row r="106" ht="14.1" customHeight="1">
      <c r="A106" s="43" t="n">
        <v>5009</v>
      </c>
      <c r="B106" s="43" t="inlineStr">
        <is>
          <t xml:space="preserve">  未分配利润 </t>
        </is>
      </c>
      <c r="C106" s="186" t="n"/>
      <c r="D106" s="186" t="n"/>
      <c r="E106" s="186" t="n"/>
      <c r="F106" s="186" t="n"/>
      <c r="G106" s="186" t="n"/>
      <c r="H106">
        <f>C106+D106+E106+F106</f>
        <v/>
      </c>
      <c r="I106">
        <f>B106</f>
        <v/>
      </c>
      <c r="J106" s="43">
        <f>CONCATENATE("近三年及一期，拟承租人",B106,"分别为",ROUND(F106/100000000,2),"亿元、",ROUND(E106/100000000,2),"亿元、",ROUND(D106/100000000,2),"亿元及",ROUND(C106/100000000,2),"亿元。")</f>
        <v/>
      </c>
    </row>
    <row r="107" ht="14.1" customFormat="1" customHeight="1" s="183">
      <c r="A107" s="188" t="n">
        <v>5010</v>
      </c>
      <c r="B107" s="194" t="inlineStr">
        <is>
          <t>归属于母公司所有者权益（或股东权益）合计</t>
        </is>
      </c>
      <c r="C107" s="190">
        <f>C96+C97+C100+C101+C102+C103+C104+C105+C106</f>
        <v/>
      </c>
      <c r="D107" s="190">
        <f>D96+D97+D100+D101+D102+D103+D104+D105+D106</f>
        <v/>
      </c>
      <c r="E107" s="190">
        <f>E96+E97+E100+E101+E102+E103+E104+E105+E106</f>
        <v/>
      </c>
      <c r="F107" s="190">
        <f>F96+F97+F100+F101+F102+F103+F104+F105+F106</f>
        <v/>
      </c>
      <c r="G107" s="190">
        <f>G96+G97+G100+G101+G102+G103+G104+G105+G106</f>
        <v/>
      </c>
      <c r="H107">
        <f>C107+D107+E107+F107</f>
        <v/>
      </c>
      <c r="I107">
        <f>B107</f>
        <v/>
      </c>
      <c r="J107" s="43">
        <f>CONCATENATE("近三年及一期，拟承租人",B107,"分别为",ROUND(F107/100000000,2),"亿元、",ROUND(E107/100000000,2),"亿元、",ROUND(D107/100000000,2),"亿元及",ROUND(C107/100000000,2),"亿元。")</f>
        <v/>
      </c>
    </row>
    <row r="108" ht="14.1" customHeight="1">
      <c r="A108" s="43" t="n">
        <v>5011</v>
      </c>
      <c r="B108" s="43" t="inlineStr">
        <is>
          <t xml:space="preserve">  少数股东权益 </t>
        </is>
      </c>
      <c r="C108" s="208" t="n"/>
      <c r="D108" s="208" t="n"/>
      <c r="E108" s="186" t="n"/>
      <c r="F108" s="186" t="n"/>
      <c r="G108" s="186" t="n"/>
      <c r="H108">
        <f>C108+D108+E108+F108</f>
        <v/>
      </c>
      <c r="I108">
        <f>B108</f>
        <v/>
      </c>
      <c r="J108" s="43">
        <f>CONCATENATE("近三年及一期，拟承租人",B108,"分别为",ROUND(F108/100000000,2),"亿元、",ROUND(E108/100000000,2),"亿元、",ROUND(D108/100000000,2),"亿元及",ROUND(C108/100000000,2),"亿元。")</f>
        <v/>
      </c>
    </row>
    <row r="109" ht="14.1" customFormat="1" customHeight="1" s="183">
      <c r="A109" s="188" t="n">
        <v>5099</v>
      </c>
      <c r="B109" s="196" t="inlineStr">
        <is>
          <t xml:space="preserve">  所有者权益（或股东权益）合计 </t>
        </is>
      </c>
      <c r="C109" s="190">
        <f>C107+C108</f>
        <v/>
      </c>
      <c r="D109" s="190">
        <f>D107+D108</f>
        <v/>
      </c>
      <c r="E109" s="190">
        <f>E107+E108</f>
        <v/>
      </c>
      <c r="F109" s="190">
        <f>F107+F108</f>
        <v/>
      </c>
      <c r="G109" s="190">
        <f>G107+G108</f>
        <v/>
      </c>
      <c r="H109">
        <f>C109+D109+E109+F109</f>
        <v/>
      </c>
      <c r="I109">
        <f>B109</f>
        <v/>
      </c>
      <c r="J109" s="43">
        <f>CONCATENATE("近三年及一期，拟承租人",B109,"分别为",ROUND(F109/100000000,2),"亿元、",ROUND(E109/100000000,2),"亿元、",ROUND(D109/100000000,2),"亿元及",ROUND(C109/100000000,2),"亿元。")</f>
        <v/>
      </c>
    </row>
    <row r="110" ht="14.1" customFormat="1" customHeight="1" s="183">
      <c r="A110" s="188" t="n">
        <v>5999</v>
      </c>
      <c r="B110" s="188" t="inlineStr">
        <is>
          <t xml:space="preserve"> 负债和所有者权益（或股东权益）总计 </t>
        </is>
      </c>
      <c r="C110" s="190">
        <f>C94+C109</f>
        <v/>
      </c>
      <c r="D110" s="190">
        <f>D94+D109</f>
        <v/>
      </c>
      <c r="E110" s="190">
        <f>E94+E109</f>
        <v/>
      </c>
      <c r="F110" s="190">
        <f>F94+F109</f>
        <v/>
      </c>
      <c r="G110" s="190">
        <f>G94+G109</f>
        <v/>
      </c>
      <c r="H110">
        <f>C110+D110+E110+F110</f>
        <v/>
      </c>
      <c r="I110">
        <f>B110</f>
        <v/>
      </c>
      <c r="J110" s="43">
        <f>CONCATENATE("近三年及一期，拟承租人",B110,"分别为",ROUND(F110/100000000,2),"亿元、",ROUND(E110/100000000,2),"亿元、",ROUND(D110/100000000,2),"亿元及",ROUND(C110/100000000,2),"亿元。")</f>
        <v/>
      </c>
    </row>
    <row r="111">
      <c r="C111" s="209">
        <f>C110-C53</f>
        <v/>
      </c>
      <c r="D111" s="209">
        <f>D110-D53</f>
        <v/>
      </c>
      <c r="E111" s="209">
        <f>E110-E53</f>
        <v/>
      </c>
      <c r="F111" s="209">
        <f>F110-F53</f>
        <v/>
      </c>
      <c r="G111" s="209">
        <f>G110-G53</f>
        <v/>
      </c>
    </row>
  </sheetData>
  <autoFilter ref="A1:J111"/>
  <pageMargins left="0.75" right="0.75" top="1" bottom="1" header="0.5" footer="0.5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3">
    <tabColor indexed="13"/>
    <outlinePr summaryBelow="1" summaryRight="1"/>
    <pageSetUpPr/>
  </sheetPr>
  <dimension ref="A1:H70"/>
  <sheetViews>
    <sheetView zoomScale="115" zoomScaleNormal="115" workbookViewId="0">
      <selection activeCell="C66" sqref="C66"/>
    </sheetView>
  </sheetViews>
  <sheetFormatPr baseColWidth="8" defaultColWidth="9" defaultRowHeight="15.2"/>
  <cols>
    <col width="8.571428571428569" customWidth="1" min="1" max="1"/>
    <col width="47.5714285714286" customWidth="1" min="2" max="2"/>
    <col width="15.5714285714286" customWidth="1" min="3" max="3"/>
    <col width="15.2857142857143" customWidth="1" style="210" min="4" max="4"/>
    <col width="17" customWidth="1" style="210" min="5" max="5"/>
    <col width="16.4285714285714" customWidth="1" style="210" min="6" max="7"/>
  </cols>
  <sheetData>
    <row r="1" ht="22.15" customHeight="1">
      <c r="A1" s="162" t="inlineStr">
        <is>
          <t>项目编号</t>
        </is>
      </c>
      <c r="B1" s="162" t="inlineStr">
        <is>
          <t>项目名称（元）</t>
        </is>
      </c>
      <c r="C1" s="163" t="n">
        <v>45930</v>
      </c>
      <c r="D1" s="163" t="n">
        <v>45657</v>
      </c>
      <c r="E1" s="163" t="n">
        <v>45291</v>
      </c>
      <c r="F1" s="163" t="n">
        <v>44926</v>
      </c>
      <c r="G1" s="163" t="n">
        <v>44561</v>
      </c>
    </row>
    <row r="2" ht="14.1" customHeight="1">
      <c r="A2" s="59" t="n">
        <v>6100</v>
      </c>
      <c r="B2" s="59" t="inlineStr">
        <is>
          <t xml:space="preserve">一、营业总收入 </t>
        </is>
      </c>
      <c r="C2" s="211">
        <f>C3+C4+C5+C6+C7</f>
        <v/>
      </c>
      <c r="D2" s="212">
        <f>D3+D4+D5+D6+D7</f>
        <v/>
      </c>
      <c r="E2" s="212">
        <f>E3+E4+E5+E6+E7</f>
        <v/>
      </c>
      <c r="F2" s="212">
        <f>F3+F4+F5+F6+F7</f>
        <v/>
      </c>
      <c r="G2" s="212">
        <f>G3+G4+G5+G6+G7</f>
        <v/>
      </c>
    </row>
    <row r="3" ht="14.1" customHeight="1">
      <c r="A3" s="59" t="n">
        <v>6101</v>
      </c>
      <c r="B3" s="59" t="inlineStr">
        <is>
          <t xml:space="preserve">  其中：营业收入 </t>
        </is>
      </c>
      <c r="C3" s="213" t="n"/>
      <c r="D3" s="213" t="n"/>
      <c r="E3" s="213" t="n"/>
      <c r="F3" s="213" t="n"/>
      <c r="G3" s="213" t="n"/>
    </row>
    <row r="4" ht="14.1" customHeight="1">
      <c r="A4" s="59" t="n">
        <v>6102</v>
      </c>
      <c r="B4" s="59" t="inlineStr">
        <is>
          <t xml:space="preserve">     利息收入* </t>
        </is>
      </c>
      <c r="C4" s="214" t="n"/>
      <c r="D4" s="213" t="n"/>
      <c r="E4" s="213" t="n"/>
      <c r="F4" s="213" t="n"/>
      <c r="G4" s="213" t="n"/>
    </row>
    <row r="5" ht="14.1" customHeight="1">
      <c r="A5" s="59" t="n">
        <v>6103</v>
      </c>
      <c r="B5" s="59" t="inlineStr">
        <is>
          <t xml:space="preserve">        已赚保费* </t>
        </is>
      </c>
      <c r="C5" s="214" t="n"/>
      <c r="D5" s="213" t="n"/>
      <c r="E5" s="213" t="n"/>
      <c r="F5" s="213" t="n"/>
      <c r="G5" s="213" t="n"/>
    </row>
    <row r="6" ht="14.1" customHeight="1">
      <c r="A6" s="59" t="n">
        <v>6104</v>
      </c>
      <c r="B6" s="59" t="inlineStr">
        <is>
          <t xml:space="preserve">        手续费及佣金收入* </t>
        </is>
      </c>
      <c r="C6" s="214" t="n"/>
      <c r="D6" s="213" t="n"/>
      <c r="E6" s="213" t="n"/>
      <c r="F6" s="213" t="n"/>
      <c r="G6" s="213" t="n"/>
    </row>
    <row r="7" ht="14.1" customHeight="1">
      <c r="A7" s="59" t="n">
        <v>6105</v>
      </c>
      <c r="B7" s="59" t="inlineStr">
        <is>
          <t xml:space="preserve">        其他业务收入* </t>
        </is>
      </c>
      <c r="C7" s="214" t="n"/>
      <c r="D7" s="213" t="n"/>
      <c r="E7" s="213" t="n"/>
      <c r="F7" s="213" t="n"/>
      <c r="G7" s="213" t="n"/>
    </row>
    <row r="8" ht="14.1" customHeight="1">
      <c r="A8" s="59" t="n">
        <v>6200</v>
      </c>
      <c r="B8" s="59" t="inlineStr">
        <is>
          <t xml:space="preserve">二、营业总成本 </t>
        </is>
      </c>
      <c r="C8" s="214" t="n"/>
      <c r="D8" s="215" t="n"/>
      <c r="E8" s="215" t="n"/>
      <c r="F8" s="215" t="n"/>
      <c r="G8" s="215" t="n"/>
    </row>
    <row r="9" ht="14.1" customHeight="1">
      <c r="A9" s="59" t="n">
        <v>6201</v>
      </c>
      <c r="B9" s="59" t="inlineStr">
        <is>
          <t xml:space="preserve">其中：营业成本 </t>
        </is>
      </c>
      <c r="C9" s="212">
        <f>C10+C11</f>
        <v/>
      </c>
      <c r="D9" s="212">
        <f>D10+D11</f>
        <v/>
      </c>
      <c r="E9" s="212">
        <f>E10+E11</f>
        <v/>
      </c>
      <c r="F9" s="212">
        <f>F10+F11</f>
        <v/>
      </c>
      <c r="G9" s="212">
        <f>G10+G11</f>
        <v/>
      </c>
    </row>
    <row r="10" ht="14.1" customHeight="1">
      <c r="A10" s="59" t="n">
        <v>620101</v>
      </c>
      <c r="B10" s="59" t="inlineStr">
        <is>
          <t xml:space="preserve">  其中：主营业务成本 </t>
        </is>
      </c>
      <c r="C10" s="214" t="n"/>
      <c r="D10" s="216" t="n"/>
      <c r="E10" s="216" t="n"/>
      <c r="F10" s="215" t="n"/>
      <c r="G10" s="214" t="n"/>
    </row>
    <row r="11" ht="14.1" customHeight="1">
      <c r="A11" s="59" t="n">
        <v>620102</v>
      </c>
      <c r="B11" s="59" t="inlineStr">
        <is>
          <t xml:space="preserve">        其他业务成本 </t>
        </is>
      </c>
      <c r="C11" s="214" t="n"/>
      <c r="D11" s="214" t="n"/>
      <c r="E11" s="214" t="n"/>
      <c r="F11" s="214" t="n"/>
      <c r="G11" s="214" t="n"/>
    </row>
    <row r="12" ht="14.1" customHeight="1">
      <c r="A12" s="59" t="n">
        <v>6202</v>
      </c>
      <c r="B12" s="59" t="inlineStr">
        <is>
          <t xml:space="preserve">        利息支出* </t>
        </is>
      </c>
      <c r="C12" s="214" t="n"/>
      <c r="D12" s="214" t="n"/>
      <c r="E12" s="214" t="n"/>
      <c r="F12" s="214" t="n"/>
      <c r="G12" s="214" t="n"/>
    </row>
    <row r="13" ht="14.1" customHeight="1">
      <c r="A13" s="59" t="n">
        <v>6203</v>
      </c>
      <c r="B13" s="59" t="inlineStr">
        <is>
          <t xml:space="preserve">        手续费及佣金支出* </t>
        </is>
      </c>
      <c r="C13" s="214" t="n"/>
      <c r="D13" s="214" t="n"/>
      <c r="E13" s="214" t="n"/>
      <c r="F13" s="214" t="n"/>
      <c r="G13" s="214" t="n"/>
    </row>
    <row r="14" ht="13.5" customHeight="1">
      <c r="A14" s="59" t="n">
        <v>6204</v>
      </c>
      <c r="B14" s="59" t="inlineStr">
        <is>
          <t xml:space="preserve">        退保金* </t>
        </is>
      </c>
      <c r="C14" s="214" t="n"/>
      <c r="D14" s="214" t="n"/>
      <c r="E14" s="214" t="n"/>
      <c r="F14" s="214" t="n"/>
      <c r="G14" s="214" t="n"/>
    </row>
    <row r="15" ht="13.5" customHeight="1">
      <c r="A15" s="59" t="n">
        <v>6205</v>
      </c>
      <c r="B15" s="59" t="inlineStr">
        <is>
          <t xml:space="preserve">        赔付支出净额* </t>
        </is>
      </c>
      <c r="C15" s="214" t="n"/>
      <c r="D15" s="214" t="n"/>
      <c r="E15" s="214" t="n"/>
      <c r="F15" s="214" t="n"/>
      <c r="G15" s="214" t="n"/>
    </row>
    <row r="16" ht="14.1" customHeight="1">
      <c r="A16" s="59" t="n">
        <v>6206</v>
      </c>
      <c r="B16" s="59" t="inlineStr">
        <is>
          <t xml:space="preserve">        提取保险责任准备金净额* </t>
        </is>
      </c>
      <c r="C16" s="214" t="n"/>
      <c r="D16" s="214" t="n"/>
      <c r="E16" s="214" t="n"/>
      <c r="F16" s="214" t="n"/>
      <c r="G16" s="214" t="n"/>
    </row>
    <row r="17" ht="14.1" customHeight="1">
      <c r="A17" s="59" t="n">
        <v>6207</v>
      </c>
      <c r="B17" s="59" t="inlineStr">
        <is>
          <t xml:space="preserve">        保单红利支出* </t>
        </is>
      </c>
      <c r="C17" s="214" t="n"/>
      <c r="D17" s="214" t="n"/>
      <c r="E17" s="214" t="n"/>
      <c r="F17" s="214" t="n"/>
      <c r="G17" s="214" t="n"/>
    </row>
    <row r="18" ht="14.1" customHeight="1">
      <c r="A18" s="59" t="n">
        <v>6208</v>
      </c>
      <c r="B18" s="59" t="inlineStr">
        <is>
          <t xml:space="preserve">        分保费用* </t>
        </is>
      </c>
      <c r="C18" s="214" t="n"/>
      <c r="D18" s="214" t="n"/>
      <c r="E18" s="214" t="n"/>
      <c r="F18" s="214" t="n"/>
      <c r="G18" s="214" t="n"/>
    </row>
    <row r="19" ht="14.1" customHeight="1">
      <c r="A19" s="59" t="n">
        <v>6209</v>
      </c>
      <c r="B19" s="59" t="inlineStr">
        <is>
          <t xml:space="preserve">        税金及附加 </t>
        </is>
      </c>
      <c r="C19" s="217" t="n"/>
      <c r="D19" s="217" t="n"/>
      <c r="E19" s="217" t="n"/>
      <c r="F19" s="217" t="n"/>
      <c r="G19" s="217" t="n"/>
    </row>
    <row r="20" ht="14.1" customHeight="1">
      <c r="A20" s="59" t="n">
        <v>6210</v>
      </c>
      <c r="B20" s="59" t="inlineStr">
        <is>
          <t xml:space="preserve">        销售费用 </t>
        </is>
      </c>
      <c r="C20" s="217" t="n"/>
      <c r="D20" s="217" t="n"/>
      <c r="E20" s="217" t="n"/>
      <c r="F20" s="217" t="n"/>
      <c r="G20" s="217" t="n"/>
    </row>
    <row r="21" ht="14.1" customHeight="1">
      <c r="A21" s="59" t="n">
        <v>6211</v>
      </c>
      <c r="B21" s="59" t="inlineStr">
        <is>
          <t xml:space="preserve">        管理费用 </t>
        </is>
      </c>
      <c r="C21" s="217" t="n"/>
      <c r="D21" s="217" t="n"/>
      <c r="E21" s="217" t="n"/>
      <c r="F21" s="217" t="n"/>
      <c r="G21" s="217" t="n"/>
    </row>
    <row r="22" ht="14.1" customHeight="1">
      <c r="A22" s="59" t="n">
        <v>6212</v>
      </c>
      <c r="B22" s="59" t="inlineStr">
        <is>
          <t xml:space="preserve">        研发费用 </t>
        </is>
      </c>
      <c r="C22" s="217" t="n"/>
      <c r="D22" s="217" t="n"/>
      <c r="E22" s="217" t="n"/>
      <c r="F22" s="217" t="n"/>
      <c r="G22" s="217" t="n"/>
    </row>
    <row r="23" ht="14.1" customHeight="1">
      <c r="A23" s="59" t="n">
        <v>6213</v>
      </c>
      <c r="B23" s="59" t="inlineStr">
        <is>
          <t xml:space="preserve">        财务费用 </t>
        </is>
      </c>
      <c r="C23" s="217" t="n"/>
      <c r="D23" s="217" t="n"/>
      <c r="E23" s="217" t="n"/>
      <c r="F23" s="217" t="n"/>
      <c r="G23" s="217" t="n"/>
    </row>
    <row r="24" ht="14.1" customHeight="1">
      <c r="A24" s="59" t="n">
        <v>621301</v>
      </c>
      <c r="B24" s="59" t="inlineStr">
        <is>
          <t xml:space="preserve">      其中：利息费用 </t>
        </is>
      </c>
      <c r="C24" s="217" t="n"/>
      <c r="D24" s="217" t="n"/>
      <c r="E24" s="217" t="n"/>
      <c r="F24" s="217" t="n"/>
      <c r="G24" s="217" t="n"/>
    </row>
    <row r="25" ht="14.1" customHeight="1">
      <c r="A25" s="59" t="n">
        <v>621302</v>
      </c>
      <c r="B25" s="59" t="inlineStr">
        <is>
          <t xml:space="preserve">        利息收入 </t>
        </is>
      </c>
      <c r="C25" s="217" t="n"/>
      <c r="D25" s="217" t="n"/>
      <c r="E25" s="217" t="n"/>
      <c r="F25" s="217" t="n"/>
      <c r="G25" s="217" t="n"/>
    </row>
    <row r="26" ht="14.1" customHeight="1">
      <c r="A26" s="59" t="n">
        <v>6214</v>
      </c>
      <c r="B26" s="59" t="inlineStr">
        <is>
          <t xml:space="preserve">  加：其他收益 </t>
        </is>
      </c>
      <c r="C26" s="214" t="n"/>
      <c r="D26" s="214" t="n"/>
      <c r="E26" s="214" t="n"/>
      <c r="F26" s="214" t="n"/>
      <c r="G26" s="214" t="n"/>
    </row>
    <row r="27" ht="14.1" customHeight="1">
      <c r="A27" s="59" t="n">
        <v>6215</v>
      </c>
      <c r="B27" s="59" t="inlineStr">
        <is>
          <t xml:space="preserve">      投资收益（损失以“-”号填列） </t>
        </is>
      </c>
      <c r="C27" s="214" t="n"/>
      <c r="D27" s="214" t="n"/>
      <c r="E27" s="214" t="n"/>
      <c r="F27" s="214" t="n"/>
      <c r="G27" s="214" t="n"/>
    </row>
    <row r="28" ht="14.1" customHeight="1">
      <c r="A28" s="59" t="n">
        <v>621501</v>
      </c>
      <c r="B28" s="59" t="inlineStr">
        <is>
          <t xml:space="preserve">其中：对联营企业和合营企业投资收益 </t>
        </is>
      </c>
      <c r="C28" s="214" t="n"/>
      <c r="D28" s="214" t="n"/>
      <c r="E28" s="214" t="n"/>
      <c r="F28" s="214" t="n"/>
      <c r="G28" s="214" t="n"/>
    </row>
    <row r="29" ht="14.1" customHeight="1">
      <c r="A29" s="59" t="n">
        <v>621502</v>
      </c>
      <c r="B29" s="59" t="inlineStr">
        <is>
          <t xml:space="preserve">      以摊余成本计量的金融资产终止确认收益 </t>
        </is>
      </c>
      <c r="C29" s="218" t="n"/>
      <c r="D29" s="218" t="n"/>
      <c r="E29" s="218" t="n"/>
      <c r="F29" s="218" t="n"/>
      <c r="G29" s="218" t="n"/>
    </row>
    <row r="30" ht="14.1" customHeight="1">
      <c r="A30" s="59" t="n">
        <v>6216</v>
      </c>
      <c r="B30" s="59" t="inlineStr">
        <is>
          <t xml:space="preserve">      汇兑收益（损失以“-”号填列）* </t>
        </is>
      </c>
      <c r="C30" s="214" t="n"/>
      <c r="D30" s="214" t="n"/>
      <c r="E30" s="214" t="n"/>
      <c r="F30" s="214" t="n"/>
      <c r="G30" s="214" t="n"/>
    </row>
    <row r="31" ht="14.1" customHeight="1">
      <c r="A31" s="59" t="n">
        <v>6217</v>
      </c>
      <c r="B31" s="59" t="inlineStr">
        <is>
          <t xml:space="preserve">      净敞口套期收益（损失以“-”号填列） </t>
        </is>
      </c>
      <c r="C31" s="218" t="n"/>
      <c r="D31" s="218" t="n"/>
      <c r="E31" s="218" t="n"/>
      <c r="F31" s="218" t="n"/>
      <c r="G31" s="218" t="n"/>
    </row>
    <row r="32" ht="14.1" customHeight="1">
      <c r="A32" s="59" t="n">
        <v>6218</v>
      </c>
      <c r="B32" s="59" t="inlineStr">
        <is>
          <t xml:space="preserve">      公允价值变动收益（损失以“-”号填列）</t>
        </is>
      </c>
      <c r="C32" s="214" t="n"/>
      <c r="D32" s="214" t="n"/>
      <c r="E32" s="214" t="n"/>
      <c r="F32" s="214" t="n"/>
      <c r="G32" s="214" t="n"/>
    </row>
    <row r="33" ht="14.1" customHeight="1">
      <c r="A33" s="59" t="n">
        <v>6219</v>
      </c>
      <c r="B33" s="59" t="inlineStr">
        <is>
          <t xml:space="preserve">      信用减值损失（损失以“-”号填列） </t>
        </is>
      </c>
      <c r="C33" s="214" t="n"/>
      <c r="D33" s="214" t="n"/>
      <c r="E33" s="214" t="n"/>
      <c r="F33" s="214" t="n"/>
      <c r="G33" s="214" t="n"/>
      <c r="H33" s="219" t="n"/>
    </row>
    <row r="34" ht="14.1" customHeight="1">
      <c r="A34" s="59" t="n">
        <v>6220</v>
      </c>
      <c r="B34" s="59" t="inlineStr">
        <is>
          <t xml:space="preserve">      资产减值损失（损失以“-”号填列） </t>
        </is>
      </c>
      <c r="C34" s="214" t="n"/>
      <c r="D34" s="214" t="n"/>
      <c r="E34" s="214" t="n"/>
      <c r="F34" s="214" t="n"/>
      <c r="G34" s="214" t="n"/>
    </row>
    <row r="35" ht="14.1" customHeight="1">
      <c r="A35" s="59" t="n">
        <v>6221</v>
      </c>
      <c r="B35" s="59" t="inlineStr">
        <is>
          <t xml:space="preserve">      资产处置收益（损失以“-”号填列） </t>
        </is>
      </c>
      <c r="C35" s="214" t="n"/>
      <c r="D35" s="214" t="n"/>
      <c r="E35" s="214" t="n"/>
      <c r="F35" s="214" t="n"/>
      <c r="G35" s="214" t="n"/>
    </row>
    <row r="36" ht="14.1" customHeight="1">
      <c r="A36" s="59" t="n">
        <v>6300</v>
      </c>
      <c r="B36" s="59" t="inlineStr">
        <is>
          <t xml:space="preserve">三、营业利润（亏损以“-”号填列） </t>
        </is>
      </c>
      <c r="C36" s="211">
        <f>C2-C9-C12-C13-C14-C15-C16-C17-C18-C19-C20-C21-C22-C23+C26+C27+C30+C31+C32+C33+C34+C35</f>
        <v/>
      </c>
      <c r="D36" s="211">
        <f>D2-D9-D12-D13-D14-D15-D16-D17-D18-D19-D20-D21-D22-D23+D26+D27+D30+D31+D32+D33+D34+D35</f>
        <v/>
      </c>
      <c r="E36" s="211">
        <f>E2-E9-E12-E13-E14-E15-E16-E17-E18-E19-E20-E21-E22-E23+E26+E27+E30+E31+E32+E33+E34+E35</f>
        <v/>
      </c>
      <c r="F36" s="211">
        <f>F2-F9-F12-F13-F14-F15-F16-F17-F18-F19-F20-F21-F22-F23+F26+F27+F30+F31+F32+F33+F34+F35</f>
        <v/>
      </c>
      <c r="G36" s="211">
        <f>G2-G9-G12-G13-G14-G15-G16-G17-G18-G19-G20-G21-G22-G23+G26+G27+G30+G31+G32+G33+G34+G35</f>
        <v/>
      </c>
    </row>
    <row r="37" ht="14.1" customHeight="1">
      <c r="A37" s="59" t="n">
        <v>6301</v>
      </c>
      <c r="B37" s="59" t="inlineStr">
        <is>
          <t xml:space="preserve">  加：营业外收入 </t>
        </is>
      </c>
      <c r="C37" s="214" t="n"/>
      <c r="D37" s="214" t="n"/>
      <c r="E37" s="214" t="n"/>
      <c r="F37" s="214" t="n"/>
      <c r="G37" s="214" t="n"/>
    </row>
    <row r="38" ht="14.1" customHeight="1">
      <c r="A38" s="59" t="n">
        <v>6302</v>
      </c>
      <c r="B38" s="59" t="inlineStr">
        <is>
          <t xml:space="preserve">  减：营业外支出 </t>
        </is>
      </c>
      <c r="C38" s="214" t="n"/>
      <c r="D38" s="214" t="n"/>
      <c r="E38" s="214" t="n"/>
      <c r="F38" s="214" t="n"/>
      <c r="G38" s="214" t="n"/>
    </row>
    <row r="39" ht="14.1" customHeight="1">
      <c r="A39" s="59" t="n">
        <v>6400</v>
      </c>
      <c r="B39" s="59" t="inlineStr">
        <is>
          <t xml:space="preserve">四、利润总额（亏损总额以“-”号填列） </t>
        </is>
      </c>
      <c r="C39" s="211">
        <f>C36+C37-C38</f>
        <v/>
      </c>
      <c r="D39" s="212">
        <f>D36+D37-D38</f>
        <v/>
      </c>
      <c r="E39" s="212">
        <f>E36+E37-E38</f>
        <v/>
      </c>
      <c r="F39" s="212">
        <f>F36+F37-F38</f>
        <v/>
      </c>
      <c r="G39" s="212">
        <f>G36+G37-G38</f>
        <v/>
      </c>
    </row>
    <row r="40" ht="14.1" customHeight="1">
      <c r="A40" s="59" t="n">
        <v>6401</v>
      </c>
      <c r="B40" s="59" t="inlineStr">
        <is>
          <t xml:space="preserve">  减：所得税费用 </t>
        </is>
      </c>
      <c r="C40" s="214" t="n"/>
      <c r="D40" s="214" t="n"/>
      <c r="E40" s="214" t="n"/>
      <c r="F40" s="214" t="n"/>
      <c r="G40" s="214" t="n"/>
    </row>
    <row r="41" ht="14.1" customHeight="1">
      <c r="A41" s="59" t="n">
        <v>6500</v>
      </c>
      <c r="B41" s="59" t="inlineStr">
        <is>
          <t xml:space="preserve">五、净利润（净亏损以“-”号填列） </t>
        </is>
      </c>
      <c r="C41" s="211">
        <f>C39-C40</f>
        <v/>
      </c>
      <c r="D41" s="212">
        <f>D39-D40</f>
        <v/>
      </c>
      <c r="E41" s="212">
        <f>E39-E40</f>
        <v/>
      </c>
      <c r="F41" s="212">
        <f>F39-F40</f>
        <v/>
      </c>
      <c r="G41" s="212">
        <f>G39-G40</f>
        <v/>
      </c>
    </row>
    <row r="42" ht="14.1" customHeight="1">
      <c r="A42" s="59" t="n">
        <v>6501</v>
      </c>
      <c r="B42" s="59" t="inlineStr">
        <is>
          <t xml:space="preserve">  （一）按经营持续性分类 </t>
        </is>
      </c>
      <c r="C42" s="214" t="n"/>
      <c r="D42" s="213" t="n"/>
      <c r="E42" s="213" t="n"/>
      <c r="F42" s="213" t="n"/>
      <c r="G42" s="213" t="n"/>
    </row>
    <row r="43" ht="14.1" customHeight="1">
      <c r="A43" s="59" t="n">
        <v>650101</v>
      </c>
      <c r="B43" s="59" t="inlineStr">
        <is>
          <t xml:space="preserve">    1. 持续经营净利润（净亏损以“-”号填列） </t>
        </is>
      </c>
      <c r="C43" s="214" t="n"/>
      <c r="D43" s="213" t="n"/>
      <c r="E43" s="213" t="n"/>
      <c r="F43" s="213" t="n"/>
      <c r="G43" s="213" t="n"/>
    </row>
    <row r="44" ht="14.1" customHeight="1">
      <c r="A44" s="59" t="n">
        <v>650102</v>
      </c>
      <c r="B44" s="59" t="inlineStr">
        <is>
          <t xml:space="preserve">    2. 终止经营净利润（净亏损以“-”号填列） </t>
        </is>
      </c>
      <c r="C44" s="214" t="n"/>
      <c r="D44" s="213" t="n"/>
      <c r="E44" s="213" t="n"/>
      <c r="F44" s="213" t="n"/>
      <c r="G44" s="213" t="n"/>
    </row>
    <row r="45" ht="14.1" customHeight="1">
      <c r="A45" s="59" t="n">
        <v>6502</v>
      </c>
      <c r="B45" s="59" t="inlineStr">
        <is>
          <t xml:space="preserve">  （二）按所有权归属分类 </t>
        </is>
      </c>
      <c r="C45" s="214" t="n"/>
      <c r="D45" s="213" t="n"/>
      <c r="E45" s="213" t="n"/>
      <c r="F45" s="213" t="n"/>
      <c r="G45" s="213" t="n"/>
    </row>
    <row r="46" ht="14.1" customHeight="1">
      <c r="A46" s="59" t="n">
        <v>650201</v>
      </c>
      <c r="B46" s="59" t="inlineStr">
        <is>
          <t xml:space="preserve">    1. 归属于母公司股东的净利润（净亏损以“-”号填列） </t>
        </is>
      </c>
      <c r="C46" s="214" t="n"/>
      <c r="D46" s="214" t="n"/>
      <c r="E46" s="214" t="n"/>
      <c r="F46" s="214" t="n"/>
      <c r="G46" s="214" t="n"/>
    </row>
    <row r="47" ht="16" customHeight="1">
      <c r="A47" s="59" t="n">
        <v>650202</v>
      </c>
      <c r="B47" s="59" t="inlineStr">
        <is>
          <t xml:space="preserve">    2. 少数股东损益（净亏损以“-”号填列）</t>
        </is>
      </c>
      <c r="C47" s="214" t="n"/>
      <c r="D47" s="214" t="n"/>
      <c r="E47" s="214" t="n"/>
      <c r="F47" s="214" t="n"/>
      <c r="G47" s="214" t="n"/>
    </row>
    <row r="48" ht="16" customHeight="1">
      <c r="A48" s="59" t="n">
        <v>6600</v>
      </c>
      <c r="B48" s="59" t="inlineStr">
        <is>
          <t xml:space="preserve">六、其他综合收益的税后净额 </t>
        </is>
      </c>
      <c r="C48" s="165" t="n"/>
      <c r="D48" s="213" t="n"/>
      <c r="E48" s="213" t="n"/>
      <c r="F48" s="213" t="n"/>
      <c r="G48" s="213" t="n"/>
    </row>
    <row r="49" ht="16" customHeight="1">
      <c r="A49" s="59" t="n">
        <v>6601</v>
      </c>
      <c r="B49" s="59" t="inlineStr">
        <is>
          <t xml:space="preserve">  （一）归属于母公司所有者的其他综合收益的税后净额 </t>
        </is>
      </c>
      <c r="C49" s="165" t="n"/>
      <c r="D49" s="213" t="n"/>
      <c r="E49" s="213" t="n"/>
      <c r="F49" s="213" t="n"/>
      <c r="G49" s="213" t="n"/>
    </row>
    <row r="50" ht="16" customHeight="1">
      <c r="A50" s="59" t="n">
        <v>660101</v>
      </c>
      <c r="B50" s="59" t="inlineStr">
        <is>
          <t xml:space="preserve">    1．不能重分类进损益的其他综合收益 </t>
        </is>
      </c>
      <c r="C50" s="165" t="n"/>
      <c r="D50" s="213" t="n"/>
      <c r="E50" s="213" t="n"/>
      <c r="F50" s="213" t="n"/>
      <c r="G50" s="213" t="n"/>
    </row>
    <row r="51" ht="16" customHeight="1">
      <c r="A51" s="59" t="n">
        <v>66010101</v>
      </c>
      <c r="B51" s="59" t="inlineStr">
        <is>
          <t xml:space="preserve">     （1）重新计量设定受益计划变动额 </t>
        </is>
      </c>
      <c r="C51" s="165" t="n"/>
      <c r="D51" s="213" t="n"/>
      <c r="E51" s="213" t="n"/>
      <c r="F51" s="213" t="n"/>
      <c r="G51" s="213" t="n"/>
    </row>
    <row r="52" ht="16" customHeight="1">
      <c r="A52" s="59" t="n">
        <v>66010102</v>
      </c>
      <c r="B52" s="59" t="inlineStr">
        <is>
          <t xml:space="preserve">     （2）权益法下不能转损益的其他综合收益</t>
        </is>
      </c>
      <c r="C52" s="165" t="n"/>
      <c r="D52" s="213" t="n"/>
      <c r="E52" s="213" t="n"/>
      <c r="F52" s="213" t="n"/>
      <c r="G52" s="213" t="n"/>
    </row>
    <row r="53" ht="16" customHeight="1">
      <c r="A53" s="59" t="n">
        <v>66010103</v>
      </c>
      <c r="B53" s="59" t="inlineStr">
        <is>
          <t xml:space="preserve">     （3）其他权益工具投资公允价值变动 </t>
        </is>
      </c>
      <c r="C53" s="165" t="n"/>
      <c r="D53" s="213" t="n"/>
      <c r="E53" s="213" t="n"/>
      <c r="F53" s="213" t="n"/>
      <c r="G53" s="213" t="n"/>
    </row>
    <row r="54" ht="16" customHeight="1">
      <c r="A54" s="59" t="n">
        <v>66010104</v>
      </c>
      <c r="B54" s="59" t="inlineStr">
        <is>
          <t xml:space="preserve">     （4）企业自身信用风险公允价值变动 </t>
        </is>
      </c>
      <c r="C54" s="165" t="n"/>
      <c r="D54" s="213" t="n"/>
      <c r="E54" s="213" t="n"/>
      <c r="F54" s="213" t="n"/>
      <c r="G54" s="213" t="n"/>
    </row>
    <row r="55" ht="16" customHeight="1">
      <c r="A55" s="59" t="n">
        <v>66010105</v>
      </c>
      <c r="B55" s="59" t="inlineStr">
        <is>
          <t xml:space="preserve">     （5）其他 </t>
        </is>
      </c>
      <c r="C55" s="165" t="n"/>
      <c r="D55" s="213" t="n"/>
      <c r="E55" s="213" t="n"/>
      <c r="F55" s="213" t="n"/>
      <c r="G55" s="213" t="n"/>
    </row>
    <row r="56" ht="16" customHeight="1">
      <c r="A56" s="59" t="n">
        <v>660102</v>
      </c>
      <c r="B56" s="59" t="inlineStr">
        <is>
          <t xml:space="preserve">    2．将重分类进损益的其他综合收益 </t>
        </is>
      </c>
      <c r="C56" s="165" t="n"/>
      <c r="D56" s="213" t="n">
        <v>0</v>
      </c>
      <c r="E56" s="213" t="n">
        <v>0</v>
      </c>
      <c r="F56" s="213" t="n">
        <v>0</v>
      </c>
      <c r="G56" s="213" t="n"/>
    </row>
    <row r="57" ht="16" customHeight="1">
      <c r="A57" s="59" t="n">
        <v>66010201</v>
      </c>
      <c r="B57" s="59" t="inlineStr">
        <is>
          <t xml:space="preserve">     （1）权益法下可转损益的其他综合收益 </t>
        </is>
      </c>
      <c r="C57" s="165" t="n"/>
      <c r="D57" s="213" t="n"/>
      <c r="E57" s="213" t="n"/>
      <c r="F57" s="213" t="n"/>
      <c r="G57" s="213" t="n"/>
    </row>
    <row r="58" ht="16" customHeight="1">
      <c r="A58" s="59" t="n">
        <v>66010202</v>
      </c>
      <c r="B58" s="59" t="inlineStr">
        <is>
          <t xml:space="preserve">     （2）其他债权投资公允价值变动 </t>
        </is>
      </c>
      <c r="C58" s="165" t="n"/>
      <c r="D58" s="213" t="n"/>
      <c r="E58" s="213" t="n"/>
      <c r="F58" s="213" t="n"/>
      <c r="G58" s="213" t="n"/>
    </row>
    <row r="59" ht="16" customHeight="1">
      <c r="A59" s="59" t="n">
        <v>66010203</v>
      </c>
      <c r="B59" s="59" t="inlineStr">
        <is>
          <t xml:space="preserve">（3）金融资产重分类计入其他综合收益的金额 </t>
        </is>
      </c>
      <c r="C59" s="165" t="n"/>
      <c r="D59" s="213" t="n"/>
      <c r="E59" s="213" t="n"/>
      <c r="F59" s="213" t="n"/>
      <c r="G59" s="213" t="n"/>
    </row>
    <row r="60" ht="16" customHeight="1">
      <c r="A60" s="59" t="n">
        <v>66010204</v>
      </c>
      <c r="B60" s="59" t="inlineStr">
        <is>
          <t xml:space="preserve">     （4）其他债权投资信用减值准备 </t>
        </is>
      </c>
      <c r="C60" s="165" t="n"/>
      <c r="D60" s="213" t="n"/>
      <c r="E60" s="213" t="n"/>
      <c r="F60" s="213" t="n"/>
      <c r="G60" s="213" t="n"/>
    </row>
    <row r="61" ht="16" customHeight="1">
      <c r="A61" s="59" t="n">
        <v>66010205</v>
      </c>
      <c r="B61" s="59" t="inlineStr">
        <is>
          <t xml:space="preserve">     （5）现金流量套期储备 </t>
        </is>
      </c>
      <c r="C61" s="165" t="n"/>
      <c r="D61" s="213" t="n"/>
      <c r="E61" s="213" t="n"/>
      <c r="F61" s="213" t="n"/>
      <c r="G61" s="213" t="n"/>
    </row>
    <row r="62" ht="16" customHeight="1">
      <c r="A62" s="59" t="n">
        <v>66010206</v>
      </c>
      <c r="B62" s="59" t="inlineStr">
        <is>
          <t xml:space="preserve">     （6）外币财务报表折算差额 </t>
        </is>
      </c>
      <c r="C62" s="165" t="n"/>
      <c r="D62" s="213" t="n"/>
      <c r="E62" s="213" t="n"/>
      <c r="F62" s="213" t="n"/>
      <c r="G62" s="213" t="n"/>
    </row>
    <row r="63" ht="16" customHeight="1">
      <c r="A63" s="59" t="n">
        <v>66010207</v>
      </c>
      <c r="B63" s="59" t="inlineStr">
        <is>
          <t xml:space="preserve">     （7）其他</t>
        </is>
      </c>
      <c r="C63" s="165" t="n"/>
      <c r="D63" s="213" t="n">
        <v>0</v>
      </c>
      <c r="E63" s="213" t="n">
        <v>0</v>
      </c>
      <c r="F63" s="213" t="n">
        <v>0</v>
      </c>
      <c r="G63" s="213" t="n"/>
    </row>
    <row r="64" ht="16" customHeight="1">
      <c r="A64" s="59" t="n">
        <v>6602</v>
      </c>
      <c r="B64" s="59" t="inlineStr">
        <is>
          <t xml:space="preserve">  （二）归属于少数股东的其他综合收益的税后净额 </t>
        </is>
      </c>
      <c r="C64" s="165" t="n"/>
      <c r="D64" s="213" t="n"/>
      <c r="E64" s="213" t="n"/>
      <c r="F64" s="213" t="n"/>
      <c r="G64" s="213" t="n"/>
    </row>
    <row r="65" ht="16" customHeight="1">
      <c r="A65" s="59" t="n">
        <v>6700</v>
      </c>
      <c r="B65" s="59" t="inlineStr">
        <is>
          <t xml:space="preserve">七、综合收益总额 </t>
        </is>
      </c>
      <c r="C65" s="212">
        <f>C41+C48</f>
        <v/>
      </c>
      <c r="D65" s="212">
        <f>D41+D48</f>
        <v/>
      </c>
      <c r="E65" s="212">
        <f>E41+E48</f>
        <v/>
      </c>
      <c r="F65" s="212">
        <f>F41+F48</f>
        <v/>
      </c>
      <c r="G65" s="212">
        <f>G41+G48</f>
        <v/>
      </c>
    </row>
    <row r="66" ht="16" customHeight="1">
      <c r="A66" s="59" t="n">
        <v>6701</v>
      </c>
      <c r="B66" s="59" t="inlineStr">
        <is>
          <t xml:space="preserve">  （一）归属于母公司所有者的综合收益总额</t>
        </is>
      </c>
      <c r="C66" s="218" t="n"/>
      <c r="D66" s="220" t="n"/>
      <c r="E66" s="220" t="n"/>
      <c r="F66" s="220" t="n"/>
      <c r="G66" s="220" t="n"/>
    </row>
    <row r="67" ht="16" customHeight="1">
      <c r="A67" s="59" t="n">
        <v>6702</v>
      </c>
      <c r="B67" s="59" t="inlineStr">
        <is>
          <t xml:space="preserve">  （二）归属于少数股东的综合收益总额 </t>
        </is>
      </c>
      <c r="C67" s="220" t="n"/>
      <c r="D67" s="220" t="n"/>
      <c r="E67" s="220" t="n"/>
      <c r="F67" s="220" t="n"/>
      <c r="G67" s="220" t="n"/>
    </row>
    <row r="68" ht="16" customHeight="1">
      <c r="A68" s="59" t="n">
        <v>6800</v>
      </c>
      <c r="B68" s="59" t="inlineStr">
        <is>
          <t xml:space="preserve">八、每股收益 </t>
        </is>
      </c>
      <c r="C68" s="165" t="n"/>
      <c r="D68" s="213" t="n"/>
      <c r="E68" s="213" t="n"/>
      <c r="F68" s="213" t="n"/>
      <c r="G68" s="213" t="n"/>
    </row>
    <row r="69" ht="16" customHeight="1">
      <c r="A69" s="59" t="n">
        <v>6801</v>
      </c>
      <c r="B69" s="59" t="inlineStr">
        <is>
          <t xml:space="preserve">  （一）基本每股收益 </t>
        </is>
      </c>
      <c r="C69" s="165" t="n"/>
      <c r="D69" s="213" t="n"/>
      <c r="E69" s="213" t="n"/>
      <c r="F69" s="213" t="n"/>
      <c r="G69" s="213" t="n"/>
    </row>
    <row r="70" ht="16" customHeight="1">
      <c r="A70" s="59" t="n">
        <v>6802</v>
      </c>
      <c r="B70" s="59" t="inlineStr">
        <is>
          <t xml:space="preserve">  （二）稀释每股收益 </t>
        </is>
      </c>
      <c r="C70" s="165" t="n"/>
      <c r="D70" s="213" t="n"/>
      <c r="E70" s="213" t="n"/>
      <c r="F70" s="213" t="n"/>
      <c r="G70" s="213" t="n"/>
    </row>
  </sheetData>
  <pageMargins left="0.75" right="0.75" top="1" bottom="1" header="0.5" footer="0.5"/>
  <pageSetup orientation="portrait" paperSize="9"/>
</worksheet>
</file>

<file path=xl/worksheets/sheet6.xml><?xml version="1.0" encoding="utf-8"?>
<worksheet xmlns="http://schemas.openxmlformats.org/spreadsheetml/2006/main">
  <sheetPr codeName="Sheet4">
    <tabColor indexed="13"/>
    <outlinePr summaryBelow="1" summaryRight="1"/>
    <pageSetUpPr/>
  </sheetPr>
  <dimension ref="A1:G57"/>
  <sheetViews>
    <sheetView topLeftCell="A28" zoomScale="106" zoomScaleNormal="106" workbookViewId="0">
      <selection activeCell="C57" sqref="C57"/>
    </sheetView>
  </sheetViews>
  <sheetFormatPr baseColWidth="8" defaultColWidth="9" defaultRowHeight="15.2"/>
  <cols>
    <col width="8.571428571428569" customWidth="1" style="159" min="1" max="1"/>
    <col width="43.5714285714286" customWidth="1" min="2" max="2"/>
    <col width="17.8571428571429" customWidth="1" min="3" max="3"/>
    <col width="16.1428571428571" customWidth="1" min="4" max="4"/>
    <col width="18.5714285714286" customWidth="1" min="5" max="5"/>
    <col width="25.4642857142857" customWidth="1" style="221" min="6" max="6"/>
    <col width="16.2857142857143" customWidth="1" style="221" min="7" max="7"/>
  </cols>
  <sheetData>
    <row r="1" ht="22.15" customHeight="1">
      <c r="A1" s="161" t="inlineStr">
        <is>
          <t>项目编号</t>
        </is>
      </c>
      <c r="B1" s="162" t="inlineStr">
        <is>
          <t>项目名称（元）</t>
        </is>
      </c>
      <c r="C1" s="163" t="n">
        <v>45930</v>
      </c>
      <c r="D1" s="163" t="n">
        <v>45657</v>
      </c>
      <c r="E1" s="203" t="n">
        <v>45291</v>
      </c>
      <c r="F1" s="203" t="n">
        <v>44926</v>
      </c>
      <c r="G1" s="203" t="n">
        <v>44561</v>
      </c>
    </row>
    <row r="2" ht="14.1" customHeight="1">
      <c r="A2" s="43" t="n">
        <v>7101</v>
      </c>
      <c r="B2" s="59" t="inlineStr">
        <is>
          <t xml:space="preserve">一、经营活动产生的现金流量 </t>
        </is>
      </c>
      <c r="C2" s="165" t="n"/>
      <c r="D2" s="165" t="n"/>
      <c r="E2" s="165" t="n"/>
      <c r="F2" s="165" t="n"/>
      <c r="G2" s="165" t="n"/>
    </row>
    <row r="3" ht="14.1" customHeight="1">
      <c r="A3" s="43" t="n">
        <v>710101</v>
      </c>
      <c r="B3" s="59" t="inlineStr">
        <is>
          <t xml:space="preserve">销售商品、提供劳务收到的现金 </t>
        </is>
      </c>
      <c r="C3" s="222" t="n">
        <v>757987491.72</v>
      </c>
      <c r="D3" s="222" t="n">
        <v>61281050.57</v>
      </c>
      <c r="E3" s="222" t="n">
        <v>67634905.01000001</v>
      </c>
      <c r="F3" s="222" t="n">
        <v>108154268.21</v>
      </c>
      <c r="G3" s="222" t="n"/>
    </row>
    <row r="4" ht="14.1" customHeight="1">
      <c r="A4" s="43" t="n">
        <v>710102</v>
      </c>
      <c r="B4" s="59" t="inlineStr">
        <is>
          <t xml:space="preserve">客户存款和同业存放款项净增加额* </t>
        </is>
      </c>
      <c r="C4" s="167" t="n"/>
      <c r="D4" s="167" t="n"/>
      <c r="E4" s="167" t="n"/>
      <c r="F4" s="167" t="n"/>
      <c r="G4" s="167" t="n"/>
    </row>
    <row r="5" ht="14.1" customHeight="1">
      <c r="A5" s="43" t="n">
        <v>710103</v>
      </c>
      <c r="B5" s="59" t="inlineStr">
        <is>
          <t xml:space="preserve">向中央银行借款净增加额* </t>
        </is>
      </c>
      <c r="C5" s="165" t="n"/>
      <c r="D5" s="165" t="n"/>
      <c r="E5" s="165" t="n"/>
      <c r="F5" s="165" t="n"/>
      <c r="G5" s="165" t="n"/>
    </row>
    <row r="6" ht="14.1" customHeight="1">
      <c r="A6" s="43" t="n">
        <v>710104</v>
      </c>
      <c r="B6" s="59" t="inlineStr">
        <is>
          <t xml:space="preserve">向其他金融机构拆入资金净增加额* </t>
        </is>
      </c>
      <c r="C6" s="165" t="n"/>
      <c r="D6" s="165" t="n"/>
      <c r="E6" s="165" t="n"/>
      <c r="F6" s="165" t="n"/>
      <c r="G6" s="165" t="n"/>
    </row>
    <row r="7" ht="14.1" customHeight="1">
      <c r="A7" s="43" t="n">
        <v>710105</v>
      </c>
      <c r="B7" s="59" t="inlineStr">
        <is>
          <t xml:space="preserve">收到原保险合同保费取得的现金* </t>
        </is>
      </c>
      <c r="C7" s="165" t="n"/>
      <c r="D7" s="165" t="n"/>
      <c r="E7" s="165" t="n"/>
      <c r="F7" s="165" t="n"/>
      <c r="G7" s="165" t="n"/>
    </row>
    <row r="8" ht="14.1" customHeight="1">
      <c r="A8" s="43" t="n">
        <v>710106</v>
      </c>
      <c r="B8" s="59" t="inlineStr">
        <is>
          <t xml:space="preserve">收到再保业务现金净额* </t>
        </is>
      </c>
      <c r="C8" s="165" t="n"/>
      <c r="D8" s="165" t="n"/>
      <c r="E8" s="165" t="n"/>
      <c r="F8" s="165" t="n"/>
      <c r="G8" s="165" t="n"/>
    </row>
    <row r="9" ht="14.1" customHeight="1">
      <c r="A9" s="43" t="n">
        <v>710107</v>
      </c>
      <c r="B9" s="59" t="inlineStr">
        <is>
          <t xml:space="preserve">保户储金及投资款净增加额* </t>
        </is>
      </c>
      <c r="C9" s="165" t="n"/>
      <c r="D9" s="165" t="n"/>
      <c r="E9" s="165" t="n"/>
      <c r="F9" s="165" t="n"/>
      <c r="G9" s="165" t="n"/>
    </row>
    <row r="10" ht="14.1" customHeight="1">
      <c r="A10" s="43" t="n">
        <v>710108</v>
      </c>
      <c r="B10" s="59" t="inlineStr">
        <is>
          <t xml:space="preserve">收取利息、手续费及佣金的现金* </t>
        </is>
      </c>
      <c r="C10" s="165" t="n"/>
      <c r="D10" s="165" t="n"/>
      <c r="E10" s="165" t="n"/>
      <c r="F10" s="165" t="n"/>
      <c r="G10" s="165" t="n"/>
    </row>
    <row r="11" ht="14.1" customHeight="1">
      <c r="A11" s="43" t="n">
        <v>710109</v>
      </c>
      <c r="B11" s="59" t="inlineStr">
        <is>
          <t xml:space="preserve">拆入资金净增加额* </t>
        </is>
      </c>
      <c r="C11" s="165" t="n"/>
      <c r="D11" s="165" t="n"/>
      <c r="E11" s="165" t="n"/>
      <c r="F11" s="165" t="n"/>
      <c r="G11" s="165" t="n"/>
    </row>
    <row r="12" ht="14.1" customHeight="1">
      <c r="A12" s="43" t="n">
        <v>710110</v>
      </c>
      <c r="B12" s="59" t="inlineStr">
        <is>
          <t xml:space="preserve">回购业务资金净增加额* </t>
        </is>
      </c>
      <c r="C12" s="165" t="n"/>
      <c r="D12" s="165" t="n"/>
      <c r="E12" s="165" t="n"/>
      <c r="F12" s="165" t="n"/>
      <c r="G12" s="165" t="n"/>
    </row>
    <row r="13" ht="14.1" customHeight="1">
      <c r="A13" s="43" t="n">
        <v>710111</v>
      </c>
      <c r="B13" s="59" t="inlineStr">
        <is>
          <t xml:space="preserve">代理买卖证券收到的现金净额* </t>
        </is>
      </c>
      <c r="C13" s="167" t="n"/>
      <c r="D13" s="167" t="n"/>
      <c r="E13" s="167" t="n"/>
      <c r="F13" s="167" t="n"/>
      <c r="G13" s="167" t="n"/>
    </row>
    <row r="14" ht="14.1" customHeight="1">
      <c r="A14" s="43" t="n">
        <v>710112</v>
      </c>
      <c r="B14" s="59" t="inlineStr">
        <is>
          <t xml:space="preserve">收到的税费返还 </t>
        </is>
      </c>
      <c r="C14" s="215" t="n">
        <v>137239.95</v>
      </c>
      <c r="D14" s="215" t="n">
        <v>0</v>
      </c>
      <c r="E14" s="215" t="n">
        <v>475153.24</v>
      </c>
      <c r="F14" s="215" t="n">
        <v>32407791.06</v>
      </c>
      <c r="G14" s="215" t="n"/>
    </row>
    <row r="15" ht="14.1" customHeight="1">
      <c r="A15" s="43" t="n">
        <v>710113</v>
      </c>
      <c r="B15" s="59" t="inlineStr">
        <is>
          <t xml:space="preserve">收到其他与经营活动有关的现金 </t>
        </is>
      </c>
      <c r="C15" s="213" t="n">
        <v>7624879663.01</v>
      </c>
      <c r="D15" s="213" t="n">
        <v>106044.68</v>
      </c>
      <c r="E15" s="213" t="n">
        <v>156839.91</v>
      </c>
      <c r="F15" s="213" t="n">
        <v>966648.5</v>
      </c>
      <c r="G15" s="213" t="n"/>
    </row>
    <row r="16" ht="12.95" customHeight="1">
      <c r="A16" s="43" t="n">
        <v>710149</v>
      </c>
      <c r="B16" s="59" t="inlineStr">
        <is>
          <t xml:space="preserve">经营活动现金流入小计 </t>
        </is>
      </c>
      <c r="C16" s="170">
        <f>C3+C5+C4+C6+C7+C8+C9+C10+C11+C12+C13+C14+C15</f>
        <v/>
      </c>
      <c r="D16" s="170">
        <f>D3+D5+D4+D6+D7+D8+D9+D10+D11+D12+D13+D14+D15</f>
        <v/>
      </c>
      <c r="E16" s="170">
        <f>E3+E5+E4+E6+E7+E8+E9+E10+E11+E12+E13+E14+E15</f>
        <v/>
      </c>
      <c r="F16" s="170">
        <f>F3+F5+F4+F6+F7+F8+F9+F10+F11+F12+F13+F14+F15</f>
        <v/>
      </c>
      <c r="G16" s="170">
        <f>G3+G5+G4+G6+G7+G8+G9+G10+G11+G12+G13+G14+G15</f>
        <v/>
      </c>
    </row>
    <row r="17" ht="14.1" customHeight="1">
      <c r="A17" s="43" t="n">
        <v>710151</v>
      </c>
      <c r="B17" s="43" t="inlineStr">
        <is>
          <t xml:space="preserve">    购买商品、接受劳务支付的现金 </t>
        </is>
      </c>
      <c r="C17" s="213" t="n">
        <v>371428503.09</v>
      </c>
      <c r="D17" s="213" t="n">
        <v>4291596.65</v>
      </c>
      <c r="E17" s="213" t="n">
        <v>3660074.05</v>
      </c>
      <c r="F17" s="213" t="n">
        <v>4526754.99</v>
      </c>
      <c r="G17" s="213" t="n"/>
    </row>
    <row r="18" ht="14.1" customHeight="1">
      <c r="A18" s="43" t="n">
        <v>710152</v>
      </c>
      <c r="B18" s="59" t="inlineStr">
        <is>
          <t xml:space="preserve">客户贷款及垫款净增加额* </t>
        </is>
      </c>
      <c r="C18" s="213" t="n"/>
      <c r="D18" s="213" t="n"/>
      <c r="E18" s="213" t="n"/>
      <c r="F18" s="213" t="n"/>
      <c r="G18" s="213" t="n"/>
    </row>
    <row r="19" ht="14.1" customHeight="1">
      <c r="A19" s="43" t="n">
        <v>710153</v>
      </c>
      <c r="B19" s="59" t="inlineStr">
        <is>
          <t xml:space="preserve">存放中央银行和同业款项净增加额* </t>
        </is>
      </c>
      <c r="C19" s="213" t="n"/>
      <c r="D19" s="213" t="n"/>
      <c r="E19" s="213" t="n"/>
      <c r="F19" s="213" t="n"/>
      <c r="G19" s="213" t="n"/>
    </row>
    <row r="20" ht="14.1" customHeight="1">
      <c r="A20" s="43" t="n">
        <v>710154</v>
      </c>
      <c r="B20" s="59" t="inlineStr">
        <is>
          <t xml:space="preserve">支付原保险合同赔付款项的现金* </t>
        </is>
      </c>
      <c r="C20" s="213" t="n"/>
      <c r="D20" s="213" t="n"/>
      <c r="E20" s="213" t="n"/>
      <c r="F20" s="213" t="n"/>
      <c r="G20" s="213" t="n"/>
    </row>
    <row r="21" ht="14.1" customHeight="1">
      <c r="A21" s="43" t="n">
        <v>710155</v>
      </c>
      <c r="B21" s="59" t="inlineStr">
        <is>
          <t xml:space="preserve">拆出资金净增加额* </t>
        </is>
      </c>
      <c r="C21" s="213" t="n"/>
      <c r="D21" s="213" t="n"/>
      <c r="E21" s="213" t="n"/>
      <c r="F21" s="213" t="n"/>
      <c r="G21" s="213" t="n"/>
    </row>
    <row r="22" ht="14.1" customHeight="1">
      <c r="A22" s="43" t="n">
        <v>710156</v>
      </c>
      <c r="B22" s="59" t="inlineStr">
        <is>
          <t xml:space="preserve">支付利息、手续费及佣金的现金* </t>
        </is>
      </c>
      <c r="C22" s="213" t="n"/>
      <c r="D22" s="213" t="n"/>
      <c r="E22" s="213" t="n"/>
      <c r="F22" s="213" t="n"/>
      <c r="G22" s="213" t="n"/>
    </row>
    <row r="23" ht="14.1" customHeight="1">
      <c r="A23" s="43" t="n">
        <v>710157</v>
      </c>
      <c r="B23" s="59" t="inlineStr">
        <is>
          <t xml:space="preserve">支付保单红利的现金* </t>
        </is>
      </c>
      <c r="C23" s="213" t="n"/>
      <c r="D23" s="213" t="n"/>
      <c r="E23" s="213" t="n"/>
      <c r="F23" s="213" t="n"/>
      <c r="G23" s="213" t="n"/>
    </row>
    <row r="24" ht="14.1" customHeight="1">
      <c r="A24" s="43" t="n">
        <v>710158</v>
      </c>
      <c r="B24" s="59" t="inlineStr">
        <is>
          <t xml:space="preserve">支付给职工及为职工支付的现金 </t>
        </is>
      </c>
      <c r="C24" s="213" t="n">
        <v>432487439.03</v>
      </c>
      <c r="D24" s="213" t="n"/>
      <c r="E24" s="171" t="n"/>
      <c r="F24" s="213" t="n"/>
      <c r="G24" s="213" t="n"/>
    </row>
    <row r="25" ht="14.1" customHeight="1">
      <c r="A25" s="43" t="n">
        <v>710159</v>
      </c>
      <c r="B25" s="59" t="inlineStr">
        <is>
          <t xml:space="preserve">支付的各项税费 </t>
        </is>
      </c>
      <c r="C25" s="213" t="n">
        <v>28392154.58</v>
      </c>
      <c r="D25" s="213" t="n">
        <v>13986799.11</v>
      </c>
      <c r="E25" s="213" t="n">
        <v>11391781.78</v>
      </c>
      <c r="F25" s="213" t="n">
        <v>8245733.35</v>
      </c>
      <c r="G25" s="213" t="n"/>
    </row>
    <row r="26" ht="14.1" customHeight="1">
      <c r="A26" s="43" t="n">
        <v>710160</v>
      </c>
      <c r="B26" s="59" t="inlineStr">
        <is>
          <t xml:space="preserve">支付其他与经营活动有关的现金 </t>
        </is>
      </c>
      <c r="C26" s="213" t="n">
        <v>4342337130.62</v>
      </c>
      <c r="D26" s="213" t="n">
        <v>1319374.7</v>
      </c>
      <c r="E26" s="213" t="n">
        <v>3441027.43</v>
      </c>
      <c r="F26" s="213" t="n">
        <v>5285884.55</v>
      </c>
      <c r="G26" s="213" t="n"/>
    </row>
    <row r="27" ht="14.1" customHeight="1">
      <c r="A27" s="43" t="n">
        <v>710189</v>
      </c>
      <c r="B27" s="59" t="inlineStr">
        <is>
          <t xml:space="preserve">经营活动现金流出小计 </t>
        </is>
      </c>
      <c r="C27" s="170">
        <f>SUM(C17:C26)</f>
        <v/>
      </c>
      <c r="D27" s="170">
        <f>SUM(D17:D26)</f>
        <v/>
      </c>
      <c r="E27" s="170">
        <f>SUM(E17:E26)</f>
        <v/>
      </c>
      <c r="F27" s="223">
        <f>SUM(F17:F26)</f>
        <v/>
      </c>
      <c r="G27" s="223">
        <f>SUM(G17:G26)</f>
        <v/>
      </c>
    </row>
    <row r="28" ht="14.1" customHeight="1">
      <c r="A28" s="43" t="n">
        <v>710199</v>
      </c>
      <c r="B28" s="59" t="inlineStr">
        <is>
          <t>经营活动产生的现金流量净额</t>
        </is>
      </c>
      <c r="C28" s="170">
        <f>C16-C27</f>
        <v/>
      </c>
      <c r="D28" s="170">
        <f>D16-D27</f>
        <v/>
      </c>
      <c r="E28" s="170">
        <f>E16-E27</f>
        <v/>
      </c>
      <c r="F28" s="223">
        <f>F16-F27</f>
        <v/>
      </c>
      <c r="G28" s="223">
        <f>G16-G27</f>
        <v/>
      </c>
    </row>
    <row r="29" ht="14.1" customHeight="1">
      <c r="A29" s="43" t="n">
        <v>7201</v>
      </c>
      <c r="B29" s="59" t="inlineStr">
        <is>
          <t xml:space="preserve">二、投资活动产生的现金流量 </t>
        </is>
      </c>
      <c r="C29" s="165" t="n"/>
      <c r="D29" s="165" t="n"/>
      <c r="E29" s="165" t="n"/>
      <c r="F29" s="165" t="n"/>
      <c r="G29" s="165" t="n"/>
    </row>
    <row r="30" ht="14.1" customHeight="1">
      <c r="A30" s="43" t="n">
        <v>720101</v>
      </c>
      <c r="B30" s="59" t="inlineStr">
        <is>
          <t xml:space="preserve">收回投资收到的现金 </t>
        </is>
      </c>
      <c r="C30" s="213" t="n"/>
      <c r="D30" s="213" t="n"/>
      <c r="E30" s="213" t="n"/>
      <c r="F30" s="213" t="n"/>
      <c r="G30" s="213" t="n"/>
    </row>
    <row r="31" ht="14.1" customHeight="1">
      <c r="A31" s="43" t="n">
        <v>720102</v>
      </c>
      <c r="B31" s="59" t="inlineStr">
        <is>
          <t xml:space="preserve">取得投资收益收到的现金 </t>
        </is>
      </c>
      <c r="C31" s="213" t="n"/>
      <c r="D31" s="213" t="n"/>
      <c r="E31" s="213" t="n"/>
      <c r="F31" s="213" t="n"/>
      <c r="G31" s="213" t="n"/>
    </row>
    <row r="32" ht="14.1" customHeight="1">
      <c r="A32" s="43" t="n">
        <v>720103</v>
      </c>
      <c r="B32" s="59" t="inlineStr">
        <is>
          <t xml:space="preserve">处置固定资产、无形资产和其他长期资产收回的现金净额 </t>
        </is>
      </c>
      <c r="C32" s="213" t="n"/>
      <c r="D32" s="213" t="n">
        <v>2747.22</v>
      </c>
      <c r="E32" s="213" t="n"/>
      <c r="F32" s="213" t="n"/>
      <c r="G32" s="213" t="n"/>
    </row>
    <row r="33" ht="14.1" customHeight="1">
      <c r="A33" s="43" t="n">
        <v>720104</v>
      </c>
      <c r="B33" s="59" t="inlineStr">
        <is>
          <t xml:space="preserve">处置子公司及其他营业单位收到的现金净额 </t>
        </is>
      </c>
      <c r="C33" s="213" t="n"/>
      <c r="D33" s="213" t="n"/>
      <c r="E33" s="213" t="n"/>
      <c r="F33" s="213" t="n"/>
      <c r="G33" s="213" t="n"/>
    </row>
    <row r="34" ht="14.1" customHeight="1">
      <c r="A34" s="43" t="n">
        <v>720105</v>
      </c>
      <c r="B34" s="59" t="inlineStr">
        <is>
          <t xml:space="preserve">收到其他与投资活动有关的现金 </t>
        </is>
      </c>
      <c r="C34" s="213" t="n"/>
      <c r="D34" s="213" t="n"/>
      <c r="E34" s="213" t="n"/>
      <c r="F34" s="213" t="n"/>
      <c r="G34" s="213" t="n"/>
    </row>
    <row r="35" ht="14.1" customHeight="1">
      <c r="A35" s="43" t="n">
        <v>720149</v>
      </c>
      <c r="B35" s="59" t="inlineStr">
        <is>
          <t xml:space="preserve">投资活动现金流入小计 </t>
        </is>
      </c>
      <c r="C35" s="170">
        <f>SUM(C30:C34)</f>
        <v/>
      </c>
      <c r="D35" s="170">
        <f>SUM(D30:D34)</f>
        <v/>
      </c>
      <c r="E35" s="170">
        <f>SUM(E30:E34)</f>
        <v/>
      </c>
      <c r="F35" s="170">
        <f>SUM(F30:F34)</f>
        <v/>
      </c>
      <c r="G35" s="170">
        <f>SUM(G30:G34)</f>
        <v/>
      </c>
    </row>
    <row r="36" ht="14.1" customHeight="1">
      <c r="A36" s="43" t="n">
        <v>720151</v>
      </c>
      <c r="B36" s="173" t="inlineStr">
        <is>
          <t xml:space="preserve">购建固定资产、无形资产和其他长期资产支付的现金 </t>
        </is>
      </c>
      <c r="C36" s="213" t="n">
        <v>243762820.49</v>
      </c>
      <c r="D36" s="213" t="n">
        <v>245833.66</v>
      </c>
      <c r="E36" s="213" t="n">
        <v>1897419.39</v>
      </c>
      <c r="F36" s="213" t="n">
        <v>676400</v>
      </c>
      <c r="G36" s="213" t="n"/>
    </row>
    <row r="37" ht="14.1" customHeight="1">
      <c r="A37" s="43" t="n">
        <v>720152</v>
      </c>
      <c r="B37" s="59" t="inlineStr">
        <is>
          <t xml:space="preserve">投资支付的现金 </t>
        </is>
      </c>
      <c r="C37" s="213" t="n"/>
      <c r="D37" s="213" t="n"/>
      <c r="E37" s="213" t="n"/>
      <c r="F37" s="213" t="n"/>
      <c r="G37" s="213" t="n"/>
    </row>
    <row r="38" ht="14.1" customHeight="1">
      <c r="A38" s="43" t="n">
        <v>720153</v>
      </c>
      <c r="B38" s="59" t="inlineStr">
        <is>
          <t xml:space="preserve">质押贷款净增加额* </t>
        </is>
      </c>
      <c r="C38" s="213" t="n"/>
      <c r="D38" s="213" t="n"/>
      <c r="E38" s="213" t="n"/>
      <c r="F38" s="213" t="n"/>
      <c r="G38" s="213" t="n"/>
    </row>
    <row r="39" ht="14.1" customHeight="1">
      <c r="A39" s="43" t="n">
        <v>720154</v>
      </c>
      <c r="B39" s="59" t="inlineStr">
        <is>
          <t xml:space="preserve">取得子公司及其他营业单位支付的现金净额 </t>
        </is>
      </c>
      <c r="C39" s="213" t="n"/>
      <c r="D39" s="213" t="n"/>
      <c r="E39" s="213" t="n"/>
      <c r="F39" s="213" t="n"/>
      <c r="G39" s="213" t="n"/>
    </row>
    <row r="40" ht="16" customHeight="1">
      <c r="A40" s="159" t="n">
        <v>720155</v>
      </c>
      <c r="B40" s="20" t="inlineStr">
        <is>
          <t xml:space="preserve">支付其他与投资活动有关的现金 </t>
        </is>
      </c>
      <c r="C40" s="213" t="n">
        <v>235000000</v>
      </c>
      <c r="D40" s="213" t="n"/>
      <c r="E40" s="213" t="n"/>
      <c r="F40" s="213" t="n"/>
      <c r="G40" s="213" t="n"/>
    </row>
    <row r="41" ht="16" customHeight="1">
      <c r="A41" s="159" t="n">
        <v>720189</v>
      </c>
      <c r="B41" s="20" t="inlineStr">
        <is>
          <t xml:space="preserve">投资活动现金流出小计 </t>
        </is>
      </c>
      <c r="C41" s="170">
        <f>SUM(C36:C40)</f>
        <v/>
      </c>
      <c r="D41" s="170">
        <f>SUM(D36:D40)</f>
        <v/>
      </c>
      <c r="E41" s="170">
        <f>SUM(E36:E40)</f>
        <v/>
      </c>
      <c r="F41" s="223">
        <f>SUM(F36:F40)</f>
        <v/>
      </c>
      <c r="G41" s="223">
        <f>SUM(G36:G40)</f>
        <v/>
      </c>
    </row>
    <row r="42">
      <c r="A42" s="159" t="n">
        <v>720199</v>
      </c>
      <c r="B42" s="20" t="inlineStr">
        <is>
          <t>投资活动产生的现金流量净额</t>
        </is>
      </c>
      <c r="C42" s="170">
        <f>C35-C41</f>
        <v/>
      </c>
      <c r="D42" s="170">
        <f>D35-D41</f>
        <v/>
      </c>
      <c r="E42" s="170">
        <f>E35-E41</f>
        <v/>
      </c>
      <c r="F42" s="223">
        <f>F35-F41</f>
        <v/>
      </c>
      <c r="G42" s="223">
        <f>G35-G41</f>
        <v/>
      </c>
    </row>
    <row r="43" ht="16" customHeight="1">
      <c r="A43" s="159" t="n">
        <v>7301</v>
      </c>
      <c r="B43" s="20" t="inlineStr">
        <is>
          <t xml:space="preserve">三、筹资活动产生的现金流量 </t>
        </is>
      </c>
      <c r="C43" s="165" t="n"/>
      <c r="D43" s="165" t="n"/>
      <c r="E43" s="165" t="n"/>
      <c r="F43" s="165" t="n"/>
      <c r="G43" s="165" t="n"/>
    </row>
    <row r="44" ht="16" customHeight="1">
      <c r="A44" s="159" t="n">
        <v>730101</v>
      </c>
      <c r="B44" s="20" t="inlineStr">
        <is>
          <t xml:space="preserve">吸收投资收到的现金 </t>
        </is>
      </c>
      <c r="C44" s="213" t="n">
        <v>65000000</v>
      </c>
      <c r="D44" s="213" t="n"/>
      <c r="E44" s="213" t="n"/>
      <c r="F44" s="213" t="n"/>
      <c r="G44" s="213" t="n"/>
    </row>
    <row r="45" ht="16" customHeight="1">
      <c r="A45" s="159" t="n">
        <v>730102</v>
      </c>
      <c r="B45" s="20" t="inlineStr">
        <is>
          <t xml:space="preserve">取得借款收到的现金 </t>
        </is>
      </c>
      <c r="C45" s="213" t="n">
        <v>1836917035.71</v>
      </c>
      <c r="D45" s="213" t="n"/>
      <c r="E45" s="213" t="n"/>
      <c r="F45" s="213" t="n">
        <v>0</v>
      </c>
      <c r="G45" s="213" t="n"/>
    </row>
    <row r="46">
      <c r="A46" s="159" t="n">
        <v>730103</v>
      </c>
      <c r="B46" s="20" t="inlineStr">
        <is>
          <t>发行债券收到的现金</t>
        </is>
      </c>
      <c r="C46" s="213" t="n">
        <v>3921412666.66</v>
      </c>
      <c r="D46" s="213" t="n"/>
      <c r="E46" s="213" t="n"/>
      <c r="F46" s="213" t="n"/>
      <c r="G46" s="213" t="n"/>
    </row>
    <row r="47" ht="16" customHeight="1">
      <c r="A47" s="159" t="n">
        <v>730104</v>
      </c>
      <c r="B47" s="20" t="inlineStr">
        <is>
          <t xml:space="preserve">收到其他与筹资活动有关的现金 </t>
        </is>
      </c>
      <c r="C47" s="213" t="n">
        <v>45719734.23</v>
      </c>
      <c r="D47" s="213" t="n">
        <v>16500000</v>
      </c>
      <c r="E47" s="213" t="n"/>
      <c r="F47" s="213" t="n"/>
      <c r="G47" s="213" t="n"/>
    </row>
    <row r="48" ht="16" customHeight="1">
      <c r="A48" s="159" t="n">
        <v>730149</v>
      </c>
      <c r="B48" s="20" t="inlineStr">
        <is>
          <t xml:space="preserve">筹资活动现金流入小计 </t>
        </is>
      </c>
      <c r="C48" s="170">
        <f>SUM(C44:C47)</f>
        <v/>
      </c>
      <c r="D48" s="170">
        <f>SUM(D44:D47)</f>
        <v/>
      </c>
      <c r="E48" s="170">
        <f>SUM(E44:E47)</f>
        <v/>
      </c>
      <c r="F48" s="223">
        <f>SUM(F44:F47)</f>
        <v/>
      </c>
      <c r="G48" s="223">
        <f>SUM(G44:G47)</f>
        <v/>
      </c>
    </row>
    <row r="49" ht="16" customHeight="1">
      <c r="A49" s="159" t="n">
        <v>730151</v>
      </c>
      <c r="B49" s="20" t="inlineStr">
        <is>
          <t xml:space="preserve">偿还债务支付的现金 </t>
        </is>
      </c>
      <c r="C49" s="213" t="n">
        <v>4481442973.9</v>
      </c>
      <c r="D49" s="213" t="n">
        <v>30000000</v>
      </c>
      <c r="E49" s="213" t="n">
        <v>70750000</v>
      </c>
      <c r="F49" s="213" t="n">
        <v>44000000</v>
      </c>
      <c r="G49" s="213" t="n"/>
    </row>
    <row r="50">
      <c r="A50" s="159" t="n">
        <v>730152</v>
      </c>
      <c r="B50" s="20" t="inlineStr">
        <is>
          <t>分配股利、利润或偿付利息支付的现金</t>
        </is>
      </c>
      <c r="C50" s="213" t="n">
        <v>2612921267</v>
      </c>
      <c r="D50" s="213" t="n">
        <v>1058069.44</v>
      </c>
      <c r="E50" s="213" t="n">
        <v>1594070.84</v>
      </c>
      <c r="F50" s="213" t="n">
        <v>62412381.25</v>
      </c>
      <c r="G50" s="213" t="n"/>
    </row>
    <row r="51" ht="16" customHeight="1">
      <c r="A51" s="159" t="n">
        <v>730153</v>
      </c>
      <c r="B51" s="20" t="inlineStr">
        <is>
          <t xml:space="preserve">支付其他与筹资活动有关的现金 </t>
        </is>
      </c>
      <c r="C51" s="213" t="n">
        <v>1573783045.79</v>
      </c>
      <c r="D51" s="213" t="n">
        <v>24352161.4</v>
      </c>
      <c r="E51" s="213" t="n"/>
      <c r="F51" s="213" t="n">
        <v>0</v>
      </c>
      <c r="G51" s="213" t="n"/>
    </row>
    <row r="52" ht="16" customHeight="1">
      <c r="A52" s="159" t="n">
        <v>730189</v>
      </c>
      <c r="B52" s="20" t="inlineStr">
        <is>
          <t xml:space="preserve">筹资活动现金流出小计 </t>
        </is>
      </c>
      <c r="C52" s="170">
        <f>SUM(C49:C51)</f>
        <v/>
      </c>
      <c r="D52" s="170">
        <f>SUM(D49:D51)</f>
        <v/>
      </c>
      <c r="E52" s="170">
        <f>SUM(E49:E51)</f>
        <v/>
      </c>
      <c r="F52" s="223">
        <f>SUM(F49:F51)</f>
        <v/>
      </c>
      <c r="G52" s="223">
        <f>SUM(G49:G51)</f>
        <v/>
      </c>
    </row>
    <row r="53" ht="16" customHeight="1">
      <c r="A53" s="159" t="n">
        <v>730199</v>
      </c>
      <c r="B53" s="20" t="inlineStr">
        <is>
          <t xml:space="preserve">筹资活动产生的现金流量净额 </t>
        </is>
      </c>
      <c r="C53" s="170">
        <f>C48-C52</f>
        <v/>
      </c>
      <c r="D53" s="170">
        <f>D48-D52</f>
        <v/>
      </c>
      <c r="E53" s="170">
        <f>E48-E52</f>
        <v/>
      </c>
      <c r="F53" s="223">
        <f>F48-F52</f>
        <v/>
      </c>
      <c r="G53" s="223">
        <f>G48-G52</f>
        <v/>
      </c>
    </row>
    <row r="54" ht="16" customHeight="1">
      <c r="A54" s="159" t="n">
        <v>7401</v>
      </c>
      <c r="B54" s="20" t="inlineStr">
        <is>
          <t xml:space="preserve">四、汇率变动对现金及现金等价物的影响 </t>
        </is>
      </c>
      <c r="C54" s="213" t="n"/>
      <c r="D54" s="213" t="n"/>
      <c r="E54" s="171" t="n"/>
      <c r="F54" s="220" t="n"/>
      <c r="G54" s="220" t="n"/>
    </row>
    <row r="55" ht="16" customHeight="1">
      <c r="A55" s="159" t="n">
        <v>7501</v>
      </c>
      <c r="B55" s="20" t="inlineStr">
        <is>
          <t xml:space="preserve">五、现金及现金等价物净增加额 </t>
        </is>
      </c>
      <c r="C55" s="170">
        <f>C28+C42+C53+C54</f>
        <v/>
      </c>
      <c r="D55" s="170">
        <f>D28+D42+D53+D54</f>
        <v/>
      </c>
      <c r="E55" s="170">
        <f>E28+E42+E53+E54</f>
        <v/>
      </c>
      <c r="F55" s="170">
        <f>F28+F42+F53+F54</f>
        <v/>
      </c>
      <c r="G55" s="170">
        <f>G28+G42+G53+G54</f>
        <v/>
      </c>
    </row>
    <row r="56" ht="16" customHeight="1">
      <c r="A56" s="159" t="n">
        <v>750101</v>
      </c>
      <c r="B56" s="20" t="inlineStr">
        <is>
          <t xml:space="preserve">加：期初现金及现金等价物余额 </t>
        </is>
      </c>
      <c r="C56" s="213" t="n">
        <v>111629818.51</v>
      </c>
      <c r="D56" s="213" t="n">
        <v>6164685.05</v>
      </c>
      <c r="E56" s="213" t="n">
        <v>30632160.38</v>
      </c>
      <c r="F56" s="213" t="n">
        <v>14250606.75</v>
      </c>
      <c r="G56" s="213" t="n"/>
    </row>
    <row r="57" ht="16" customHeight="1">
      <c r="A57" s="159" t="n">
        <v>7601</v>
      </c>
      <c r="B57" s="20" t="inlineStr">
        <is>
          <t xml:space="preserve">六、期末现金及现金等价物余额 </t>
        </is>
      </c>
      <c r="C57" s="170">
        <f>C55+C56</f>
        <v/>
      </c>
      <c r="D57" s="170">
        <f>D55+D56</f>
        <v/>
      </c>
      <c r="E57" s="170">
        <f>E55+E56</f>
        <v/>
      </c>
      <c r="F57" s="223">
        <f>F55+F56</f>
        <v/>
      </c>
      <c r="G57" s="223">
        <f>G55+G56</f>
        <v/>
      </c>
    </row>
  </sheetData>
  <pageMargins left="0.75" right="0.75" top="1" bottom="1" header="0.5" footer="0.5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5">
    <outlinePr summaryBelow="1" summaryRight="1"/>
    <pageSetUpPr fitToPage="1"/>
  </sheetPr>
  <dimension ref="A1:O173"/>
  <sheetViews>
    <sheetView tabSelected="1" zoomScale="85" zoomScaleNormal="85" workbookViewId="0">
      <selection activeCell="I16" sqref="I16"/>
    </sheetView>
  </sheetViews>
  <sheetFormatPr baseColWidth="8" defaultColWidth="9.142857142857141" defaultRowHeight="15.2"/>
  <cols>
    <col width="32.4285714285714" customWidth="1" min="1" max="1"/>
    <col width="17.4285714285714" customWidth="1" min="2" max="2"/>
    <col width="18.7142857142857" customWidth="1" min="3" max="3"/>
    <col width="17.4285714285714" customWidth="1" min="4" max="5"/>
    <col width="5.42857142857143" customWidth="1" min="6" max="6"/>
    <col width="9.71428571428571" customWidth="1" min="7" max="7"/>
    <col width="24.5714285714286" customWidth="1" min="8" max="8"/>
    <col width="16.2857142857143" customWidth="1" min="9" max="9"/>
    <col width="11.8571428571429" customWidth="1" min="10" max="10"/>
    <col width="9" customWidth="1" min="12" max="12"/>
    <col width="10" customWidth="1" min="13" max="15"/>
  </cols>
  <sheetData>
    <row r="1" ht="15.75" customHeight="1">
      <c r="A1" s="131" t="inlineStr">
        <is>
          <t>财务分析</t>
        </is>
      </c>
    </row>
    <row r="2" ht="15.75" customHeight="1">
      <c r="A2" s="132" t="inlineStr">
        <is>
          <t>单位：万元</t>
        </is>
      </c>
      <c r="B2" s="93" t="n"/>
      <c r="C2" s="93" t="n"/>
      <c r="D2" s="93" t="n"/>
      <c r="E2" s="93" t="n"/>
    </row>
    <row r="3" ht="15.75" customHeight="1">
      <c r="A3" s="133" t="inlineStr">
        <is>
          <t>项目</t>
        </is>
      </c>
      <c r="B3" s="224" t="n">
        <v>45930</v>
      </c>
      <c r="C3" s="224">
        <f>DATE(YEAR(B3)-1,12,31)</f>
        <v/>
      </c>
      <c r="D3" s="224">
        <f>DATE(YEAR(C3)-1,MONTH(C3),DAY(C3))</f>
        <v/>
      </c>
      <c r="E3" s="224">
        <f>DATE(YEAR(C3)-2,MONTH(C3),DAY(C3))</f>
        <v/>
      </c>
      <c r="L3" s="225">
        <f>B3</f>
        <v/>
      </c>
      <c r="M3" s="225">
        <f>C3</f>
        <v/>
      </c>
      <c r="N3" s="225">
        <f>D3</f>
        <v/>
      </c>
      <c r="O3" s="225">
        <f>E3</f>
        <v/>
      </c>
    </row>
    <row r="4" ht="18.35" customHeight="1">
      <c r="A4" s="136" t="n"/>
      <c r="B4" s="137" t="inlineStr">
        <is>
          <t>（合并）</t>
        </is>
      </c>
      <c r="C4" s="137" t="inlineStr">
        <is>
          <t>（合并）</t>
        </is>
      </c>
      <c r="D4" s="137" t="inlineStr">
        <is>
          <t>（合并）</t>
        </is>
      </c>
      <c r="E4" s="137" t="inlineStr">
        <is>
          <t>（合并）</t>
        </is>
      </c>
    </row>
    <row r="5" ht="15.75" customHeight="1">
      <c r="A5" s="138" t="inlineStr">
        <is>
          <t>资产负债表</t>
        </is>
      </c>
      <c r="B5" s="139" t="n"/>
      <c r="C5" s="139" t="n"/>
      <c r="D5" s="139" t="n"/>
      <c r="E5" s="140" t="n"/>
      <c r="H5" s="20" t="inlineStr">
        <is>
          <t>筛选列，4个报表全都不为0</t>
        </is>
      </c>
      <c r="L5" s="20" t="inlineStr">
        <is>
          <t>同比</t>
        </is>
      </c>
      <c r="M5" s="20" t="inlineStr">
        <is>
          <t>同比</t>
        </is>
      </c>
      <c r="N5" s="20" t="inlineStr">
        <is>
          <t>同比</t>
        </is>
      </c>
      <c r="O5" s="20" t="inlineStr">
        <is>
          <t>同比</t>
        </is>
      </c>
    </row>
    <row r="6" ht="18.75" customHeight="1">
      <c r="A6" s="141" t="inlineStr">
        <is>
          <t xml:space="preserve">  货币资金 </t>
        </is>
      </c>
      <c r="B6" s="226">
        <f>ROUND(HLOOKUP($B$3,bs!$C$1:$AB$110,MATCH(TRIM(A6),TRIM(bs!$B$1:$B$110),0),FALSE),0)/IF(ISNUMBER(SEARCH("亿",$A$2)),100000000,IF(ISNUMBER(SEARCH("万",$A$2)),10000,1))</f>
        <v/>
      </c>
      <c r="C6" s="226">
        <f>ROUND(HLOOKUP($C$3,bs!$C$1:$AB$110,MATCH(TRIM(A6),TRIM(bs!$B$1:$B$110),0),FALSE),0)/IF(ISNUMBER(SEARCH("亿",$A$2)),100000000,IF(ISNUMBER(SEARCH("万",$A$2)),10000,1))</f>
        <v/>
      </c>
      <c r="D6" s="226">
        <f>ROUND(HLOOKUP($D$3,bs!$C$1:$AB$110,MATCH(TRIM(A6),TRIM(bs!$B$1:$B$110),0),FALSE),0)/IF(ISNUMBER(SEARCH("亿",$A$2)),100000000,IF(ISNUMBER(SEARCH("万",$A$2)),10000,1))</f>
        <v/>
      </c>
      <c r="E6" s="226">
        <f>ROUND(HLOOKUP($E$3,bs!$C$1:$AB$110,MATCH(TRIM(A6),TRIM(bs!$B$1:$B$110),0),FALSE),0)/IF(ISNUMBER(SEARCH("亿",$A$2)),100000000,IF(ISNUMBER(SEARCH("万",$A$2)),10000,1))</f>
        <v/>
      </c>
      <c r="H6" s="209">
        <f>B6+C6+D6+E6</f>
        <v/>
      </c>
      <c r="I6">
        <f>A6</f>
        <v/>
      </c>
      <c r="J6">
        <f>_xlfn.CONCAT(TEXT($E$3,"YYYY"),"年-",TEXT($C$3,"YYYY"),"年及",TEXT($B$3,"YYYY年MM月"),"，","拟承租人",I6,"分别为",TEXT(E6/10000,"0.00"),"亿元、",TEXT(D6/10000,"0.00"),"亿元、",TEXT(C6/10000,"0.00"),"亿元及",TEXT(B6/10000,"0.00"),"亿元。")</f>
        <v/>
      </c>
      <c r="M6" s="103">
        <f>(C6-D6)/D6</f>
        <v/>
      </c>
      <c r="N6" s="103">
        <f>(D6-E6)/E6</f>
        <v/>
      </c>
    </row>
    <row r="7" ht="18.75" customHeight="1">
      <c r="A7" s="141" t="inlineStr">
        <is>
          <t xml:space="preserve">  结算备付金* </t>
        </is>
      </c>
      <c r="B7" s="226">
        <f>ROUND(HLOOKUP($B$3,bs!$C$1:$AB$110,MATCH(TRIM(A7),TRIM(bs!$B$1:$B$110),0),FALSE),0)/IF(ISNUMBER(SEARCH("亿",$A$2)),100000000,IF(ISNUMBER(SEARCH("万",$A$2)),10000,1))</f>
        <v/>
      </c>
      <c r="C7" s="226">
        <f>ROUND(HLOOKUP($C$3,bs!$C$1:$AB$110,MATCH(TRIM(A7),TRIM(bs!$B$1:$B$110),0),FALSE),0)/IF(ISNUMBER(SEARCH("亿",$A$2)),100000000,IF(ISNUMBER(SEARCH("万",$A$2)),10000,1))</f>
        <v/>
      </c>
      <c r="D7" s="226">
        <f>ROUND(HLOOKUP($D$3,bs!$C$1:$AB$110,MATCH(TRIM(A7),TRIM(bs!$B$1:$B$110),0),FALSE),0)/IF(ISNUMBER(SEARCH("亿",$A$2)),100000000,IF(ISNUMBER(SEARCH("万",$A$2)),10000,1))</f>
        <v/>
      </c>
      <c r="E7" s="226">
        <f>ROUND(HLOOKUP($E$3,bs!$C$1:$AB$110,MATCH(TRIM(A7),TRIM(bs!$B$1:$B$110),0),FALSE),0)/IF(ISNUMBER(SEARCH("亿",$A$2)),100000000,IF(ISNUMBER(SEARCH("万",$A$2)),10000,1))</f>
        <v/>
      </c>
      <c r="H7" s="209">
        <f>B7+C7+D7+E7</f>
        <v/>
      </c>
      <c r="I7">
        <f>A7</f>
        <v/>
      </c>
    </row>
    <row r="8" ht="18.75" customHeight="1">
      <c r="A8" s="141" t="inlineStr">
        <is>
          <t xml:space="preserve">  拆出资金* </t>
        </is>
      </c>
      <c r="B8" s="226">
        <f>ROUND(HLOOKUP($B$3,bs!$C$1:$AB$110,MATCH(TRIM(A8),TRIM(bs!$B$1:$B$110),0),FALSE),0)/IF(ISNUMBER(SEARCH("亿",$A$2)),100000000,IF(ISNUMBER(SEARCH("万",$A$2)),10000,1))</f>
        <v/>
      </c>
      <c r="C8" s="226">
        <f>ROUND(HLOOKUP($C$3,bs!$C$1:$AB$110,MATCH(TRIM(A8),TRIM(bs!$B$1:$B$110),0),FALSE),0)/IF(ISNUMBER(SEARCH("亿",$A$2)),100000000,IF(ISNUMBER(SEARCH("万",$A$2)),10000,1))</f>
        <v/>
      </c>
      <c r="D8" s="226">
        <f>ROUND(HLOOKUP($D$3,bs!$C$1:$AB$110,MATCH(TRIM(A8),TRIM(bs!$B$1:$B$110),0),FALSE),0)/IF(ISNUMBER(SEARCH("亿",$A$2)),100000000,IF(ISNUMBER(SEARCH("万",$A$2)),10000,1))</f>
        <v/>
      </c>
      <c r="E8" s="226">
        <f>ROUND(HLOOKUP($E$3,bs!$C$1:$AB$110,MATCH(TRIM(A8),TRIM(bs!$B$1:$B$110),0),FALSE),0)/IF(ISNUMBER(SEARCH("亿",$A$2)),100000000,IF(ISNUMBER(SEARCH("万",$A$2)),10000,1))</f>
        <v/>
      </c>
      <c r="H8" s="209">
        <f>B8+C8+D8+E8</f>
        <v/>
      </c>
      <c r="I8">
        <f>A8</f>
        <v/>
      </c>
    </row>
    <row r="9" ht="18.75" customHeight="1">
      <c r="A9" s="141" t="inlineStr">
        <is>
          <t xml:space="preserve">  交易性金融资产 </t>
        </is>
      </c>
      <c r="B9" s="226">
        <f>ROUND(HLOOKUP($B$3,bs!$C$1:$AB$110,MATCH(TRIM(A9),TRIM(bs!$B$1:$B$110),0),FALSE),0)/IF(ISNUMBER(SEARCH("亿",$A$2)),100000000,IF(ISNUMBER(SEARCH("万",$A$2)),10000,1))</f>
        <v/>
      </c>
      <c r="C9" s="226">
        <f>ROUND(HLOOKUP($C$3,bs!$C$1:$AB$110,MATCH(TRIM(A9),TRIM(bs!$B$1:$B$110),0),FALSE),0)/IF(ISNUMBER(SEARCH("亿",$A$2)),100000000,IF(ISNUMBER(SEARCH("万",$A$2)),10000,1))</f>
        <v/>
      </c>
      <c r="D9" s="226">
        <f>ROUND(HLOOKUP($D$3,bs!$C$1:$AB$110,MATCH(TRIM(A9),TRIM(bs!$B$1:$B$110),0),FALSE),0)/IF(ISNUMBER(SEARCH("亿",$A$2)),100000000,IF(ISNUMBER(SEARCH("万",$A$2)),10000,1))</f>
        <v/>
      </c>
      <c r="E9" s="226">
        <f>ROUND(HLOOKUP($E$3,bs!$C$1:$AB$110,MATCH(TRIM(A9),TRIM(bs!$B$1:$B$110),0),FALSE),0)/IF(ISNUMBER(SEARCH("亿",$A$2)),100000000,IF(ISNUMBER(SEARCH("万",$A$2)),10000,1))</f>
        <v/>
      </c>
      <c r="H9" s="209">
        <f>B9+C9+D9+E9</f>
        <v/>
      </c>
      <c r="I9">
        <f>A9</f>
        <v/>
      </c>
      <c r="J9">
        <f>_xlfn.CONCAT(TEXT($E$3,"YYYY"),"年-",TEXT($C$3,"YYYY"),"年及",TEXT($B$3,"YYYY年MM月"),"，","拟承租人",I9,"分别为",TEXT(E9/10000,"0.00"),"亿元、",TEXT(D9/10000,"0.00"),"亿元、",TEXT(C9/10000,"0.00"),"亿元及",TEXT(B9/10000,"0.00"),"亿元。")</f>
        <v/>
      </c>
      <c r="M9" s="103">
        <f>(C9-D9)/D9</f>
        <v/>
      </c>
      <c r="N9" s="103">
        <f>(D9-E9)/E9</f>
        <v/>
      </c>
    </row>
    <row r="10" ht="18.75" customHeight="1">
      <c r="A10" s="141" t="inlineStr">
        <is>
          <t xml:space="preserve">  衍生金融资产 </t>
        </is>
      </c>
      <c r="B10" s="226">
        <f>ROUND(HLOOKUP($B$3,bs!$C$1:$AB$110,MATCH(TRIM(A10),TRIM(bs!$B$1:$B$110),0),FALSE),0)/IF(ISNUMBER(SEARCH("亿",$A$2)),100000000,IF(ISNUMBER(SEARCH("万",$A$2)),10000,1))</f>
        <v/>
      </c>
      <c r="C10" s="226">
        <f>ROUND(HLOOKUP($C$3,bs!$C$1:$AB$110,MATCH(TRIM(A10),TRIM(bs!$B$1:$B$110),0),FALSE),0)/IF(ISNUMBER(SEARCH("亿",$A$2)),100000000,IF(ISNUMBER(SEARCH("万",$A$2)),10000,1))</f>
        <v/>
      </c>
      <c r="D10" s="226">
        <f>ROUND(HLOOKUP($D$3,bs!$C$1:$AB$110,MATCH(TRIM(A10),TRIM(bs!$B$1:$B$110),0),FALSE),0)/IF(ISNUMBER(SEARCH("亿",$A$2)),100000000,IF(ISNUMBER(SEARCH("万",$A$2)),10000,1))</f>
        <v/>
      </c>
      <c r="E10" s="226">
        <f>ROUND(HLOOKUP($E$3,bs!$C$1:$AB$110,MATCH(TRIM(A10),TRIM(bs!$B$1:$B$110),0),FALSE),0)/IF(ISNUMBER(SEARCH("亿",$A$2)),100000000,IF(ISNUMBER(SEARCH("万",$A$2)),10000,1))</f>
        <v/>
      </c>
      <c r="H10" s="209">
        <f>B10+C10+D10+E10</f>
        <v/>
      </c>
      <c r="I10">
        <f>A10</f>
        <v/>
      </c>
    </row>
    <row r="11" ht="18.75" customHeight="1">
      <c r="A11" s="141" t="inlineStr">
        <is>
          <t xml:space="preserve">  应收票据 </t>
        </is>
      </c>
      <c r="B11" s="226">
        <f>ROUND(HLOOKUP($B$3,bs!$C$1:$AB$110,MATCH(TRIM(A11),TRIM(bs!$B$1:$B$110),0),FALSE),0)/IF(ISNUMBER(SEARCH("亿",$A$2)),100000000,IF(ISNUMBER(SEARCH("万",$A$2)),10000,1))</f>
        <v/>
      </c>
      <c r="C11" s="226">
        <f>ROUND(HLOOKUP($C$3,bs!$C$1:$AB$110,MATCH(TRIM(A11),TRIM(bs!$B$1:$B$110),0),FALSE),0)/IF(ISNUMBER(SEARCH("亿",$A$2)),100000000,IF(ISNUMBER(SEARCH("万",$A$2)),10000,1))</f>
        <v/>
      </c>
      <c r="D11" s="226">
        <f>ROUND(HLOOKUP($D$3,bs!$C$1:$AB$110,MATCH(TRIM(A11),TRIM(bs!$B$1:$B$110),0),FALSE),0)/IF(ISNUMBER(SEARCH("亿",$A$2)),100000000,IF(ISNUMBER(SEARCH("万",$A$2)),10000,1))</f>
        <v/>
      </c>
      <c r="E11" s="226">
        <f>ROUND(HLOOKUP($E$3,bs!$C$1:$AB$110,MATCH(TRIM(A11),TRIM(bs!$B$1:$B$110),0),FALSE),0)/IF(ISNUMBER(SEARCH("亿",$A$2)),100000000,IF(ISNUMBER(SEARCH("万",$A$2)),10000,1))</f>
        <v/>
      </c>
      <c r="H11" s="209">
        <f>B11+C11+D11+E11</f>
        <v/>
      </c>
      <c r="I11">
        <f>A11</f>
        <v/>
      </c>
      <c r="J11">
        <f>_xlfn.CONCAT(TEXT($E$3,"YYYY"),"年-",TEXT($C$3,"YYYY"),"年及",TEXT($B$3,"YYYY年MM月"),"，","拟承租人",I11,"分别为",TEXT(E11/10000,"0.00"),"亿元、",TEXT(D11/10000,"0.00"),"亿元、",TEXT(C11/10000,"0.00"),"亿元及",TEXT(B11/10000,"0.00"),"亿元。")</f>
        <v/>
      </c>
      <c r="M11" s="103">
        <f>(C11-D11)/D11</f>
        <v/>
      </c>
      <c r="N11" s="103">
        <f>(D11-E11)/E11</f>
        <v/>
      </c>
    </row>
    <row r="12" ht="18.75" customHeight="1">
      <c r="A12" s="141" t="inlineStr">
        <is>
          <t xml:space="preserve">  应收账款 </t>
        </is>
      </c>
      <c r="B12" s="226">
        <f>ROUND(HLOOKUP($B$3,bs!$C$1:$AB$110,MATCH(TRIM(A12),TRIM(bs!$B$1:$B$110),0),FALSE),0)/IF(ISNUMBER(SEARCH("亿",$A$2)),100000000,IF(ISNUMBER(SEARCH("万",$A$2)),10000,1))</f>
        <v/>
      </c>
      <c r="C12" s="226">
        <f>ROUND(HLOOKUP($C$3,bs!$C$1:$AB$110,MATCH(TRIM(A12),TRIM(bs!$B$1:$B$110),0),FALSE),0)/IF(ISNUMBER(SEARCH("亿",$A$2)),100000000,IF(ISNUMBER(SEARCH("万",$A$2)),10000,1))</f>
        <v/>
      </c>
      <c r="D12" s="226">
        <f>ROUND(HLOOKUP($D$3,bs!$C$1:$AB$110,MATCH(TRIM(A12),TRIM(bs!$B$1:$B$110),0),FALSE),0)/IF(ISNUMBER(SEARCH("亿",$A$2)),100000000,IF(ISNUMBER(SEARCH("万",$A$2)),10000,1))</f>
        <v/>
      </c>
      <c r="E12" s="226">
        <f>ROUND(HLOOKUP($E$3,bs!$C$1:$AB$110,MATCH(TRIM(A12),TRIM(bs!$B$1:$B$110),0),FALSE),0)/IF(ISNUMBER(SEARCH("亿",$A$2)),100000000,IF(ISNUMBER(SEARCH("万",$A$2)),10000,1))</f>
        <v/>
      </c>
      <c r="H12" s="209">
        <f>B12+C12+D12+E12</f>
        <v/>
      </c>
      <c r="I12">
        <f>A12</f>
        <v/>
      </c>
      <c r="J12">
        <f>_xlfn.CONCAT(TEXT($E$3,"YYYY"),"年-",TEXT($C$3,"YYYY"),"年及",TEXT($B$3,"YYYY年MM月"),"，","拟承租人",I12,"分别为",TEXT(E12/10000,"0.00"),"亿元、",TEXT(D12/10000,"0.00"),"亿元、",TEXT(C12/10000,"0.00"),"亿元及",TEXT(B12/10000,"0.00"),"亿元。")</f>
        <v/>
      </c>
      <c r="M12" s="103">
        <f>(C12-D12)/D12</f>
        <v/>
      </c>
      <c r="N12" s="103">
        <f>(D12-E12)/E12</f>
        <v/>
      </c>
    </row>
    <row r="13" ht="18.75" customHeight="1">
      <c r="A13" s="141" t="inlineStr">
        <is>
          <t xml:space="preserve">  应收款项融资 </t>
        </is>
      </c>
      <c r="B13" s="226">
        <f>ROUND(HLOOKUP($B$3,bs!$C$1:$AB$110,MATCH(TRIM(A13),TRIM(bs!$B$1:$B$110),0),FALSE),0)/IF(ISNUMBER(SEARCH("亿",$A$2)),100000000,IF(ISNUMBER(SEARCH("万",$A$2)),10000,1))</f>
        <v/>
      </c>
      <c r="C13" s="226">
        <f>ROUND(HLOOKUP($C$3,bs!$C$1:$AB$110,MATCH(TRIM(A13),TRIM(bs!$B$1:$B$110),0),FALSE),0)/IF(ISNUMBER(SEARCH("亿",$A$2)),100000000,IF(ISNUMBER(SEARCH("万",$A$2)),10000,1))</f>
        <v/>
      </c>
      <c r="D13" s="226">
        <f>ROUND(HLOOKUP($D$3,bs!$C$1:$AB$110,MATCH(TRIM(A13),TRIM(bs!$B$1:$B$110),0),FALSE),0)/IF(ISNUMBER(SEARCH("亿",$A$2)),100000000,IF(ISNUMBER(SEARCH("万",$A$2)),10000,1))</f>
        <v/>
      </c>
      <c r="E13" s="226">
        <f>ROUND(HLOOKUP($E$3,bs!$C$1:$AB$110,MATCH(TRIM(A13),TRIM(bs!$B$1:$B$110),0),FALSE),0)/IF(ISNUMBER(SEARCH("亿",$A$2)),100000000,IF(ISNUMBER(SEARCH("万",$A$2)),10000,1))</f>
        <v/>
      </c>
      <c r="H13" s="209">
        <f>B13+C13+D13+E13</f>
        <v/>
      </c>
      <c r="I13">
        <f>A13</f>
        <v/>
      </c>
      <c r="J13">
        <f>_xlfn.CONCAT(TEXT($E$3,"YYYY"),"年-",TEXT($C$3,"YYYY"),"年及",TEXT($B$3,"YYYY年MM月"),"，","拟承租人",I13,"分别为",TEXT(E13/10000,"0.00"),"亿元、",TEXT(D13/10000,"0.00"),"亿元、",TEXT(C13/10000,"0.00"),"亿元及",TEXT(B13/10000,"0.00"),"亿元。")</f>
        <v/>
      </c>
      <c r="M13" s="103">
        <f>(C13-D13)/D13</f>
        <v/>
      </c>
      <c r="N13" s="103">
        <f>(D13-E13)/E13</f>
        <v/>
      </c>
    </row>
    <row r="14" ht="18.75" customHeight="1">
      <c r="A14" s="141" t="inlineStr">
        <is>
          <t xml:space="preserve">  预付款项 </t>
        </is>
      </c>
      <c r="B14" s="226">
        <f>ROUND(HLOOKUP($B$3,bs!$C$1:$AB$110,MATCH(TRIM(A14),TRIM(bs!$B$1:$B$110),0),FALSE),0)/IF(ISNUMBER(SEARCH("亿",$A$2)),100000000,IF(ISNUMBER(SEARCH("万",$A$2)),10000,1))</f>
        <v/>
      </c>
      <c r="C14" s="226">
        <f>ROUND(HLOOKUP($C$3,bs!$C$1:$AB$110,MATCH(TRIM(A14),TRIM(bs!$B$1:$B$110),0),FALSE),0)/IF(ISNUMBER(SEARCH("亿",$A$2)),100000000,IF(ISNUMBER(SEARCH("万",$A$2)),10000,1))</f>
        <v/>
      </c>
      <c r="D14" s="226">
        <f>ROUND(HLOOKUP($D$3,bs!$C$1:$AB$110,MATCH(TRIM(A14),TRIM(bs!$B$1:$B$110),0),FALSE),0)/IF(ISNUMBER(SEARCH("亿",$A$2)),100000000,IF(ISNUMBER(SEARCH("万",$A$2)),10000,1))</f>
        <v/>
      </c>
      <c r="E14" s="226">
        <f>ROUND(HLOOKUP($E$3,bs!$C$1:$AB$110,MATCH(TRIM(A14),TRIM(bs!$B$1:$B$110),0),FALSE),0)/IF(ISNUMBER(SEARCH("亿",$A$2)),100000000,IF(ISNUMBER(SEARCH("万",$A$2)),10000,1))</f>
        <v/>
      </c>
      <c r="H14" s="209">
        <f>B14+C14+D14+E14</f>
        <v/>
      </c>
      <c r="I14">
        <f>A14</f>
        <v/>
      </c>
      <c r="J14">
        <f>_xlfn.CONCAT(TEXT($E$3,"YYYY"),"年-",TEXT($C$3,"YYYY"),"年及",TEXT($B$3,"YYYY年MM月"),"，","拟承租人",I14,"分别为",TEXT(E14/10000,"0.00"),"亿元、",TEXT(D14/10000,"0.00"),"亿元、",TEXT(C14/10000,"0.00"),"亿元及",TEXT(B14/10000,"0.00"),"亿元。")</f>
        <v/>
      </c>
      <c r="M14" s="103">
        <f>(C14-D14)/D14</f>
        <v/>
      </c>
      <c r="N14" s="103">
        <f>(D14-E14)/E14</f>
        <v/>
      </c>
    </row>
    <row r="15" ht="18.75" customHeight="1">
      <c r="A15" s="141" t="inlineStr">
        <is>
          <t xml:space="preserve">  应收保费* </t>
        </is>
      </c>
      <c r="B15" s="226">
        <f>ROUND(HLOOKUP($B$3,bs!$C$1:$AB$110,MATCH(TRIM(A15),TRIM(bs!$B$1:$B$110),0),FALSE),0)/IF(ISNUMBER(SEARCH("亿",$A$2)),100000000,IF(ISNUMBER(SEARCH("万",$A$2)),10000,1))</f>
        <v/>
      </c>
      <c r="C15" s="226">
        <f>ROUND(HLOOKUP($C$3,bs!$C$1:$AB$110,MATCH(TRIM(A15),TRIM(bs!$B$1:$B$110),0),FALSE),0)/IF(ISNUMBER(SEARCH("亿",$A$2)),100000000,IF(ISNUMBER(SEARCH("万",$A$2)),10000,1))</f>
        <v/>
      </c>
      <c r="D15" s="226">
        <f>ROUND(HLOOKUP($D$3,bs!$C$1:$AB$110,MATCH(TRIM(A15),TRIM(bs!$B$1:$B$110),0),FALSE),0)/IF(ISNUMBER(SEARCH("亿",$A$2)),100000000,IF(ISNUMBER(SEARCH("万",$A$2)),10000,1))</f>
        <v/>
      </c>
      <c r="E15" s="226">
        <f>ROUND(HLOOKUP($E$3,bs!$C$1:$AB$110,MATCH(TRIM(A15),TRIM(bs!$B$1:$B$110),0),FALSE),0)/IF(ISNUMBER(SEARCH("亿",$A$2)),100000000,IF(ISNUMBER(SEARCH("万",$A$2)),10000,1))</f>
        <v/>
      </c>
      <c r="H15" s="209">
        <f>B15+C15+D15+E15</f>
        <v/>
      </c>
      <c r="I15">
        <f>A15</f>
        <v/>
      </c>
    </row>
    <row r="16" ht="18.75" customHeight="1">
      <c r="A16" s="141" t="inlineStr">
        <is>
          <t xml:space="preserve">  应收分保账款* </t>
        </is>
      </c>
      <c r="B16" s="226">
        <f>ROUND(HLOOKUP($B$3,bs!$C$1:$AB$110,MATCH(TRIM(A16),TRIM(bs!$B$1:$B$110),0),FALSE),0)/IF(ISNUMBER(SEARCH("亿",$A$2)),100000000,IF(ISNUMBER(SEARCH("万",$A$2)),10000,1))</f>
        <v/>
      </c>
      <c r="C16" s="226">
        <f>ROUND(HLOOKUP($C$3,bs!$C$1:$AB$110,MATCH(TRIM(A16),TRIM(bs!$B$1:$B$110),0),FALSE),0)/IF(ISNUMBER(SEARCH("亿",$A$2)),100000000,IF(ISNUMBER(SEARCH("万",$A$2)),10000,1))</f>
        <v/>
      </c>
      <c r="D16" s="226">
        <f>ROUND(HLOOKUP($D$3,bs!$C$1:$AB$110,MATCH(TRIM(A16),TRIM(bs!$B$1:$B$110),0),FALSE),0)/IF(ISNUMBER(SEARCH("亿",$A$2)),100000000,IF(ISNUMBER(SEARCH("万",$A$2)),10000,1))</f>
        <v/>
      </c>
      <c r="E16" s="226">
        <f>ROUND(HLOOKUP($E$3,bs!$C$1:$AB$110,MATCH(TRIM(A16),TRIM(bs!$B$1:$B$110),0),FALSE),0)/IF(ISNUMBER(SEARCH("亿",$A$2)),100000000,IF(ISNUMBER(SEARCH("万",$A$2)),10000,1))</f>
        <v/>
      </c>
      <c r="H16" s="209">
        <f>B16+C16+D16+E16</f>
        <v/>
      </c>
      <c r="I16">
        <f>A16</f>
        <v/>
      </c>
    </row>
    <row r="17" ht="18.75" customHeight="1">
      <c r="A17" s="141" t="inlineStr">
        <is>
          <t xml:space="preserve">  应收分保合同准备金* </t>
        </is>
      </c>
      <c r="B17" s="226">
        <f>ROUND(HLOOKUP($B$3,bs!$C$1:$AB$110,MATCH(TRIM(A17),TRIM(bs!$B$1:$B$110),0),FALSE),0)/IF(ISNUMBER(SEARCH("亿",$A$2)),100000000,IF(ISNUMBER(SEARCH("万",$A$2)),10000,1))</f>
        <v/>
      </c>
      <c r="C17" s="226">
        <f>ROUND(HLOOKUP($C$3,bs!$C$1:$AB$110,MATCH(TRIM(A17),TRIM(bs!$B$1:$B$110),0),FALSE),0)/IF(ISNUMBER(SEARCH("亿",$A$2)),100000000,IF(ISNUMBER(SEARCH("万",$A$2)),10000,1))</f>
        <v/>
      </c>
      <c r="D17" s="226">
        <f>ROUND(HLOOKUP($D$3,bs!$C$1:$AB$110,MATCH(TRIM(A17),TRIM(bs!$B$1:$B$110),0),FALSE),0)/IF(ISNUMBER(SEARCH("亿",$A$2)),100000000,IF(ISNUMBER(SEARCH("万",$A$2)),10000,1))</f>
        <v/>
      </c>
      <c r="E17" s="226">
        <f>ROUND(HLOOKUP($E$3,bs!$C$1:$AB$110,MATCH(TRIM(A17),TRIM(bs!$B$1:$B$110),0),FALSE),0)/IF(ISNUMBER(SEARCH("亿",$A$2)),100000000,IF(ISNUMBER(SEARCH("万",$A$2)),10000,1))</f>
        <v/>
      </c>
      <c r="H17" s="209">
        <f>B17+C17+D17+E17</f>
        <v/>
      </c>
      <c r="I17">
        <f>A17</f>
        <v/>
      </c>
    </row>
    <row r="18" ht="18.75" customHeight="1">
      <c r="A18" s="141" t="inlineStr">
        <is>
          <t xml:space="preserve">  其他应收款 </t>
        </is>
      </c>
      <c r="B18" s="226">
        <f>ROUND(HLOOKUP($B$3,bs!$C$1:$AB$110,MATCH(TRIM(A18),TRIM(bs!$B$1:$B$110),0),FALSE),0)/IF(ISNUMBER(SEARCH("亿",$A$2)),100000000,IF(ISNUMBER(SEARCH("万",$A$2)),10000,1))</f>
        <v/>
      </c>
      <c r="C18" s="226">
        <f>ROUND(HLOOKUP($C$3,bs!$C$1:$AB$110,MATCH(TRIM(A18),TRIM(bs!$B$1:$B$110),0),FALSE),0)/IF(ISNUMBER(SEARCH("亿",$A$2)),100000000,IF(ISNUMBER(SEARCH("万",$A$2)),10000,1))</f>
        <v/>
      </c>
      <c r="D18" s="226">
        <f>ROUND(HLOOKUP($D$3,bs!$C$1:$AB$110,MATCH(TRIM(A18),TRIM(bs!$B$1:$B$110),0),FALSE),0)/IF(ISNUMBER(SEARCH("亿",$A$2)),100000000,IF(ISNUMBER(SEARCH("万",$A$2)),10000,1))</f>
        <v/>
      </c>
      <c r="E18" s="226">
        <f>ROUND(HLOOKUP($E$3,bs!$C$1:$AB$110,MATCH(TRIM(A18),TRIM(bs!$B$1:$B$110),0),FALSE),0)/IF(ISNUMBER(SEARCH("亿",$A$2)),100000000,IF(ISNUMBER(SEARCH("万",$A$2)),10000,1))</f>
        <v/>
      </c>
      <c r="H18" s="209">
        <f>B18+C18+D18+E18</f>
        <v/>
      </c>
      <c r="I18">
        <f>A18</f>
        <v/>
      </c>
      <c r="J18">
        <f>_xlfn.CONCAT(TEXT($E$3,"YYYY"),"年-",TEXT($C$3,"YYYY"),"年及",TEXT($B$3,"YYYY年MM月"),"，","拟承租人",I18,"分别为",TEXT(E18/10000,"0.00"),"亿元、",TEXT(D18/10000,"0.00"),"亿元、",TEXT(C18/10000,"0.00"),"亿元及",TEXT(B18/10000,"0.00"),"亿元。")</f>
        <v/>
      </c>
      <c r="M18" s="103">
        <f>(C18-D18)/D18</f>
        <v/>
      </c>
      <c r="N18" s="103">
        <f>(D18-E18)/E18</f>
        <v/>
      </c>
    </row>
    <row r="19" ht="18.75" customHeight="1">
      <c r="A19" s="141" t="inlineStr">
        <is>
          <t xml:space="preserve">    其中：应收利息</t>
        </is>
      </c>
      <c r="B19" s="226">
        <f>ROUND(HLOOKUP($B$3,bs!$C$1:$AB$110,MATCH(TRIM(A19),TRIM(bs!$B$1:$B$110),0),FALSE),0)/IF(ISNUMBER(SEARCH("亿",$A$2)),100000000,IF(ISNUMBER(SEARCH("万",$A$2)),10000,1))</f>
        <v/>
      </c>
      <c r="C19" s="226">
        <f>ROUND(HLOOKUP($C$3,bs!$C$1:$AB$110,MATCH(TRIM(A19),TRIM(bs!$B$1:$B$110),0),FALSE),0)/IF(ISNUMBER(SEARCH("亿",$A$2)),100000000,IF(ISNUMBER(SEARCH("万",$A$2)),10000,1))</f>
        <v/>
      </c>
      <c r="D19" s="226">
        <f>ROUND(HLOOKUP($D$3,bs!$C$1:$AB$110,MATCH(TRIM(A19),TRIM(bs!$B$1:$B$110),0),FALSE),0)/IF(ISNUMBER(SEARCH("亿",$A$2)),100000000,IF(ISNUMBER(SEARCH("万",$A$2)),10000,1))</f>
        <v/>
      </c>
      <c r="E19" s="226">
        <f>ROUND(HLOOKUP($E$3,bs!$C$1:$AB$110,MATCH(TRIM(A19),TRIM(bs!$B$1:$B$110),0),FALSE),0)/IF(ISNUMBER(SEARCH("亿",$A$2)),100000000,IF(ISNUMBER(SEARCH("万",$A$2)),10000,1))</f>
        <v/>
      </c>
      <c r="H19" s="209">
        <f>B19+C19+D19+E19</f>
        <v/>
      </c>
      <c r="I19">
        <f>A19</f>
        <v/>
      </c>
    </row>
    <row r="20" ht="18.75" customHeight="1">
      <c r="A20" s="141" t="inlineStr">
        <is>
          <t xml:space="preserve">  应收股利</t>
        </is>
      </c>
      <c r="B20" s="226">
        <f>ROUND(HLOOKUP($B$3,bs!$C$1:$AB$110,MATCH(TRIM(A20),TRIM(bs!$B$1:$B$110),0),FALSE),0)/IF(ISNUMBER(SEARCH("亿",$A$2)),100000000,IF(ISNUMBER(SEARCH("万",$A$2)),10000,1))</f>
        <v/>
      </c>
      <c r="C20" s="226">
        <f>ROUND(HLOOKUP($C$3,bs!$C$1:$AB$110,MATCH(TRIM(A20),TRIM(bs!$B$1:$B$110),0),FALSE),0)/IF(ISNUMBER(SEARCH("亿",$A$2)),100000000,IF(ISNUMBER(SEARCH("万",$A$2)),10000,1))</f>
        <v/>
      </c>
      <c r="D20" s="226">
        <f>ROUND(HLOOKUP($D$3,bs!$C$1:$AB$110,MATCH(TRIM(A20),TRIM(bs!$B$1:$B$110),0),FALSE),0)/IF(ISNUMBER(SEARCH("亿",$A$2)),100000000,IF(ISNUMBER(SEARCH("万",$A$2)),10000,1))</f>
        <v/>
      </c>
      <c r="E20" s="226">
        <f>ROUND(HLOOKUP($E$3,bs!$C$1:$AB$110,MATCH(TRIM(A20),TRIM(bs!$B$1:$B$110),0),FALSE),0)/IF(ISNUMBER(SEARCH("亿",$A$2)),100000000,IF(ISNUMBER(SEARCH("万",$A$2)),10000,1))</f>
        <v/>
      </c>
      <c r="H20" s="209">
        <f>B20+C20+D20+E20</f>
        <v/>
      </c>
      <c r="I20">
        <f>A20</f>
        <v/>
      </c>
    </row>
    <row r="21" ht="18.75" customHeight="1">
      <c r="A21" s="141" t="inlineStr">
        <is>
          <t xml:space="preserve">  买入返售金融资产* </t>
        </is>
      </c>
      <c r="B21" s="226">
        <f>ROUND(HLOOKUP($B$3,bs!$C$1:$AB$110,MATCH(TRIM(A21),TRIM(bs!$B$1:$B$110),0),FALSE),0)/IF(ISNUMBER(SEARCH("亿",$A$2)),100000000,IF(ISNUMBER(SEARCH("万",$A$2)),10000,1))</f>
        <v/>
      </c>
      <c r="C21" s="226">
        <f>ROUND(HLOOKUP($C$3,bs!$C$1:$AB$110,MATCH(TRIM(A21),TRIM(bs!$B$1:$B$110),0),FALSE),0)/IF(ISNUMBER(SEARCH("亿",$A$2)),100000000,IF(ISNUMBER(SEARCH("万",$A$2)),10000,1))</f>
        <v/>
      </c>
      <c r="D21" s="226">
        <f>ROUND(HLOOKUP($D$3,bs!$C$1:$AB$110,MATCH(TRIM(A21),TRIM(bs!$B$1:$B$110),0),FALSE),0)/IF(ISNUMBER(SEARCH("亿",$A$2)),100000000,IF(ISNUMBER(SEARCH("万",$A$2)),10000,1))</f>
        <v/>
      </c>
      <c r="E21" s="226">
        <f>ROUND(HLOOKUP($E$3,bs!$C$1:$AB$110,MATCH(TRIM(A21),TRIM(bs!$B$1:$B$110),0),FALSE),0)/IF(ISNUMBER(SEARCH("亿",$A$2)),100000000,IF(ISNUMBER(SEARCH("万",$A$2)),10000,1))</f>
        <v/>
      </c>
      <c r="H21" s="209">
        <f>B21+C21+D21+E21</f>
        <v/>
      </c>
      <c r="I21">
        <f>A21</f>
        <v/>
      </c>
    </row>
    <row r="22" ht="18.75" customHeight="1">
      <c r="A22" s="141" t="inlineStr">
        <is>
          <t xml:space="preserve">  存货 </t>
        </is>
      </c>
      <c r="B22" s="226">
        <f>ROUND(HLOOKUP($B$3,bs!$C$1:$AB$110,MATCH(TRIM(A22),TRIM(bs!$B$1:$B$110),0),FALSE),0)/IF(ISNUMBER(SEARCH("亿",$A$2)),100000000,IF(ISNUMBER(SEARCH("万",$A$2)),10000,1))</f>
        <v/>
      </c>
      <c r="C22" s="226">
        <f>ROUND(HLOOKUP($C$3,bs!$C$1:$AB$110,MATCH(TRIM(A22),TRIM(bs!$B$1:$B$110),0),FALSE),0)/IF(ISNUMBER(SEARCH("亿",$A$2)),100000000,IF(ISNUMBER(SEARCH("万",$A$2)),10000,1))</f>
        <v/>
      </c>
      <c r="D22" s="226">
        <f>ROUND(HLOOKUP($D$3,bs!$C$1:$AB$110,MATCH(TRIM(A22),TRIM(bs!$B$1:$B$110),0),FALSE),0)/IF(ISNUMBER(SEARCH("亿",$A$2)),100000000,IF(ISNUMBER(SEARCH("万",$A$2)),10000,1))</f>
        <v/>
      </c>
      <c r="E22" s="226">
        <f>ROUND(HLOOKUP($E$3,bs!$C$1:$AB$110,MATCH(TRIM(A22),TRIM(bs!$B$1:$B$110),0),FALSE),0)/IF(ISNUMBER(SEARCH("亿",$A$2)),100000000,IF(ISNUMBER(SEARCH("万",$A$2)),10000,1))</f>
        <v/>
      </c>
      <c r="H22" s="209">
        <f>B22+C22+D22+E22</f>
        <v/>
      </c>
      <c r="I22">
        <f>A22</f>
        <v/>
      </c>
      <c r="J22">
        <f>_xlfn.CONCAT(TEXT($E$3,"YYYY"),"年-",TEXT($C$3,"YYYY"),"年及",TEXT($B$3,"YYYY年MM月"),"，","拟承租人",I22,"分别为",TEXT(E22/10000,"0.00"),"亿元、",TEXT(D22/10000,"0.00"),"亿元、",TEXT(C22/10000,"0.00"),"亿元及",TEXT(B22/10000,"0.00"),"亿元。")</f>
        <v/>
      </c>
      <c r="M22" s="103">
        <f>(C22-D22)/D22</f>
        <v/>
      </c>
      <c r="N22" s="103">
        <f>(D22-E22)/E22</f>
        <v/>
      </c>
    </row>
    <row r="23" ht="18.75" customHeight="1">
      <c r="A23" s="141" t="inlineStr">
        <is>
          <t xml:space="preserve">  合同资产 </t>
        </is>
      </c>
      <c r="B23" s="226">
        <f>ROUND(HLOOKUP($B$3,bs!$C$1:$AB$110,MATCH(TRIM(A23),TRIM(bs!$B$1:$B$110),0),FALSE),0)/IF(ISNUMBER(SEARCH("亿",$A$2)),100000000,IF(ISNUMBER(SEARCH("万",$A$2)),10000,1))</f>
        <v/>
      </c>
      <c r="C23" s="226">
        <f>ROUND(HLOOKUP($C$3,bs!$C$1:$AB$110,MATCH(TRIM(A23),TRIM(bs!$B$1:$B$110),0),FALSE),0)/IF(ISNUMBER(SEARCH("亿",$A$2)),100000000,IF(ISNUMBER(SEARCH("万",$A$2)),10000,1))</f>
        <v/>
      </c>
      <c r="D23" s="226">
        <f>ROUND(HLOOKUP($D$3,bs!$C$1:$AB$110,MATCH(TRIM(A23),TRIM(bs!$B$1:$B$110),0),FALSE),0)/IF(ISNUMBER(SEARCH("亿",$A$2)),100000000,IF(ISNUMBER(SEARCH("万",$A$2)),10000,1))</f>
        <v/>
      </c>
      <c r="E23" s="226">
        <f>ROUND(HLOOKUP($E$3,bs!$C$1:$AB$110,MATCH(TRIM(A23),TRIM(bs!$B$1:$B$110),0),FALSE),0)/IF(ISNUMBER(SEARCH("亿",$A$2)),100000000,IF(ISNUMBER(SEARCH("万",$A$2)),10000,1))</f>
        <v/>
      </c>
      <c r="H23" s="209">
        <f>B23+C23+D23+E23</f>
        <v/>
      </c>
      <c r="I23">
        <f>A23</f>
        <v/>
      </c>
    </row>
    <row r="24" ht="18.75" customHeight="1">
      <c r="A24" s="141" t="inlineStr">
        <is>
          <t xml:space="preserve">  持有待售资产 </t>
        </is>
      </c>
      <c r="B24" s="226">
        <f>ROUND(HLOOKUP($B$3,bs!$C$1:$AB$110,MATCH(TRIM(A24),TRIM(bs!$B$1:$B$110),0),FALSE),0)/IF(ISNUMBER(SEARCH("亿",$A$2)),100000000,IF(ISNUMBER(SEARCH("万",$A$2)),10000,1))</f>
        <v/>
      </c>
      <c r="C24" s="226">
        <f>ROUND(HLOOKUP($C$3,bs!$C$1:$AB$110,MATCH(TRIM(A24),TRIM(bs!$B$1:$B$110),0),FALSE),0)/IF(ISNUMBER(SEARCH("亿",$A$2)),100000000,IF(ISNUMBER(SEARCH("万",$A$2)),10000,1))</f>
        <v/>
      </c>
      <c r="D24" s="226">
        <f>ROUND(HLOOKUP($D$3,bs!$C$1:$AB$110,MATCH(TRIM(A24),TRIM(bs!$B$1:$B$110),0),FALSE),0)/IF(ISNUMBER(SEARCH("亿",$A$2)),100000000,IF(ISNUMBER(SEARCH("万",$A$2)),10000,1))</f>
        <v/>
      </c>
      <c r="E24" s="226">
        <f>ROUND(HLOOKUP($E$3,bs!$C$1:$AB$110,MATCH(TRIM(A24),TRIM(bs!$B$1:$B$110),0),FALSE),0)/IF(ISNUMBER(SEARCH("亿",$A$2)),100000000,IF(ISNUMBER(SEARCH("万",$A$2)),10000,1))</f>
        <v/>
      </c>
      <c r="H24" s="209">
        <f>B24+C24+D24+E24</f>
        <v/>
      </c>
      <c r="I24">
        <f>A24</f>
        <v/>
      </c>
    </row>
    <row r="25" ht="18.75" customHeight="1">
      <c r="A25" s="141" t="inlineStr">
        <is>
          <t xml:space="preserve">  一年内到期的非流动资产 </t>
        </is>
      </c>
      <c r="B25" s="226">
        <f>ROUND(HLOOKUP($B$3,bs!$C$1:$AB$110,MATCH(TRIM(A25),TRIM(bs!$B$1:$B$110),0),FALSE),0)/IF(ISNUMBER(SEARCH("亿",$A$2)),100000000,IF(ISNUMBER(SEARCH("万",$A$2)),10000,1))</f>
        <v/>
      </c>
      <c r="C25" s="226">
        <f>ROUND(HLOOKUP($C$3,bs!$C$1:$AB$110,MATCH(TRIM(A25),TRIM(bs!$B$1:$B$110),0),FALSE),0)/IF(ISNUMBER(SEARCH("亿",$A$2)),100000000,IF(ISNUMBER(SEARCH("万",$A$2)),10000,1))</f>
        <v/>
      </c>
      <c r="D25" s="226">
        <f>ROUND(HLOOKUP($D$3,bs!$C$1:$AB$110,MATCH(TRIM(A25),TRIM(bs!$B$1:$B$110),0),FALSE),0)/IF(ISNUMBER(SEARCH("亿",$A$2)),100000000,IF(ISNUMBER(SEARCH("万",$A$2)),10000,1))</f>
        <v/>
      </c>
      <c r="E25" s="226">
        <f>ROUND(HLOOKUP($E$3,bs!$C$1:$AB$110,MATCH(TRIM(A25),TRIM(bs!$B$1:$B$110),0),FALSE),0)/IF(ISNUMBER(SEARCH("亿",$A$2)),100000000,IF(ISNUMBER(SEARCH("万",$A$2)),10000,1))</f>
        <v/>
      </c>
      <c r="H25" s="209">
        <f>B25+C25+D25+E25</f>
        <v/>
      </c>
      <c r="I25">
        <f>A25</f>
        <v/>
      </c>
      <c r="J25">
        <f>_xlfn.CONCAT(TEXT($E$3,"YYYY"),"年-",TEXT($C$3,"YYYY"),"年及",TEXT($B$3,"YYYY年MM月"),"，","拟承租人",I25,"分别为",TEXT(E25/10000,"0.00"),"亿元、",TEXT(D25/10000,"0.00"),"亿元、",TEXT(C25/10000,"0.00"),"亿元及",TEXT(B25/10000,"0.00"),"亿元。")</f>
        <v/>
      </c>
      <c r="M25" s="103">
        <f>(C25-D25)/D25</f>
        <v/>
      </c>
      <c r="N25" s="103">
        <f>(D25-E25)/E25</f>
        <v/>
      </c>
    </row>
    <row r="26" ht="18.75" customHeight="1">
      <c r="A26" s="141" t="inlineStr">
        <is>
          <t xml:space="preserve">  其他流动资产 </t>
        </is>
      </c>
      <c r="B26" s="226">
        <f>ROUND(HLOOKUP($B$3,bs!$C$1:$AB$110,MATCH(TRIM(A26),TRIM(bs!$B$1:$B$110),0),FALSE),0)/IF(ISNUMBER(SEARCH("亿",$A$2)),100000000,IF(ISNUMBER(SEARCH("万",$A$2)),10000,1))</f>
        <v/>
      </c>
      <c r="C26" s="226">
        <f>ROUND(HLOOKUP($C$3,bs!$C$1:$AB$110,MATCH(TRIM(A26),TRIM(bs!$B$1:$B$110),0),FALSE),0)/IF(ISNUMBER(SEARCH("亿",$A$2)),100000000,IF(ISNUMBER(SEARCH("万",$A$2)),10000,1))</f>
        <v/>
      </c>
      <c r="D26" s="226">
        <f>ROUND(HLOOKUP($D$3,bs!$C$1:$AB$110,MATCH(TRIM(A26),TRIM(bs!$B$1:$B$110),0),FALSE),0)/IF(ISNUMBER(SEARCH("亿",$A$2)),100000000,IF(ISNUMBER(SEARCH("万",$A$2)),10000,1))</f>
        <v/>
      </c>
      <c r="E26" s="226">
        <f>ROUND(HLOOKUP($E$3,bs!$C$1:$AB$110,MATCH(TRIM(A26),TRIM(bs!$B$1:$B$110),0),FALSE),0)/IF(ISNUMBER(SEARCH("亿",$A$2)),100000000,IF(ISNUMBER(SEARCH("万",$A$2)),10000,1))</f>
        <v/>
      </c>
      <c r="H26" s="209">
        <f>B26+C26+D26+E26</f>
        <v/>
      </c>
      <c r="I26">
        <f>A26</f>
        <v/>
      </c>
      <c r="J26">
        <f>_xlfn.CONCAT(TEXT($E$3,"YYYY"),"年-",TEXT($C$3,"YYYY"),"年及",TEXT($B$3,"YYYY年MM月"),"，","拟承租人",I26,"分别为",TEXT(E26/10000,"0.00"),"亿元、",TEXT(D26/10000,"0.00"),"亿元、",TEXT(C26/10000,"0.00"),"亿元及",TEXT(B26/10000,"0.00"),"亿元。")</f>
        <v/>
      </c>
      <c r="M26" s="103">
        <f>(C26-D26)/D26</f>
        <v/>
      </c>
      <c r="N26" s="103">
        <f>(D26-E26)/E26</f>
        <v/>
      </c>
    </row>
    <row r="27" ht="18.75" customHeight="1">
      <c r="A27" s="144" t="inlineStr">
        <is>
          <t>流动资产合计</t>
        </is>
      </c>
      <c r="B27" s="226">
        <f>ROUND(HLOOKUP($B$3,bs!$C$1:$AB$110,MATCH(TRIM(A27),TRIM(bs!$B$1:$B$110),0),FALSE),0)/IF(ISNUMBER(SEARCH("亿",$A$2)),100000000,IF(ISNUMBER(SEARCH("万",$A$2)),10000,1))</f>
        <v/>
      </c>
      <c r="C27" s="226">
        <f>ROUND(HLOOKUP($C$3,bs!$C$1:$AB$110,MATCH(TRIM(A27),TRIM(bs!$B$1:$B$110),0),FALSE),0)/IF(ISNUMBER(SEARCH("亿",$A$2)),100000000,IF(ISNUMBER(SEARCH("万",$A$2)),10000,1))</f>
        <v/>
      </c>
      <c r="D27" s="226">
        <f>ROUND(HLOOKUP($D$3,bs!$C$1:$AB$110,MATCH(TRIM(A27),TRIM(bs!$B$1:$B$110),0),FALSE),0)/IF(ISNUMBER(SEARCH("亿",$A$2)),100000000,IF(ISNUMBER(SEARCH("万",$A$2)),10000,1))</f>
        <v/>
      </c>
      <c r="E27" s="226">
        <f>ROUND(HLOOKUP($E$3,bs!$C$1:$AB$110,MATCH(TRIM(A27),TRIM(bs!$B$1:$B$110),0),FALSE),0)/IF(ISNUMBER(SEARCH("亿",$A$2)),100000000,IF(ISNUMBER(SEARCH("万",$A$2)),10000,1))</f>
        <v/>
      </c>
      <c r="H27" s="209">
        <f>B27+C27+D27+E27</f>
        <v/>
      </c>
      <c r="I27">
        <f>A27</f>
        <v/>
      </c>
      <c r="J27">
        <f>_xlfn.CONCAT(TEXT($E$3,"YYYY"),"年-",TEXT($C$3,"YYYY"),"年及",TEXT($B$3,"YYYY年MM月"),"，","拟承租人",I27,"分别为",TEXT(E27/10000,"0.00"),"亿元、",TEXT(D27/10000,"0.00"),"亿元、",TEXT(C27/10000,"0.00"),"亿元及",TEXT(B27/10000,"0.00"),"亿元。")</f>
        <v/>
      </c>
      <c r="M27" s="103">
        <f>(C27-D27)/D27</f>
        <v/>
      </c>
      <c r="N27" s="103">
        <f>(D27-E27)/E27</f>
        <v/>
      </c>
    </row>
    <row r="28" ht="18.75" customHeight="1">
      <c r="A28" s="141" t="inlineStr">
        <is>
          <t xml:space="preserve">  发放贷款和垫款* </t>
        </is>
      </c>
      <c r="B28" s="226">
        <f>ROUND(HLOOKUP($B$3,bs!$C$1:$AB$110,MATCH(TRIM(A28),TRIM(bs!$B$1:$B$110),0),FALSE),0)/IF(ISNUMBER(SEARCH("亿",$A$2)),100000000,IF(ISNUMBER(SEARCH("万",$A$2)),10000,1))</f>
        <v/>
      </c>
      <c r="C28" s="226">
        <f>ROUND(HLOOKUP($C$3,bs!$C$1:$AB$110,MATCH(TRIM(A28),TRIM(bs!$B$1:$B$110),0),FALSE),0)/IF(ISNUMBER(SEARCH("亿",$A$2)),100000000,IF(ISNUMBER(SEARCH("万",$A$2)),10000,1))</f>
        <v/>
      </c>
      <c r="D28" s="226">
        <f>ROUND(HLOOKUP($D$3,bs!$C$1:$AB$110,MATCH(TRIM(A28),TRIM(bs!$B$1:$B$110),0),FALSE),0)/IF(ISNUMBER(SEARCH("亿",$A$2)),100000000,IF(ISNUMBER(SEARCH("万",$A$2)),10000,1))</f>
        <v/>
      </c>
      <c r="E28" s="226">
        <f>ROUND(HLOOKUP($E$3,bs!$C$1:$AB$110,MATCH(TRIM(A28),TRIM(bs!$B$1:$B$110),0),FALSE),0)/IF(ISNUMBER(SEARCH("亿",$A$2)),100000000,IF(ISNUMBER(SEARCH("万",$A$2)),10000,1))</f>
        <v/>
      </c>
      <c r="H28" s="209">
        <f>B28+C28+D28+E28</f>
        <v/>
      </c>
      <c r="I28">
        <f>A28</f>
        <v/>
      </c>
    </row>
    <row r="29" ht="18.75" customHeight="1">
      <c r="A29" s="141" t="inlineStr">
        <is>
          <t xml:space="preserve">  债权投资 </t>
        </is>
      </c>
      <c r="B29" s="226">
        <f>ROUND(HLOOKUP($B$3,bs!$C$1:$AB$110,MATCH(TRIM(A29),TRIM(bs!$B$1:$B$110),0),FALSE),0)/IF(ISNUMBER(SEARCH("亿",$A$2)),100000000,IF(ISNUMBER(SEARCH("万",$A$2)),10000,1))</f>
        <v/>
      </c>
      <c r="C29" s="226">
        <f>ROUND(HLOOKUP($C$3,bs!$C$1:$AB$110,MATCH(TRIM(A29),TRIM(bs!$B$1:$B$110),0),FALSE),0)/IF(ISNUMBER(SEARCH("亿",$A$2)),100000000,IF(ISNUMBER(SEARCH("万",$A$2)),10000,1))</f>
        <v/>
      </c>
      <c r="D29" s="226">
        <f>ROUND(HLOOKUP($D$3,bs!$C$1:$AB$110,MATCH(TRIM(A29),TRIM(bs!$B$1:$B$110),0),FALSE),0)/IF(ISNUMBER(SEARCH("亿",$A$2)),100000000,IF(ISNUMBER(SEARCH("万",$A$2)),10000,1))</f>
        <v/>
      </c>
      <c r="E29" s="226">
        <f>ROUND(HLOOKUP($E$3,bs!$C$1:$AB$110,MATCH(TRIM(A29),TRIM(bs!$B$1:$B$110),0),FALSE),0)/IF(ISNUMBER(SEARCH("亿",$A$2)),100000000,IF(ISNUMBER(SEARCH("万",$A$2)),10000,1))</f>
        <v/>
      </c>
      <c r="H29" s="209">
        <f>B29+C29+D29+E29</f>
        <v/>
      </c>
      <c r="I29">
        <f>A29</f>
        <v/>
      </c>
    </row>
    <row r="30" ht="18.75" customHeight="1">
      <c r="A30" s="141" t="inlineStr">
        <is>
          <t xml:space="preserve">  其他债权投资 </t>
        </is>
      </c>
      <c r="B30" s="226">
        <f>ROUND(HLOOKUP($B$3,bs!$C$1:$AB$110,MATCH(TRIM(A30),TRIM(bs!$B$1:$B$110),0),FALSE),0)/IF(ISNUMBER(SEARCH("亿",$A$2)),100000000,IF(ISNUMBER(SEARCH("万",$A$2)),10000,1))</f>
        <v/>
      </c>
      <c r="C30" s="226">
        <f>ROUND(HLOOKUP($C$3,bs!$C$1:$AB$110,MATCH(TRIM(A30),TRIM(bs!$B$1:$B$110),0),FALSE),0)/IF(ISNUMBER(SEARCH("亿",$A$2)),100000000,IF(ISNUMBER(SEARCH("万",$A$2)),10000,1))</f>
        <v/>
      </c>
      <c r="D30" s="226">
        <f>ROUND(HLOOKUP($D$3,bs!$C$1:$AB$110,MATCH(TRIM(A30),TRIM(bs!$B$1:$B$110),0),FALSE),0)/IF(ISNUMBER(SEARCH("亿",$A$2)),100000000,IF(ISNUMBER(SEARCH("万",$A$2)),10000,1))</f>
        <v/>
      </c>
      <c r="E30" s="226">
        <f>ROUND(HLOOKUP($E$3,bs!$C$1:$AB$110,MATCH(TRIM(A30),TRIM(bs!$B$1:$B$110),0),FALSE),0)/IF(ISNUMBER(SEARCH("亿",$A$2)),100000000,IF(ISNUMBER(SEARCH("万",$A$2)),10000,1))</f>
        <v/>
      </c>
      <c r="H30" s="209">
        <f>B30+C30+D30+E30</f>
        <v/>
      </c>
      <c r="I30">
        <f>A30</f>
        <v/>
      </c>
    </row>
    <row r="31" ht="18.75" customHeight="1">
      <c r="A31" s="141" t="inlineStr">
        <is>
          <t xml:space="preserve">  长期应收款 </t>
        </is>
      </c>
      <c r="B31" s="226">
        <f>ROUND(HLOOKUP($B$3,bs!$C$1:$AB$110,MATCH(TRIM(A31),TRIM(bs!$B$1:$B$110),0),FALSE),0)/IF(ISNUMBER(SEARCH("亿",$A$2)),100000000,IF(ISNUMBER(SEARCH("万",$A$2)),10000,1))</f>
        <v/>
      </c>
      <c r="C31" s="226">
        <f>ROUND(HLOOKUP($C$3,bs!$C$1:$AB$110,MATCH(TRIM(A31),TRIM(bs!$B$1:$B$110),0),FALSE),0)/IF(ISNUMBER(SEARCH("亿",$A$2)),100000000,IF(ISNUMBER(SEARCH("万",$A$2)),10000,1))</f>
        <v/>
      </c>
      <c r="D31" s="226">
        <f>ROUND(HLOOKUP($D$3,bs!$C$1:$AB$110,MATCH(TRIM(A31),TRIM(bs!$B$1:$B$110),0),FALSE),0)/IF(ISNUMBER(SEARCH("亿",$A$2)),100000000,IF(ISNUMBER(SEARCH("万",$A$2)),10000,1))</f>
        <v/>
      </c>
      <c r="E31" s="226">
        <f>ROUND(HLOOKUP($E$3,bs!$C$1:$AB$110,MATCH(TRIM(A31),TRIM(bs!$B$1:$B$110),0),FALSE),0)/IF(ISNUMBER(SEARCH("亿",$A$2)),100000000,IF(ISNUMBER(SEARCH("万",$A$2)),10000,1))</f>
        <v/>
      </c>
      <c r="H31" s="209">
        <f>B31+C31+D31+E31</f>
        <v/>
      </c>
      <c r="I31">
        <f>A31</f>
        <v/>
      </c>
      <c r="J31">
        <f>_xlfn.CONCAT(TEXT($E$3,"YYYY"),"年-",TEXT($C$3,"YYYY"),"年及",TEXT($B$3,"YYYY年MM月"),"，","拟承租人",I31,"分别为",TEXT(E31/10000,"0.00"),"亿元、",TEXT(D31/10000,"0.00"),"亿元、",TEXT(C31/10000,"0.00"),"亿元及",TEXT(B31/10000,"0.00"),"亿元。")</f>
        <v/>
      </c>
      <c r="M31" s="103">
        <f>(C31-D31)/D31</f>
        <v/>
      </c>
      <c r="N31" s="103">
        <f>(D31-E31)/E31</f>
        <v/>
      </c>
    </row>
    <row r="32" ht="18.75" customHeight="1">
      <c r="A32" s="141" t="inlineStr">
        <is>
          <t xml:space="preserve">  长期股权投资 </t>
        </is>
      </c>
      <c r="B32" s="226">
        <f>ROUND(HLOOKUP($B$3,bs!$C$1:$AB$110,MATCH(TRIM(A32),TRIM(bs!$B$1:$B$110),0),FALSE),0)/IF(ISNUMBER(SEARCH("亿",$A$2)),100000000,IF(ISNUMBER(SEARCH("万",$A$2)),10000,1))</f>
        <v/>
      </c>
      <c r="C32" s="226">
        <f>ROUND(HLOOKUP($C$3,bs!$C$1:$AB$110,MATCH(TRIM(A32),TRIM(bs!$B$1:$B$110),0),FALSE),0)/IF(ISNUMBER(SEARCH("亿",$A$2)),100000000,IF(ISNUMBER(SEARCH("万",$A$2)),10000,1))</f>
        <v/>
      </c>
      <c r="D32" s="226">
        <f>ROUND(HLOOKUP($D$3,bs!$C$1:$AB$110,MATCH(TRIM(A32),TRIM(bs!$B$1:$B$110),0),FALSE),0)/IF(ISNUMBER(SEARCH("亿",$A$2)),100000000,IF(ISNUMBER(SEARCH("万",$A$2)),10000,1))</f>
        <v/>
      </c>
      <c r="E32" s="226">
        <f>ROUND(HLOOKUP($E$3,bs!$C$1:$AB$110,MATCH(TRIM(A32),TRIM(bs!$B$1:$B$110),0),FALSE),0)/IF(ISNUMBER(SEARCH("亿",$A$2)),100000000,IF(ISNUMBER(SEARCH("万",$A$2)),10000,1))</f>
        <v/>
      </c>
      <c r="H32" s="209">
        <f>B32+C32+D32+E32</f>
        <v/>
      </c>
      <c r="I32">
        <f>A32</f>
        <v/>
      </c>
    </row>
    <row r="33" ht="18.75" customHeight="1">
      <c r="A33" s="141" t="inlineStr">
        <is>
          <t xml:space="preserve">  可供出售金融资产 </t>
        </is>
      </c>
      <c r="B33" s="226">
        <f>ROUND(HLOOKUP($B$3,bs!$C$1:$AB$110,MATCH(TRIM(A33),TRIM(bs!$B$1:$B$110),0),FALSE),0)/IF(ISNUMBER(SEARCH("亿",$A$2)),100000000,IF(ISNUMBER(SEARCH("万",$A$2)),10000,1))</f>
        <v/>
      </c>
      <c r="C33" s="226">
        <f>ROUND(HLOOKUP($C$3,bs!$C$1:$AB$110,MATCH(TRIM(A33),TRIM(bs!$B$1:$B$110),0),FALSE),0)/IF(ISNUMBER(SEARCH("亿",$A$2)),100000000,IF(ISNUMBER(SEARCH("万",$A$2)),10000,1))</f>
        <v/>
      </c>
      <c r="D33" s="226">
        <f>ROUND(HLOOKUP($D$3,bs!$C$1:$AB$110,MATCH(TRIM(A33),TRIM(bs!$B$1:$B$110),0),FALSE),0)/IF(ISNUMBER(SEARCH("亿",$A$2)),100000000,IF(ISNUMBER(SEARCH("万",$A$2)),10000,1))</f>
        <v/>
      </c>
      <c r="E33" s="226">
        <f>ROUND(HLOOKUP($E$3,bs!$C$1:$AB$110,MATCH(TRIM(A33),TRIM(bs!$B$1:$B$110),0),FALSE),0)/IF(ISNUMBER(SEARCH("亿",$A$2)),100000000,IF(ISNUMBER(SEARCH("万",$A$2)),10000,1))</f>
        <v/>
      </c>
      <c r="H33" s="209">
        <f>B33+C33+D33+E33</f>
        <v/>
      </c>
      <c r="I33">
        <f>A33</f>
        <v/>
      </c>
    </row>
    <row r="34" ht="18.75" customHeight="1">
      <c r="A34" s="141" t="inlineStr">
        <is>
          <t xml:space="preserve">  持有至到期投资 </t>
        </is>
      </c>
      <c r="B34" s="226">
        <f>ROUND(HLOOKUP($B$3,bs!$C$1:$AB$110,MATCH(TRIM(A34),TRIM(bs!$B$1:$B$110),0),FALSE),0)/IF(ISNUMBER(SEARCH("亿",$A$2)),100000000,IF(ISNUMBER(SEARCH("万",$A$2)),10000,1))</f>
        <v/>
      </c>
      <c r="C34" s="226">
        <f>ROUND(HLOOKUP($C$3,bs!$C$1:$AB$110,MATCH(TRIM(A34),TRIM(bs!$B$1:$B$110),0),FALSE),0)/IF(ISNUMBER(SEARCH("亿",$A$2)),100000000,IF(ISNUMBER(SEARCH("万",$A$2)),10000,1))</f>
        <v/>
      </c>
      <c r="D34" s="226">
        <f>ROUND(HLOOKUP($D$3,bs!$C$1:$AB$110,MATCH(TRIM(A34),TRIM(bs!$B$1:$B$110),0),FALSE),0)/IF(ISNUMBER(SEARCH("亿",$A$2)),100000000,IF(ISNUMBER(SEARCH("万",$A$2)),10000,1))</f>
        <v/>
      </c>
      <c r="E34" s="226">
        <f>ROUND(HLOOKUP($E$3,bs!$C$1:$AB$110,MATCH(TRIM(A34),TRIM(bs!$B$1:$B$110),0),FALSE),0)/IF(ISNUMBER(SEARCH("亿",$A$2)),100000000,IF(ISNUMBER(SEARCH("万",$A$2)),10000,1))</f>
        <v/>
      </c>
      <c r="H34" s="209">
        <f>B34+C34+D34+E34</f>
        <v/>
      </c>
      <c r="I34">
        <f>A34</f>
        <v/>
      </c>
    </row>
    <row r="35" ht="18.75" customHeight="1">
      <c r="A35" s="141" t="inlineStr">
        <is>
          <t xml:space="preserve">  其他权益工具投资 </t>
        </is>
      </c>
      <c r="B35" s="226">
        <f>ROUND(HLOOKUP($B$3,bs!$C$1:$AB$110,MATCH(TRIM(A35),TRIM(bs!$B$1:$B$110),0),FALSE),0)/IF(ISNUMBER(SEARCH("亿",$A$2)),100000000,IF(ISNUMBER(SEARCH("万",$A$2)),10000,1))</f>
        <v/>
      </c>
      <c r="C35" s="226">
        <f>ROUND(HLOOKUP($C$3,bs!$C$1:$AB$110,MATCH(TRIM(A35),TRIM(bs!$B$1:$B$110),0),FALSE),0)/IF(ISNUMBER(SEARCH("亿",$A$2)),100000000,IF(ISNUMBER(SEARCH("万",$A$2)),10000,1))</f>
        <v/>
      </c>
      <c r="D35" s="226">
        <f>ROUND(HLOOKUP($D$3,bs!$C$1:$AB$110,MATCH(TRIM(A35),TRIM(bs!$B$1:$B$110),0),FALSE),0)/IF(ISNUMBER(SEARCH("亿",$A$2)),100000000,IF(ISNUMBER(SEARCH("万",$A$2)),10000,1))</f>
        <v/>
      </c>
      <c r="E35" s="226">
        <f>ROUND(HLOOKUP($E$3,bs!$C$1:$AB$110,MATCH(TRIM(A35),TRIM(bs!$B$1:$B$110),0),FALSE),0)/IF(ISNUMBER(SEARCH("亿",$A$2)),100000000,IF(ISNUMBER(SEARCH("万",$A$2)),10000,1))</f>
        <v/>
      </c>
      <c r="H35" s="209">
        <f>B35+C35+D35+E35</f>
        <v/>
      </c>
      <c r="I35">
        <f>A35</f>
        <v/>
      </c>
    </row>
    <row r="36" ht="18.75" customHeight="1">
      <c r="A36" s="141" t="inlineStr">
        <is>
          <t xml:space="preserve">  其他非流动金融资产 </t>
        </is>
      </c>
      <c r="B36" s="226">
        <f>ROUND(HLOOKUP($B$3,bs!$C$1:$AB$110,MATCH(TRIM(A36),TRIM(bs!$B$1:$B$110),0),FALSE),0)/IF(ISNUMBER(SEARCH("亿",$A$2)),100000000,IF(ISNUMBER(SEARCH("万",$A$2)),10000,1))</f>
        <v/>
      </c>
      <c r="C36" s="226">
        <f>ROUND(HLOOKUP($C$3,bs!$C$1:$AB$110,MATCH(TRIM(A36),TRIM(bs!$B$1:$B$110),0),FALSE),0)/IF(ISNUMBER(SEARCH("亿",$A$2)),100000000,IF(ISNUMBER(SEARCH("万",$A$2)),10000,1))</f>
        <v/>
      </c>
      <c r="D36" s="226">
        <f>ROUND(HLOOKUP($D$3,bs!$C$1:$AB$110,MATCH(TRIM(A36),TRIM(bs!$B$1:$B$110),0),FALSE),0)/IF(ISNUMBER(SEARCH("亿",$A$2)),100000000,IF(ISNUMBER(SEARCH("万",$A$2)),10000,1))</f>
        <v/>
      </c>
      <c r="E36" s="226">
        <f>ROUND(HLOOKUP($E$3,bs!$C$1:$AB$110,MATCH(TRIM(A36),TRIM(bs!$B$1:$B$110),0),FALSE),0)/IF(ISNUMBER(SEARCH("亿",$A$2)),100000000,IF(ISNUMBER(SEARCH("万",$A$2)),10000,1))</f>
        <v/>
      </c>
      <c r="H36" s="209">
        <f>B36+C36+D36+E36</f>
        <v/>
      </c>
      <c r="I36">
        <f>A36</f>
        <v/>
      </c>
    </row>
    <row r="37" ht="18.75" customHeight="1">
      <c r="A37" s="141" t="inlineStr">
        <is>
          <t xml:space="preserve">  投资性房地产 </t>
        </is>
      </c>
      <c r="B37" s="226">
        <f>ROUND(HLOOKUP($B$3,bs!$C$1:$AB$110,MATCH(TRIM(A37),TRIM(bs!$B$1:$B$110),0),FALSE),0)/IF(ISNUMBER(SEARCH("亿",$A$2)),100000000,IF(ISNUMBER(SEARCH("万",$A$2)),10000,1))</f>
        <v/>
      </c>
      <c r="C37" s="226">
        <f>ROUND(HLOOKUP($C$3,bs!$C$1:$AB$110,MATCH(TRIM(A37),TRIM(bs!$B$1:$B$110),0),FALSE),0)/IF(ISNUMBER(SEARCH("亿",$A$2)),100000000,IF(ISNUMBER(SEARCH("万",$A$2)),10000,1))</f>
        <v/>
      </c>
      <c r="D37" s="226">
        <f>ROUND(HLOOKUP($D$3,bs!$C$1:$AB$110,MATCH(TRIM(A37),TRIM(bs!$B$1:$B$110),0),FALSE),0)/IF(ISNUMBER(SEARCH("亿",$A$2)),100000000,IF(ISNUMBER(SEARCH("万",$A$2)),10000,1))</f>
        <v/>
      </c>
      <c r="E37" s="226">
        <f>ROUND(HLOOKUP($E$3,bs!$C$1:$AB$110,MATCH(TRIM(A37),TRIM(bs!$B$1:$B$110),0),FALSE),0)/IF(ISNUMBER(SEARCH("亿",$A$2)),100000000,IF(ISNUMBER(SEARCH("万",$A$2)),10000,1))</f>
        <v/>
      </c>
      <c r="H37" s="209">
        <f>B37+C37+D37+E37</f>
        <v/>
      </c>
      <c r="I37">
        <f>A37</f>
        <v/>
      </c>
    </row>
    <row r="38" ht="18.75" customHeight="1">
      <c r="A38" s="141" t="inlineStr">
        <is>
          <t xml:space="preserve">  固定资产 </t>
        </is>
      </c>
      <c r="B38" s="226">
        <f>ROUND(HLOOKUP($B$3,bs!$C$1:$AB$110,MATCH(TRIM(A38),TRIM(bs!$B$1:$B$110),0),FALSE),0)/IF(ISNUMBER(SEARCH("亿",$A$2)),100000000,IF(ISNUMBER(SEARCH("万",$A$2)),10000,1))</f>
        <v/>
      </c>
      <c r="C38" s="226">
        <f>ROUND(HLOOKUP($C$3,bs!$C$1:$AB$110,MATCH(TRIM(A38),TRIM(bs!$B$1:$B$110),0),FALSE),0)/IF(ISNUMBER(SEARCH("亿",$A$2)),100000000,IF(ISNUMBER(SEARCH("万",$A$2)),10000,1))</f>
        <v/>
      </c>
      <c r="D38" s="226">
        <f>ROUND(HLOOKUP($D$3,bs!$C$1:$AB$110,MATCH(TRIM(A38),TRIM(bs!$B$1:$B$110),0),FALSE),0)/IF(ISNUMBER(SEARCH("亿",$A$2)),100000000,IF(ISNUMBER(SEARCH("万",$A$2)),10000,1))</f>
        <v/>
      </c>
      <c r="E38" s="226">
        <f>ROUND(HLOOKUP($E$3,bs!$C$1:$AB$110,MATCH(TRIM(A38),TRIM(bs!$B$1:$B$110),0),FALSE),0)/IF(ISNUMBER(SEARCH("亿",$A$2)),100000000,IF(ISNUMBER(SEARCH("万",$A$2)),10000,1))</f>
        <v/>
      </c>
      <c r="H38" s="209">
        <f>B38+C38+D38+E38</f>
        <v/>
      </c>
      <c r="I38">
        <f>A38</f>
        <v/>
      </c>
      <c r="J38">
        <f>_xlfn.CONCAT(TEXT($E$3,"YYYY"),"年-",TEXT($C$3,"YYYY"),"年及",TEXT($B$3,"YYYY年MM月"),"，","拟承租人",I38,"分别为",TEXT(E38/10000,"0.00"),"亿元、",TEXT(D38/10000,"0.00"),"亿元、",TEXT(C38/10000,"0.00"),"亿元及",TEXT(B38/10000,"0.00"),"亿元。")</f>
        <v/>
      </c>
      <c r="M38" s="103">
        <f>(C38-D38)/D38</f>
        <v/>
      </c>
      <c r="N38" s="103">
        <f>(D38-E38)/E38</f>
        <v/>
      </c>
    </row>
    <row r="39" ht="18.75" customHeight="1">
      <c r="A39" s="141" t="inlineStr">
        <is>
          <t xml:space="preserve">  累计折旧</t>
        </is>
      </c>
      <c r="B39" s="226">
        <f>ROUND(HLOOKUP($B$3,bs!$C$1:$AB$110,MATCH(TRIM(A39),TRIM(bs!$B$1:$B$110),0),FALSE),0)/IF(ISNUMBER(SEARCH("亿",$A$2)),100000000,IF(ISNUMBER(SEARCH("万",$A$2)),10000,1))</f>
        <v/>
      </c>
      <c r="C39" s="226">
        <f>ROUND(HLOOKUP($C$3,bs!$C$1:$AB$110,MATCH(TRIM(A39),TRIM(bs!$B$1:$B$110),0),FALSE),0)/IF(ISNUMBER(SEARCH("亿",$A$2)),100000000,IF(ISNUMBER(SEARCH("万",$A$2)),10000,1))</f>
        <v/>
      </c>
      <c r="D39" s="226">
        <f>ROUND(HLOOKUP($D$3,bs!$C$1:$AB$110,MATCH(TRIM(A39),TRIM(bs!$B$1:$B$110),0),FALSE),0)/IF(ISNUMBER(SEARCH("亿",$A$2)),100000000,IF(ISNUMBER(SEARCH("万",$A$2)),10000,1))</f>
        <v/>
      </c>
      <c r="E39" s="226">
        <f>ROUND(HLOOKUP($E$3,bs!$C$1:$AB$110,MATCH(TRIM(A39),TRIM(bs!$B$1:$B$110),0),FALSE),0)/IF(ISNUMBER(SEARCH("亿",$A$2)),100000000,IF(ISNUMBER(SEARCH("万",$A$2)),10000,1))</f>
        <v/>
      </c>
      <c r="H39" s="209">
        <f>B39+C39+D39+E39</f>
        <v/>
      </c>
      <c r="I39">
        <f>A39</f>
        <v/>
      </c>
    </row>
    <row r="40" ht="18.75" customHeight="1">
      <c r="A40" s="141" t="inlineStr">
        <is>
          <t xml:space="preserve">  固定资产减值准备 </t>
        </is>
      </c>
      <c r="B40" s="226">
        <f>ROUND(HLOOKUP($B$3,bs!$C$1:$AB$110,MATCH(TRIM(A40),TRIM(bs!$B$1:$B$110),0),FALSE),0)/IF(ISNUMBER(SEARCH("亿",$A$2)),100000000,IF(ISNUMBER(SEARCH("万",$A$2)),10000,1))</f>
        <v/>
      </c>
      <c r="C40" s="226">
        <f>ROUND(HLOOKUP($C$3,bs!$C$1:$AB$110,MATCH(TRIM(A40),TRIM(bs!$B$1:$B$110),0),FALSE),0)/IF(ISNUMBER(SEARCH("亿",$A$2)),100000000,IF(ISNUMBER(SEARCH("万",$A$2)),10000,1))</f>
        <v/>
      </c>
      <c r="D40" s="226">
        <f>ROUND(HLOOKUP($D$3,bs!$C$1:$AB$110,MATCH(TRIM(A40),TRIM(bs!$B$1:$B$110),0),FALSE),0)/IF(ISNUMBER(SEARCH("亿",$A$2)),100000000,IF(ISNUMBER(SEARCH("万",$A$2)),10000,1))</f>
        <v/>
      </c>
      <c r="E40" s="226">
        <f>ROUND(HLOOKUP($E$3,bs!$C$1:$AB$110,MATCH(TRIM(A40),TRIM(bs!$B$1:$B$110),0),FALSE),0)/IF(ISNUMBER(SEARCH("亿",$A$2)),100000000,IF(ISNUMBER(SEARCH("万",$A$2)),10000,1))</f>
        <v/>
      </c>
      <c r="H40" s="209">
        <f>B40+C40+D40+E40</f>
        <v/>
      </c>
      <c r="I40">
        <f>A40</f>
        <v/>
      </c>
    </row>
    <row r="41" ht="18.75" customHeight="1">
      <c r="A41" s="141" t="inlineStr">
        <is>
          <t xml:space="preserve">  固定资产净额</t>
        </is>
      </c>
      <c r="B41" s="226">
        <f>ROUND(HLOOKUP($B$3,bs!$C$1:$AB$110,MATCH(TRIM(A41),TRIM(bs!$B$1:$B$110),0),FALSE),0)/IF(ISNUMBER(SEARCH("亿",$A$2)),100000000,IF(ISNUMBER(SEARCH("万",$A$2)),10000,1))</f>
        <v/>
      </c>
      <c r="C41" s="226">
        <f>ROUND(HLOOKUP($C$3,bs!$C$1:$AB$110,MATCH(TRIM(A41),TRIM(bs!$B$1:$B$110),0),FALSE),0)/IF(ISNUMBER(SEARCH("亿",$A$2)),100000000,IF(ISNUMBER(SEARCH("万",$A$2)),10000,1))</f>
        <v/>
      </c>
      <c r="D41" s="226">
        <f>ROUND(HLOOKUP($D$3,bs!$C$1:$AB$110,MATCH(TRIM(A41),TRIM(bs!$B$1:$B$110),0),FALSE),0)/IF(ISNUMBER(SEARCH("亿",$A$2)),100000000,IF(ISNUMBER(SEARCH("万",$A$2)),10000,1))</f>
        <v/>
      </c>
      <c r="E41" s="226">
        <f>ROUND(HLOOKUP($E$3,bs!$C$1:$AB$110,MATCH(TRIM(A41),TRIM(bs!$B$1:$B$110),0),FALSE),0)/IF(ISNUMBER(SEARCH("亿",$A$2)),100000000,IF(ISNUMBER(SEARCH("万",$A$2)),10000,1))</f>
        <v/>
      </c>
      <c r="H41" s="209">
        <f>B41+C41+D41+E41</f>
        <v/>
      </c>
      <c r="I41">
        <f>A41</f>
        <v/>
      </c>
      <c r="J41">
        <f>_xlfn.CONCAT(TEXT($E$3,"YYYY"),"年-",TEXT($C$3,"YYYY"),"年及",TEXT($B$3,"YYYY年MM月"),"，","拟承租人",I41,"分别为",TEXT(E41/10000,"0.00"),"亿元、",TEXT(D41/10000,"0.00"),"亿元、",TEXT(C41/10000,"0.00"),"亿元及",TEXT(B41/10000,"0.00"),"亿元。")</f>
        <v/>
      </c>
      <c r="M41" s="103">
        <f>(C41-D41)/D41</f>
        <v/>
      </c>
      <c r="N41" s="103">
        <f>(D41-E41)/E41</f>
        <v/>
      </c>
    </row>
    <row r="42" ht="18.75" customHeight="1">
      <c r="A42" s="141" t="inlineStr">
        <is>
          <t xml:space="preserve">  固定资产清理</t>
        </is>
      </c>
      <c r="B42" s="226">
        <f>ROUND(HLOOKUP($B$3,bs!$C$1:$AB$110,MATCH(TRIM(A42),TRIM(bs!$B$1:$B$110),0),FALSE),0)/IF(ISNUMBER(SEARCH("亿",$A$2)),100000000,IF(ISNUMBER(SEARCH("万",$A$2)),10000,1))</f>
        <v/>
      </c>
      <c r="C42" s="226">
        <f>ROUND(HLOOKUP($C$3,bs!$C$1:$AB$110,MATCH(TRIM(A42),TRIM(bs!$B$1:$B$110),0),FALSE),0)/IF(ISNUMBER(SEARCH("亿",$A$2)),100000000,IF(ISNUMBER(SEARCH("万",$A$2)),10000,1))</f>
        <v/>
      </c>
      <c r="D42" s="226">
        <f>ROUND(HLOOKUP($D$3,bs!$C$1:$AB$110,MATCH(TRIM(A42),TRIM(bs!$B$1:$B$110),0),FALSE),0)/IF(ISNUMBER(SEARCH("亿",$A$2)),100000000,IF(ISNUMBER(SEARCH("万",$A$2)),10000,1))</f>
        <v/>
      </c>
      <c r="E42" s="226">
        <f>ROUND(HLOOKUP($E$3,bs!$C$1:$AB$110,MATCH(TRIM(A42),TRIM(bs!$B$1:$B$110),0),FALSE),0)/IF(ISNUMBER(SEARCH("亿",$A$2)),100000000,IF(ISNUMBER(SEARCH("万",$A$2)),10000,1))</f>
        <v/>
      </c>
      <c r="H42" s="209">
        <f>B42+C42+D42+E42</f>
        <v/>
      </c>
      <c r="I42">
        <f>A42</f>
        <v/>
      </c>
    </row>
    <row r="43" ht="18.75" customHeight="1">
      <c r="A43" s="141" t="inlineStr">
        <is>
          <t xml:space="preserve">  工程物资</t>
        </is>
      </c>
      <c r="B43" s="226">
        <f>ROUND(HLOOKUP($B$3,bs!$C$1:$AB$110,MATCH(TRIM(A43),TRIM(bs!$B$1:$B$110),0),FALSE),0)/IF(ISNUMBER(SEARCH("亿",$A$2)),100000000,IF(ISNUMBER(SEARCH("万",$A$2)),10000,1))</f>
        <v/>
      </c>
      <c r="C43" s="226">
        <f>ROUND(HLOOKUP($C$3,bs!$C$1:$AB$110,MATCH(TRIM(A43),TRIM(bs!$B$1:$B$110),0),FALSE),0)/IF(ISNUMBER(SEARCH("亿",$A$2)),100000000,IF(ISNUMBER(SEARCH("万",$A$2)),10000,1))</f>
        <v/>
      </c>
      <c r="D43" s="226">
        <f>ROUND(HLOOKUP($D$3,bs!$C$1:$AB$110,MATCH(TRIM(A43),TRIM(bs!$B$1:$B$110),0),FALSE),0)/IF(ISNUMBER(SEARCH("亿",$A$2)),100000000,IF(ISNUMBER(SEARCH("万",$A$2)),10000,1))</f>
        <v/>
      </c>
      <c r="E43" s="226">
        <f>ROUND(HLOOKUP($E$3,bs!$C$1:$AB$110,MATCH(TRIM(A43),TRIM(bs!$B$1:$B$110),0),FALSE),0)/IF(ISNUMBER(SEARCH("亿",$A$2)),100000000,IF(ISNUMBER(SEARCH("万",$A$2)),10000,1))</f>
        <v/>
      </c>
      <c r="H43" s="209">
        <f>B43+C43+D43+E43</f>
        <v/>
      </c>
      <c r="I43">
        <f>A43</f>
        <v/>
      </c>
    </row>
    <row r="44" ht="18.75" customHeight="1">
      <c r="A44" s="141" t="inlineStr">
        <is>
          <t xml:space="preserve">  在建工程 </t>
        </is>
      </c>
      <c r="B44" s="226">
        <f>ROUND(HLOOKUP($B$3,bs!$C$1:$AB$110,MATCH(TRIM(A44),TRIM(bs!$B$1:$B$110),0),FALSE),0)/IF(ISNUMBER(SEARCH("亿",$A$2)),100000000,IF(ISNUMBER(SEARCH("万",$A$2)),10000,1))</f>
        <v/>
      </c>
      <c r="C44" s="226">
        <f>ROUND(HLOOKUP($C$3,bs!$C$1:$AB$110,MATCH(TRIM(A44),TRIM(bs!$B$1:$B$110),0),FALSE),0)/IF(ISNUMBER(SEARCH("亿",$A$2)),100000000,IF(ISNUMBER(SEARCH("万",$A$2)),10000,1))</f>
        <v/>
      </c>
      <c r="D44" s="226">
        <f>ROUND(HLOOKUP($D$3,bs!$C$1:$AB$110,MATCH(TRIM(A44),TRIM(bs!$B$1:$B$110),0),FALSE),0)/IF(ISNUMBER(SEARCH("亿",$A$2)),100000000,IF(ISNUMBER(SEARCH("万",$A$2)),10000,1))</f>
        <v/>
      </c>
      <c r="E44" s="226">
        <f>ROUND(HLOOKUP($E$3,bs!$C$1:$AB$110,MATCH(TRIM(A44),TRIM(bs!$B$1:$B$110),0),FALSE),0)/IF(ISNUMBER(SEARCH("亿",$A$2)),100000000,IF(ISNUMBER(SEARCH("万",$A$2)),10000,1))</f>
        <v/>
      </c>
      <c r="H44" s="209">
        <f>B44+C44+D44+E44</f>
        <v/>
      </c>
      <c r="I44">
        <f>A44</f>
        <v/>
      </c>
      <c r="J44">
        <f>_xlfn.CONCAT(TEXT($E$3,"YYYY"),"年-",TEXT($C$3,"YYYY"),"年及",TEXT($B$3,"YYYY年MM月"),"，","拟承租人",I44,"分别为",TEXT(E44/10000,"0.00"),"亿元、",TEXT(D44/10000,"0.00"),"亿元、",TEXT(C44/10000,"0.00"),"亿元及",TEXT(B44/10000,"0.00"),"亿元。")</f>
        <v/>
      </c>
      <c r="M44" s="103">
        <f>(C44-D44)/D44</f>
        <v/>
      </c>
      <c r="N44" s="103">
        <f>(D44-E44)/E44</f>
        <v/>
      </c>
    </row>
    <row r="45" ht="18.75" customHeight="1">
      <c r="A45" s="141" t="inlineStr">
        <is>
          <t xml:space="preserve">  生产性生物资产 </t>
        </is>
      </c>
      <c r="B45" s="226">
        <f>ROUND(HLOOKUP($B$3,bs!$C$1:$AB$110,MATCH(TRIM(A45),TRIM(bs!$B$1:$B$110),0),FALSE),0)/IF(ISNUMBER(SEARCH("亿",$A$2)),100000000,IF(ISNUMBER(SEARCH("万",$A$2)),10000,1))</f>
        <v/>
      </c>
      <c r="C45" s="226">
        <f>ROUND(HLOOKUP($C$3,bs!$C$1:$AB$110,MATCH(TRIM(A45),TRIM(bs!$B$1:$B$110),0),FALSE),0)/IF(ISNUMBER(SEARCH("亿",$A$2)),100000000,IF(ISNUMBER(SEARCH("万",$A$2)),10000,1))</f>
        <v/>
      </c>
      <c r="D45" s="226">
        <f>ROUND(HLOOKUP($D$3,bs!$C$1:$AB$110,MATCH(TRIM(A45),TRIM(bs!$B$1:$B$110),0),FALSE),0)/IF(ISNUMBER(SEARCH("亿",$A$2)),100000000,IF(ISNUMBER(SEARCH("万",$A$2)),10000,1))</f>
        <v/>
      </c>
      <c r="E45" s="226">
        <f>ROUND(HLOOKUP($E$3,bs!$C$1:$AB$110,MATCH(TRIM(A45),TRIM(bs!$B$1:$B$110),0),FALSE),0)/IF(ISNUMBER(SEARCH("亿",$A$2)),100000000,IF(ISNUMBER(SEARCH("万",$A$2)),10000,1))</f>
        <v/>
      </c>
      <c r="H45" s="209">
        <f>B45+C45+D45+E45</f>
        <v/>
      </c>
      <c r="I45">
        <f>A45</f>
        <v/>
      </c>
    </row>
    <row r="46" ht="18.75" customHeight="1">
      <c r="A46" s="141" t="inlineStr">
        <is>
          <t xml:space="preserve">  油气资产 </t>
        </is>
      </c>
      <c r="B46" s="226">
        <f>ROUND(HLOOKUP($B$3,bs!$C$1:$AB$110,MATCH(TRIM(A46),TRIM(bs!$B$1:$B$110),0),FALSE),0)/IF(ISNUMBER(SEARCH("亿",$A$2)),100000000,IF(ISNUMBER(SEARCH("万",$A$2)),10000,1))</f>
        <v/>
      </c>
      <c r="C46" s="226">
        <f>ROUND(HLOOKUP($C$3,bs!$C$1:$AB$110,MATCH(TRIM(A46),TRIM(bs!$B$1:$B$110),0),FALSE),0)/IF(ISNUMBER(SEARCH("亿",$A$2)),100000000,IF(ISNUMBER(SEARCH("万",$A$2)),10000,1))</f>
        <v/>
      </c>
      <c r="D46" s="226">
        <f>ROUND(HLOOKUP($D$3,bs!$C$1:$AB$110,MATCH(TRIM(A46),TRIM(bs!$B$1:$B$110),0),FALSE),0)/IF(ISNUMBER(SEARCH("亿",$A$2)),100000000,IF(ISNUMBER(SEARCH("万",$A$2)),10000,1))</f>
        <v/>
      </c>
      <c r="E46" s="226">
        <f>ROUND(HLOOKUP($E$3,bs!$C$1:$AB$110,MATCH(TRIM(A46),TRIM(bs!$B$1:$B$110),0),FALSE),0)/IF(ISNUMBER(SEARCH("亿",$A$2)),100000000,IF(ISNUMBER(SEARCH("万",$A$2)),10000,1))</f>
        <v/>
      </c>
      <c r="H46" s="209">
        <f>B46+C46+D46+E46</f>
        <v/>
      </c>
      <c r="I46">
        <f>A46</f>
        <v/>
      </c>
    </row>
    <row r="47" ht="18.75" customHeight="1">
      <c r="A47" s="141" t="inlineStr">
        <is>
          <t xml:space="preserve">  使用权资产 </t>
        </is>
      </c>
      <c r="B47" s="226">
        <f>ROUND(HLOOKUP($B$3,bs!$C$1:$AB$110,MATCH(TRIM(A47),TRIM(bs!$B$1:$B$110),0),FALSE),0)/IF(ISNUMBER(SEARCH("亿",$A$2)),100000000,IF(ISNUMBER(SEARCH("万",$A$2)),10000,1))</f>
        <v/>
      </c>
      <c r="C47" s="226">
        <f>ROUND(HLOOKUP($C$3,bs!$C$1:$AB$110,MATCH(TRIM(A47),TRIM(bs!$B$1:$B$110),0),FALSE),0)/IF(ISNUMBER(SEARCH("亿",$A$2)),100000000,IF(ISNUMBER(SEARCH("万",$A$2)),10000,1))</f>
        <v/>
      </c>
      <c r="D47" s="226">
        <f>ROUND(HLOOKUP($D$3,bs!$C$1:$AB$110,MATCH(TRIM(A47),TRIM(bs!$B$1:$B$110),0),FALSE),0)/IF(ISNUMBER(SEARCH("亿",$A$2)),100000000,IF(ISNUMBER(SEARCH("万",$A$2)),10000,1))</f>
        <v/>
      </c>
      <c r="E47" s="226">
        <f>ROUND(HLOOKUP($E$3,bs!$C$1:$AB$110,MATCH(TRIM(A47),TRIM(bs!$B$1:$B$110),0),FALSE),0)/IF(ISNUMBER(SEARCH("亿",$A$2)),100000000,IF(ISNUMBER(SEARCH("万",$A$2)),10000,1))</f>
        <v/>
      </c>
      <c r="H47" s="209">
        <f>B47+C47+D47+E47</f>
        <v/>
      </c>
      <c r="I47">
        <f>A47</f>
        <v/>
      </c>
      <c r="J47">
        <f>_xlfn.CONCAT(TEXT($E$3,"YYYY"),"年-",TEXT($C$3,"YYYY"),"年及",TEXT($B$3,"YYYY年MM月"),"，","拟承租人",I47,"分别为",TEXT(E47/10000,"0.00"),"亿元、",TEXT(D47/10000,"0.00"),"亿元、",TEXT(C47/10000,"0.00"),"亿元及",TEXT(B47/10000,"0.00"),"亿元。")</f>
        <v/>
      </c>
      <c r="M47" s="103">
        <f>(C47-D47)/D47</f>
        <v/>
      </c>
      <c r="N47" s="103">
        <f>(D47-E47)/E47</f>
        <v/>
      </c>
    </row>
    <row r="48" ht="18.75" customHeight="1">
      <c r="A48" s="141" t="inlineStr">
        <is>
          <t xml:space="preserve">  无形资产 </t>
        </is>
      </c>
      <c r="B48" s="226">
        <f>ROUND(HLOOKUP($B$3,bs!$C$1:$AB$110,MATCH(TRIM(A48),TRIM(bs!$B$1:$B$110),0),FALSE),0)/IF(ISNUMBER(SEARCH("亿",$A$2)),100000000,IF(ISNUMBER(SEARCH("万",$A$2)),10000,1))</f>
        <v/>
      </c>
      <c r="C48" s="226">
        <f>ROUND(HLOOKUP($C$3,bs!$C$1:$AB$110,MATCH(TRIM(A48),TRIM(bs!$B$1:$B$110),0),FALSE),0)/IF(ISNUMBER(SEARCH("亿",$A$2)),100000000,IF(ISNUMBER(SEARCH("万",$A$2)),10000,1))</f>
        <v/>
      </c>
      <c r="D48" s="226">
        <f>ROUND(HLOOKUP($D$3,bs!$C$1:$AB$110,MATCH(TRIM(A48),TRIM(bs!$B$1:$B$110),0),FALSE),0)/IF(ISNUMBER(SEARCH("亿",$A$2)),100000000,IF(ISNUMBER(SEARCH("万",$A$2)),10000,1))</f>
        <v/>
      </c>
      <c r="E48" s="226">
        <f>ROUND(HLOOKUP($E$3,bs!$C$1:$AB$110,MATCH(TRIM(A48),TRIM(bs!$B$1:$B$110),0),FALSE),0)/IF(ISNUMBER(SEARCH("亿",$A$2)),100000000,IF(ISNUMBER(SEARCH("万",$A$2)),10000,1))</f>
        <v/>
      </c>
      <c r="H48" s="209">
        <f>B48+C48+D48+E48</f>
        <v/>
      </c>
      <c r="I48">
        <f>A48</f>
        <v/>
      </c>
      <c r="J48">
        <f>_xlfn.CONCAT(TEXT($E$3,"YYYY"),"年-",TEXT($C$3,"YYYY"),"年及",TEXT($B$3,"YYYY年MM月"),"，","拟承租人",I48,"分别为",TEXT(E48/10000,"0.00"),"亿元、",TEXT(D48/10000,"0.00"),"亿元、",TEXT(C48/10000,"0.00"),"亿元及",TEXT(B48/10000,"0.00"),"亿元。")</f>
        <v/>
      </c>
      <c r="M48" s="103">
        <f>(C48-D48)/D48</f>
        <v/>
      </c>
      <c r="N48" s="103">
        <f>(D48-E48)/E48</f>
        <v/>
      </c>
    </row>
    <row r="49" ht="18.75" customHeight="1">
      <c r="A49" s="141" t="inlineStr">
        <is>
          <t xml:space="preserve">  开发支出 </t>
        </is>
      </c>
      <c r="B49" s="226">
        <f>ROUND(HLOOKUP($B$3,bs!$C$1:$AB$110,MATCH(TRIM(A49),TRIM(bs!$B$1:$B$110),0),FALSE),0)/IF(ISNUMBER(SEARCH("亿",$A$2)),100000000,IF(ISNUMBER(SEARCH("万",$A$2)),10000,1))</f>
        <v/>
      </c>
      <c r="C49" s="226">
        <f>ROUND(HLOOKUP($C$3,bs!$C$1:$AB$110,MATCH(TRIM(A49),TRIM(bs!$B$1:$B$110),0),FALSE),0)/IF(ISNUMBER(SEARCH("亿",$A$2)),100000000,IF(ISNUMBER(SEARCH("万",$A$2)),10000,1))</f>
        <v/>
      </c>
      <c r="D49" s="226">
        <f>ROUND(HLOOKUP($D$3,bs!$C$1:$AB$110,MATCH(TRIM(A49),TRIM(bs!$B$1:$B$110),0),FALSE),0)/IF(ISNUMBER(SEARCH("亿",$A$2)),100000000,IF(ISNUMBER(SEARCH("万",$A$2)),10000,1))</f>
        <v/>
      </c>
      <c r="E49" s="226">
        <f>ROUND(HLOOKUP($E$3,bs!$C$1:$AB$110,MATCH(TRIM(A49),TRIM(bs!$B$1:$B$110),0),FALSE),0)/IF(ISNUMBER(SEARCH("亿",$A$2)),100000000,IF(ISNUMBER(SEARCH("万",$A$2)),10000,1))</f>
        <v/>
      </c>
      <c r="H49" s="209">
        <f>B49+C49+D49+E49</f>
        <v/>
      </c>
      <c r="I49">
        <f>A49</f>
        <v/>
      </c>
    </row>
    <row r="50" ht="18.75" customHeight="1">
      <c r="A50" s="141" t="inlineStr">
        <is>
          <t xml:space="preserve">  商誉 </t>
        </is>
      </c>
      <c r="B50" s="226">
        <f>ROUND(HLOOKUP($B$3,bs!$C$1:$AB$110,MATCH(TRIM(A50),TRIM(bs!$B$1:$B$110),0),FALSE),0)/IF(ISNUMBER(SEARCH("亿",$A$2)),100000000,IF(ISNUMBER(SEARCH("万",$A$2)),10000,1))</f>
        <v/>
      </c>
      <c r="C50" s="226">
        <f>ROUND(HLOOKUP($C$3,bs!$C$1:$AB$110,MATCH(TRIM(A50),TRIM(bs!$B$1:$B$110),0),FALSE),0)/IF(ISNUMBER(SEARCH("亿",$A$2)),100000000,IF(ISNUMBER(SEARCH("万",$A$2)),10000,1))</f>
        <v/>
      </c>
      <c r="D50" s="226">
        <f>ROUND(HLOOKUP($D$3,bs!$C$1:$AB$110,MATCH(TRIM(A50),TRIM(bs!$B$1:$B$110),0),FALSE),0)/IF(ISNUMBER(SEARCH("亿",$A$2)),100000000,IF(ISNUMBER(SEARCH("万",$A$2)),10000,1))</f>
        <v/>
      </c>
      <c r="E50" s="226">
        <f>ROUND(HLOOKUP($E$3,bs!$C$1:$AB$110,MATCH(TRIM(A50),TRIM(bs!$B$1:$B$110),0),FALSE),0)/IF(ISNUMBER(SEARCH("亿",$A$2)),100000000,IF(ISNUMBER(SEARCH("万",$A$2)),10000,1))</f>
        <v/>
      </c>
      <c r="H50" s="209">
        <f>B50+C50+D50+E50</f>
        <v/>
      </c>
      <c r="I50">
        <f>A50</f>
        <v/>
      </c>
    </row>
    <row r="51" ht="18.75" customHeight="1">
      <c r="A51" s="141" t="inlineStr">
        <is>
          <t xml:space="preserve">  长期待摊费用 </t>
        </is>
      </c>
      <c r="B51" s="226">
        <f>ROUND(HLOOKUP($B$3,bs!$C$1:$AB$110,MATCH(TRIM(A51),TRIM(bs!$B$1:$B$110),0),FALSE),0)/IF(ISNUMBER(SEARCH("亿",$A$2)),100000000,IF(ISNUMBER(SEARCH("万",$A$2)),10000,1))</f>
        <v/>
      </c>
      <c r="C51" s="226">
        <f>ROUND(HLOOKUP($C$3,bs!$C$1:$AB$110,MATCH(TRIM(A51),TRIM(bs!$B$1:$B$110),0),FALSE),0)/IF(ISNUMBER(SEARCH("亿",$A$2)),100000000,IF(ISNUMBER(SEARCH("万",$A$2)),10000,1))</f>
        <v/>
      </c>
      <c r="D51" s="226">
        <f>ROUND(HLOOKUP($D$3,bs!$C$1:$AB$110,MATCH(TRIM(A51),TRIM(bs!$B$1:$B$110),0),FALSE),0)/IF(ISNUMBER(SEARCH("亿",$A$2)),100000000,IF(ISNUMBER(SEARCH("万",$A$2)),10000,1))</f>
        <v/>
      </c>
      <c r="E51" s="226">
        <f>ROUND(HLOOKUP($E$3,bs!$C$1:$AB$110,MATCH(TRIM(A51),TRIM(bs!$B$1:$B$110),0),FALSE),0)/IF(ISNUMBER(SEARCH("亿",$A$2)),100000000,IF(ISNUMBER(SEARCH("万",$A$2)),10000,1))</f>
        <v/>
      </c>
      <c r="H51" s="209">
        <f>B51+C51+D51+E51</f>
        <v/>
      </c>
      <c r="I51">
        <f>A51</f>
        <v/>
      </c>
      <c r="J51">
        <f>_xlfn.CONCAT(TEXT($E$3,"YYYY"),"年-",TEXT($C$3,"YYYY"),"年及",TEXT($B$3,"YYYY年MM月"),"，","拟承租人",I51,"分别为",TEXT(E51/10000,"0.00"),"亿元、",TEXT(D51/10000,"0.00"),"亿元、",TEXT(C51/10000,"0.00"),"亿元及",TEXT(B51/10000,"0.00"),"亿元。")</f>
        <v/>
      </c>
      <c r="M51" s="103">
        <f>(C51-D51)/D51</f>
        <v/>
      </c>
      <c r="N51" s="103">
        <f>(D51-E51)/E51</f>
        <v/>
      </c>
    </row>
    <row r="52" ht="18.75" customHeight="1">
      <c r="A52" s="141" t="inlineStr">
        <is>
          <t xml:space="preserve">  递延所得税资产 </t>
        </is>
      </c>
      <c r="B52" s="226">
        <f>ROUND(HLOOKUP($B$3,bs!$C$1:$AB$110,MATCH(TRIM(A52),TRIM(bs!$B$1:$B$110),0),FALSE),0)/IF(ISNUMBER(SEARCH("亿",$A$2)),100000000,IF(ISNUMBER(SEARCH("万",$A$2)),10000,1))</f>
        <v/>
      </c>
      <c r="C52" s="226">
        <f>ROUND(HLOOKUP($C$3,bs!$C$1:$AB$110,MATCH(TRIM(A52),TRIM(bs!$B$1:$B$110),0),FALSE),0)/IF(ISNUMBER(SEARCH("亿",$A$2)),100000000,IF(ISNUMBER(SEARCH("万",$A$2)),10000,1))</f>
        <v/>
      </c>
      <c r="D52" s="226">
        <f>ROUND(HLOOKUP($D$3,bs!$C$1:$AB$110,MATCH(TRIM(A52),TRIM(bs!$B$1:$B$110),0),FALSE),0)/IF(ISNUMBER(SEARCH("亿",$A$2)),100000000,IF(ISNUMBER(SEARCH("万",$A$2)),10000,1))</f>
        <v/>
      </c>
      <c r="E52" s="226">
        <f>ROUND(HLOOKUP($E$3,bs!$C$1:$AB$110,MATCH(TRIM(A52),TRIM(bs!$B$1:$B$110),0),FALSE),0)/IF(ISNUMBER(SEARCH("亿",$A$2)),100000000,IF(ISNUMBER(SEARCH("万",$A$2)),10000,1))</f>
        <v/>
      </c>
      <c r="H52" s="209">
        <f>B52+C52+D52+E52</f>
        <v/>
      </c>
      <c r="I52">
        <f>A52</f>
        <v/>
      </c>
      <c r="J52">
        <f>_xlfn.CONCAT(TEXT($E$3,"YYYY"),"年-",TEXT($C$3,"YYYY"),"年及",TEXT($B$3,"YYYY年MM月"),"，","拟承租人",I52,"分别为",TEXT(E52/10000,"0.00"),"亿元、",TEXT(D52/10000,"0.00"),"亿元、",TEXT(C52/10000,"0.00"),"亿元及",TEXT(B52/10000,"0.00"),"亿元。")</f>
        <v/>
      </c>
      <c r="M52" s="103">
        <f>(C52-D52)/D52</f>
        <v/>
      </c>
      <c r="N52" s="103">
        <f>(D52-E52)/E52</f>
        <v/>
      </c>
    </row>
    <row r="53" ht="18.75" customHeight="1">
      <c r="A53" s="141" t="inlineStr">
        <is>
          <t xml:space="preserve">  其他非流动资产 </t>
        </is>
      </c>
      <c r="B53" s="226">
        <f>ROUND(HLOOKUP($B$3,bs!$C$1:$AB$110,MATCH(TRIM(A53),TRIM(bs!$B$1:$B$110),0),FALSE),0)/IF(ISNUMBER(SEARCH("亿",$A$2)),100000000,IF(ISNUMBER(SEARCH("万",$A$2)),10000,1))</f>
        <v/>
      </c>
      <c r="C53" s="226">
        <f>ROUND(HLOOKUP($C$3,bs!$C$1:$AB$110,MATCH(TRIM(A53),TRIM(bs!$B$1:$B$110),0),FALSE),0)/IF(ISNUMBER(SEARCH("亿",$A$2)),100000000,IF(ISNUMBER(SEARCH("万",$A$2)),10000,1))</f>
        <v/>
      </c>
      <c r="D53" s="226">
        <f>ROUND(HLOOKUP($D$3,bs!$C$1:$AB$110,MATCH(TRIM(A53),TRIM(bs!$B$1:$B$110),0),FALSE),0)/IF(ISNUMBER(SEARCH("亿",$A$2)),100000000,IF(ISNUMBER(SEARCH("万",$A$2)),10000,1))</f>
        <v/>
      </c>
      <c r="E53" s="226">
        <f>ROUND(HLOOKUP($E$3,bs!$C$1:$AB$110,MATCH(TRIM(A53),TRIM(bs!$B$1:$B$110),0),FALSE),0)/IF(ISNUMBER(SEARCH("亿",$A$2)),100000000,IF(ISNUMBER(SEARCH("万",$A$2)),10000,1))</f>
        <v/>
      </c>
      <c r="H53" s="209">
        <f>B53+C53+D53+E53</f>
        <v/>
      </c>
      <c r="I53">
        <f>A53</f>
        <v/>
      </c>
      <c r="J53">
        <f>_xlfn.CONCAT(TEXT($E$3,"YYYY"),"年-",TEXT($C$3,"YYYY"),"年及",TEXT($B$3,"YYYY年MM月"),"，","拟承租人",I53,"分别为",TEXT(E53/10000,"0.00"),"亿元、",TEXT(D53/10000,"0.00"),"亿元、",TEXT(C53/10000,"0.00"),"亿元及",TEXT(B53/10000,"0.00"),"亿元。")</f>
        <v/>
      </c>
      <c r="M53" s="103">
        <f>(C53-D53)/D53</f>
        <v/>
      </c>
      <c r="N53" s="103">
        <f>(D53-E53)/E53</f>
        <v/>
      </c>
    </row>
    <row r="54" ht="18.75" customHeight="1">
      <c r="A54" s="144" t="inlineStr">
        <is>
          <t>非流动资产合计</t>
        </is>
      </c>
      <c r="B54" s="226">
        <f>ROUND(HLOOKUP($B$3,bs!$C$1:$AB$110,MATCH(TRIM(A54),TRIM(bs!$B$1:$B$110),0),FALSE),0)/IF(ISNUMBER(SEARCH("亿",$A$2)),100000000,IF(ISNUMBER(SEARCH("万",$A$2)),10000,1))</f>
        <v/>
      </c>
      <c r="C54" s="226">
        <f>ROUND(HLOOKUP($C$3,bs!$C$1:$AB$110,MATCH(TRIM(A54),TRIM(bs!$B$1:$B$110),0),FALSE),0)/IF(ISNUMBER(SEARCH("亿",$A$2)),100000000,IF(ISNUMBER(SEARCH("万",$A$2)),10000,1))</f>
        <v/>
      </c>
      <c r="D54" s="226">
        <f>ROUND(HLOOKUP($D$3,bs!$C$1:$AB$110,MATCH(TRIM(A54),TRIM(bs!$B$1:$B$110),0),FALSE),0)/IF(ISNUMBER(SEARCH("亿",$A$2)),100000000,IF(ISNUMBER(SEARCH("万",$A$2)),10000,1))</f>
        <v/>
      </c>
      <c r="E54" s="226">
        <f>ROUND(HLOOKUP($E$3,bs!$C$1:$AB$110,MATCH(TRIM(A54),TRIM(bs!$B$1:$B$110),0),FALSE),0)/IF(ISNUMBER(SEARCH("亿",$A$2)),100000000,IF(ISNUMBER(SEARCH("万",$A$2)),10000,1))</f>
        <v/>
      </c>
      <c r="H54" s="209">
        <f>B54+C54+D54+E54</f>
        <v/>
      </c>
      <c r="I54">
        <f>A54</f>
        <v/>
      </c>
      <c r="J54">
        <f>_xlfn.CONCAT(TEXT($E$3,"YYYY"),"年-",TEXT($C$3,"YYYY"),"年及",TEXT($B$3,"YYYY年MM月"),"，","拟承租人",I54,"分别为",TEXT(E54/10000,"0.00"),"亿元、",TEXT(D54/10000,"0.00"),"亿元、",TEXT(C54/10000,"0.00"),"亿元及",TEXT(B54/10000,"0.00"),"亿元。")</f>
        <v/>
      </c>
      <c r="M54" s="103">
        <f>(C54-D54)/D54</f>
        <v/>
      </c>
      <c r="N54" s="103">
        <f>(D54-E54)/E54</f>
        <v/>
      </c>
    </row>
    <row r="55" ht="18.75" customHeight="1">
      <c r="A55" s="144" t="inlineStr">
        <is>
          <t>资产总计</t>
        </is>
      </c>
      <c r="B55" s="226">
        <f>ROUND(HLOOKUP($B$3,bs!$C$1:$AB$110,MATCH(TRIM(A55),TRIM(bs!$B$1:$B$110),0),FALSE),0)/IF(ISNUMBER(SEARCH("亿",$A$2)),100000000,IF(ISNUMBER(SEARCH("万",$A$2)),10000,1))</f>
        <v/>
      </c>
      <c r="C55" s="226">
        <f>ROUND(HLOOKUP($C$3,bs!$C$1:$AB$110,MATCH(TRIM(A55),TRIM(bs!$B$1:$B$110),0),FALSE),0)/IF(ISNUMBER(SEARCH("亿",$A$2)),100000000,IF(ISNUMBER(SEARCH("万",$A$2)),10000,1))</f>
        <v/>
      </c>
      <c r="D55" s="226">
        <f>ROUND(HLOOKUP($D$3,bs!$C$1:$AB$110,MATCH(TRIM(A55),TRIM(bs!$B$1:$B$110),0),FALSE),0)/IF(ISNUMBER(SEARCH("亿",$A$2)),100000000,IF(ISNUMBER(SEARCH("万",$A$2)),10000,1))</f>
        <v/>
      </c>
      <c r="E55" s="226">
        <f>ROUND(HLOOKUP($E$3,bs!$C$1:$AB$110,MATCH(TRIM(A55),TRIM(bs!$B$1:$B$110),0),FALSE),0)/IF(ISNUMBER(SEARCH("亿",$A$2)),100000000,IF(ISNUMBER(SEARCH("万",$A$2)),10000,1))</f>
        <v/>
      </c>
      <c r="H55" s="209">
        <f>B55+C55+D55+E55</f>
        <v/>
      </c>
      <c r="I55">
        <f>A55</f>
        <v/>
      </c>
      <c r="J55">
        <f>_xlfn.CONCAT(TEXT($E$3,"YYYY"),"年-",TEXT($C$3,"YYYY"),"年及",TEXT($B$3,"YYYY年MM月"),"，","拟承租人",I55,"分别为",TEXT(E55/10000,"0.00"),"亿元、",TEXT(D55/10000,"0.00"),"亿元、",TEXT(C55/10000,"0.00"),"亿元及",TEXT(B55/10000,"0.00"),"亿元。")</f>
        <v/>
      </c>
      <c r="M55" s="103">
        <f>(C55-D55)/D55</f>
        <v/>
      </c>
      <c r="N55" s="103">
        <f>(D55-E55)/E55</f>
        <v/>
      </c>
    </row>
    <row r="56" ht="18.75" customHeight="1">
      <c r="A56" s="141" t="inlineStr">
        <is>
          <t xml:space="preserve">  短期借款 </t>
        </is>
      </c>
      <c r="B56" s="226">
        <f>ROUND(HLOOKUP($B$3,bs!$C$1:$AB$110,MATCH(TRIM(A56),TRIM(bs!$B$1:$B$110),0),FALSE),0)/IF(ISNUMBER(SEARCH("亿",$A$2)),100000000,IF(ISNUMBER(SEARCH("万",$A$2)),10000,1))</f>
        <v/>
      </c>
      <c r="C56" s="226">
        <f>ROUND(HLOOKUP($C$3,bs!$C$1:$AB$110,MATCH(TRIM(A56),TRIM(bs!$B$1:$B$110),0),FALSE),0)/IF(ISNUMBER(SEARCH("亿",$A$2)),100000000,IF(ISNUMBER(SEARCH("万",$A$2)),10000,1))</f>
        <v/>
      </c>
      <c r="D56" s="226">
        <f>ROUND(HLOOKUP($D$3,bs!$C$1:$AB$110,MATCH(TRIM(A56),TRIM(bs!$B$1:$B$110),0),FALSE),0)/IF(ISNUMBER(SEARCH("亿",$A$2)),100000000,IF(ISNUMBER(SEARCH("万",$A$2)),10000,1))</f>
        <v/>
      </c>
      <c r="E56" s="226">
        <f>ROUND(HLOOKUP($E$3,bs!$C$1:$AB$110,MATCH(TRIM(A56),TRIM(bs!$B$1:$B$110),0),FALSE),0)/IF(ISNUMBER(SEARCH("亿",$A$2)),100000000,IF(ISNUMBER(SEARCH("万",$A$2)),10000,1))</f>
        <v/>
      </c>
      <c r="H56" s="209">
        <f>B56+C56+D56+E56</f>
        <v/>
      </c>
      <c r="I56">
        <f>A56</f>
        <v/>
      </c>
      <c r="J56">
        <f>_xlfn.CONCAT(TEXT($E$3,"YYYY"),"年-",TEXT($C$3,"YYYY"),"年及",TEXT($B$3,"YYYY年MM月"),"，","拟承租人",I56,"分别为",TEXT(E56/10000,"0.00"),"亿元、",TEXT(D56/10000,"0.00"),"亿元、",TEXT(C56/10000,"0.00"),"亿元及",TEXT(B56/10000,"0.00"),"亿元。")</f>
        <v/>
      </c>
      <c r="M56" s="103">
        <f>(C56-D56)/D56</f>
        <v/>
      </c>
      <c r="N56" s="103">
        <f>(D56-E56)/E56</f>
        <v/>
      </c>
    </row>
    <row r="57" ht="18.75" customHeight="1">
      <c r="A57" s="141" t="inlineStr">
        <is>
          <t xml:space="preserve">  向中央银行借款* </t>
        </is>
      </c>
      <c r="B57" s="226">
        <f>ROUND(HLOOKUP($B$3,bs!$C$1:$AB$110,MATCH(TRIM(A57),TRIM(bs!$B$1:$B$110),0),FALSE),0)/IF(ISNUMBER(SEARCH("亿",$A$2)),100000000,IF(ISNUMBER(SEARCH("万",$A$2)),10000,1))</f>
        <v/>
      </c>
      <c r="C57" s="226">
        <f>ROUND(HLOOKUP($C$3,bs!$C$1:$AB$110,MATCH(TRIM(A57),TRIM(bs!$B$1:$B$110),0),FALSE),0)/IF(ISNUMBER(SEARCH("亿",$A$2)),100000000,IF(ISNUMBER(SEARCH("万",$A$2)),10000,1))</f>
        <v/>
      </c>
      <c r="D57" s="226">
        <f>ROUND(HLOOKUP($D$3,bs!$C$1:$AB$110,MATCH(TRIM(A57),TRIM(bs!$B$1:$B$110),0),FALSE),0)/IF(ISNUMBER(SEARCH("亿",$A$2)),100000000,IF(ISNUMBER(SEARCH("万",$A$2)),10000,1))</f>
        <v/>
      </c>
      <c r="E57" s="226">
        <f>ROUND(HLOOKUP($E$3,bs!$C$1:$AB$110,MATCH(TRIM(A57),TRIM(bs!$B$1:$B$110),0),FALSE),0)/IF(ISNUMBER(SEARCH("亿",$A$2)),100000000,IF(ISNUMBER(SEARCH("万",$A$2)),10000,1))</f>
        <v/>
      </c>
      <c r="H57" s="209">
        <f>B57+C57+D57+E57</f>
        <v/>
      </c>
      <c r="I57">
        <f>A57</f>
        <v/>
      </c>
    </row>
    <row r="58" ht="18.75" customHeight="1">
      <c r="A58" s="141" t="inlineStr">
        <is>
          <t xml:space="preserve">  拆入资金* </t>
        </is>
      </c>
      <c r="B58" s="226">
        <f>ROUND(HLOOKUP($B$3,bs!$C$1:$AB$110,MATCH(TRIM(A58),TRIM(bs!$B$1:$B$110),0),FALSE),0)/IF(ISNUMBER(SEARCH("亿",$A$2)),100000000,IF(ISNUMBER(SEARCH("万",$A$2)),10000,1))</f>
        <v/>
      </c>
      <c r="C58" s="226">
        <f>ROUND(HLOOKUP($C$3,bs!$C$1:$AB$110,MATCH(TRIM(A58),TRIM(bs!$B$1:$B$110),0),FALSE),0)/IF(ISNUMBER(SEARCH("亿",$A$2)),100000000,IF(ISNUMBER(SEARCH("万",$A$2)),10000,1))</f>
        <v/>
      </c>
      <c r="D58" s="226">
        <f>ROUND(HLOOKUP($D$3,bs!$C$1:$AB$110,MATCH(TRIM(A58),TRIM(bs!$B$1:$B$110),0),FALSE),0)/IF(ISNUMBER(SEARCH("亿",$A$2)),100000000,IF(ISNUMBER(SEARCH("万",$A$2)),10000,1))</f>
        <v/>
      </c>
      <c r="E58" s="226">
        <f>ROUND(HLOOKUP($E$3,bs!$C$1:$AB$110,MATCH(TRIM(A58),TRIM(bs!$B$1:$B$110),0),FALSE),0)/IF(ISNUMBER(SEARCH("亿",$A$2)),100000000,IF(ISNUMBER(SEARCH("万",$A$2)),10000,1))</f>
        <v/>
      </c>
      <c r="H58" s="209">
        <f>B58+C58+D58+E58</f>
        <v/>
      </c>
      <c r="I58">
        <f>A58</f>
        <v/>
      </c>
    </row>
    <row r="59" ht="18.75" customHeight="1">
      <c r="A59" s="141" t="inlineStr">
        <is>
          <t xml:space="preserve">  交易性金融负债 </t>
        </is>
      </c>
      <c r="B59" s="226">
        <f>ROUND(HLOOKUP($B$3,bs!$C$1:$AB$110,MATCH(TRIM(A59),TRIM(bs!$B$1:$B$110),0),FALSE),0)/IF(ISNUMBER(SEARCH("亿",$A$2)),100000000,IF(ISNUMBER(SEARCH("万",$A$2)),10000,1))</f>
        <v/>
      </c>
      <c r="C59" s="226">
        <f>ROUND(HLOOKUP($C$3,bs!$C$1:$AB$110,MATCH(TRIM(A59),TRIM(bs!$B$1:$B$110),0),FALSE),0)/IF(ISNUMBER(SEARCH("亿",$A$2)),100000000,IF(ISNUMBER(SEARCH("万",$A$2)),10000,1))</f>
        <v/>
      </c>
      <c r="D59" s="226">
        <f>ROUND(HLOOKUP($D$3,bs!$C$1:$AB$110,MATCH(TRIM(A59),TRIM(bs!$B$1:$B$110),0),FALSE),0)/IF(ISNUMBER(SEARCH("亿",$A$2)),100000000,IF(ISNUMBER(SEARCH("万",$A$2)),10000,1))</f>
        <v/>
      </c>
      <c r="E59" s="226">
        <f>ROUND(HLOOKUP($E$3,bs!$C$1:$AB$110,MATCH(TRIM(A59),TRIM(bs!$B$1:$B$110),0),FALSE),0)/IF(ISNUMBER(SEARCH("亿",$A$2)),100000000,IF(ISNUMBER(SEARCH("万",$A$2)),10000,1))</f>
        <v/>
      </c>
      <c r="H59" s="209">
        <f>B59+C59+D59+E59</f>
        <v/>
      </c>
      <c r="I59">
        <f>A59</f>
        <v/>
      </c>
      <c r="J59">
        <f>_xlfn.CONCAT(TEXT($E$3,"YYYY"),"年-",TEXT($C$3,"YYYY"),"年及",TEXT($B$3,"YYYY年MM月"),"，","拟承租人",I59,"分别为",TEXT(E59/10000,"0.00"),"亿元、",TEXT(D59/10000,"0.00"),"亿元、",TEXT(C59/10000,"0.00"),"亿元及",TEXT(B59/10000,"0.00"),"亿元。")</f>
        <v/>
      </c>
      <c r="M59" s="103">
        <f>(C59-D59)/D59</f>
        <v/>
      </c>
      <c r="N59" s="103">
        <f>(D59-E59)/E59</f>
        <v/>
      </c>
    </row>
    <row r="60" ht="18.75" customHeight="1">
      <c r="A60" s="141" t="inlineStr">
        <is>
          <t xml:space="preserve">  衍生金融负债 </t>
        </is>
      </c>
      <c r="B60" s="226">
        <f>ROUND(HLOOKUP($B$3,bs!$C$1:$AB$110,MATCH(TRIM(A60),TRIM(bs!$B$1:$B$110),0),FALSE),0)/IF(ISNUMBER(SEARCH("亿",$A$2)),100000000,IF(ISNUMBER(SEARCH("万",$A$2)),10000,1))</f>
        <v/>
      </c>
      <c r="C60" s="226">
        <f>ROUND(HLOOKUP($C$3,bs!$C$1:$AB$110,MATCH(TRIM(A60),TRIM(bs!$B$1:$B$110),0),FALSE),0)/IF(ISNUMBER(SEARCH("亿",$A$2)),100000000,IF(ISNUMBER(SEARCH("万",$A$2)),10000,1))</f>
        <v/>
      </c>
      <c r="D60" s="226">
        <f>ROUND(HLOOKUP($D$3,bs!$C$1:$AB$110,MATCH(TRIM(A60),TRIM(bs!$B$1:$B$110),0),FALSE),0)/IF(ISNUMBER(SEARCH("亿",$A$2)),100000000,IF(ISNUMBER(SEARCH("万",$A$2)),10000,1))</f>
        <v/>
      </c>
      <c r="E60" s="226">
        <f>ROUND(HLOOKUP($E$3,bs!$C$1:$AB$110,MATCH(TRIM(A60),TRIM(bs!$B$1:$B$110),0),FALSE),0)/IF(ISNUMBER(SEARCH("亿",$A$2)),100000000,IF(ISNUMBER(SEARCH("万",$A$2)),10000,1))</f>
        <v/>
      </c>
      <c r="H60" s="209">
        <f>B60+C60+D60+E60</f>
        <v/>
      </c>
      <c r="I60">
        <f>A60</f>
        <v/>
      </c>
    </row>
    <row r="61" ht="18.75" customHeight="1">
      <c r="A61" s="141" t="inlineStr">
        <is>
          <t xml:space="preserve">  应付票据 </t>
        </is>
      </c>
      <c r="B61" s="226">
        <f>ROUND(HLOOKUP($B$3,bs!$C$1:$AB$110,MATCH(TRIM(A61),TRIM(bs!$B$1:$B$110),0),FALSE),0)/IF(ISNUMBER(SEARCH("亿",$A$2)),100000000,IF(ISNUMBER(SEARCH("万",$A$2)),10000,1))</f>
        <v/>
      </c>
      <c r="C61" s="226">
        <f>ROUND(HLOOKUP($C$3,bs!$C$1:$AB$110,MATCH(TRIM(A61),TRIM(bs!$B$1:$B$110),0),FALSE),0)/IF(ISNUMBER(SEARCH("亿",$A$2)),100000000,IF(ISNUMBER(SEARCH("万",$A$2)),10000,1))</f>
        <v/>
      </c>
      <c r="D61" s="226">
        <f>ROUND(HLOOKUP($D$3,bs!$C$1:$AB$110,MATCH(TRIM(A61),TRIM(bs!$B$1:$B$110),0),FALSE),0)/IF(ISNUMBER(SEARCH("亿",$A$2)),100000000,IF(ISNUMBER(SEARCH("万",$A$2)),10000,1))</f>
        <v/>
      </c>
      <c r="E61" s="226">
        <f>ROUND(HLOOKUP($E$3,bs!$C$1:$AB$110,MATCH(TRIM(A61),TRIM(bs!$B$1:$B$110),0),FALSE),0)/IF(ISNUMBER(SEARCH("亿",$A$2)),100000000,IF(ISNUMBER(SEARCH("万",$A$2)),10000,1))</f>
        <v/>
      </c>
      <c r="H61" s="209">
        <f>B61+C61+D61+E61</f>
        <v/>
      </c>
      <c r="I61">
        <f>A61</f>
        <v/>
      </c>
      <c r="J61">
        <f>_xlfn.CONCAT(TEXT($E$3,"YYYY"),"年-",TEXT($C$3,"YYYY"),"年及",TEXT($B$3,"YYYY年MM月"),"，","拟承租人",I61,"分别为",TEXT(E61/10000,"0.00"),"亿元、",TEXT(D61/10000,"0.00"),"亿元、",TEXT(C61/10000,"0.00"),"亿元及",TEXT(B61/10000,"0.00"),"亿元。")</f>
        <v/>
      </c>
      <c r="M61" s="103">
        <f>(C61-D61)/D61</f>
        <v/>
      </c>
      <c r="N61" s="103">
        <f>(D61-E61)/E61</f>
        <v/>
      </c>
    </row>
    <row r="62" ht="18.75" customHeight="1">
      <c r="A62" s="141" t="inlineStr">
        <is>
          <t xml:space="preserve">  应付账款 </t>
        </is>
      </c>
      <c r="B62" s="226">
        <f>ROUND(HLOOKUP($B$3,bs!$C$1:$AB$110,MATCH(TRIM(A62),TRIM(bs!$B$1:$B$110),0),FALSE),0)/IF(ISNUMBER(SEARCH("亿",$A$2)),100000000,IF(ISNUMBER(SEARCH("万",$A$2)),10000,1))</f>
        <v/>
      </c>
      <c r="C62" s="226">
        <f>ROUND(HLOOKUP($C$3,bs!$C$1:$AB$110,MATCH(TRIM(A62),TRIM(bs!$B$1:$B$110),0),FALSE),0)/IF(ISNUMBER(SEARCH("亿",$A$2)),100000000,IF(ISNUMBER(SEARCH("万",$A$2)),10000,1))</f>
        <v/>
      </c>
      <c r="D62" s="226">
        <f>ROUND(HLOOKUP($D$3,bs!$C$1:$AB$110,MATCH(TRIM(A62),TRIM(bs!$B$1:$B$110),0),FALSE),0)/IF(ISNUMBER(SEARCH("亿",$A$2)),100000000,IF(ISNUMBER(SEARCH("万",$A$2)),10000,1))</f>
        <v/>
      </c>
      <c r="E62" s="226">
        <f>ROUND(HLOOKUP($E$3,bs!$C$1:$AB$110,MATCH(TRIM(A62),TRIM(bs!$B$1:$B$110),0),FALSE),0)/IF(ISNUMBER(SEARCH("亿",$A$2)),100000000,IF(ISNUMBER(SEARCH("万",$A$2)),10000,1))</f>
        <v/>
      </c>
      <c r="H62" s="209">
        <f>B62+C62+D62+E62</f>
        <v/>
      </c>
      <c r="I62">
        <f>A62</f>
        <v/>
      </c>
      <c r="J62">
        <f>_xlfn.CONCAT(TEXT($E$3,"YYYY"),"年-",TEXT($C$3,"YYYY"),"年及",TEXT($B$3,"YYYY年MM月"),"，","拟承租人",I62,"分别为",TEXT(E62/10000,"0.00"),"亿元、",TEXT(D62/10000,"0.00"),"亿元、",TEXT(C62/10000,"0.00"),"亿元及",TEXT(B62/10000,"0.00"),"亿元。")</f>
        <v/>
      </c>
      <c r="M62" s="103">
        <f>(C62-D62)/D62</f>
        <v/>
      </c>
      <c r="N62" s="103">
        <f>(D62-E62)/E62</f>
        <v/>
      </c>
    </row>
    <row r="63" ht="18.75" customHeight="1">
      <c r="A63" s="141" t="inlineStr">
        <is>
          <t xml:space="preserve">  预收款项 </t>
        </is>
      </c>
      <c r="B63" s="226">
        <f>ROUND(HLOOKUP($B$3,bs!$C$1:$AB$110,MATCH(TRIM(A63),TRIM(bs!$B$1:$B$110),0),FALSE),0)/IF(ISNUMBER(SEARCH("亿",$A$2)),100000000,IF(ISNUMBER(SEARCH("万",$A$2)),10000,1))</f>
        <v/>
      </c>
      <c r="C63" s="226">
        <f>ROUND(HLOOKUP($C$3,bs!$C$1:$AB$110,MATCH(TRIM(A63),TRIM(bs!$B$1:$B$110),0),FALSE),0)/IF(ISNUMBER(SEARCH("亿",$A$2)),100000000,IF(ISNUMBER(SEARCH("万",$A$2)),10000,1))</f>
        <v/>
      </c>
      <c r="D63" s="226">
        <f>ROUND(HLOOKUP($D$3,bs!$C$1:$AB$110,MATCH(TRIM(A63),TRIM(bs!$B$1:$B$110),0),FALSE),0)/IF(ISNUMBER(SEARCH("亿",$A$2)),100000000,IF(ISNUMBER(SEARCH("万",$A$2)),10000,1))</f>
        <v/>
      </c>
      <c r="E63" s="226">
        <f>ROUND(HLOOKUP($E$3,bs!$C$1:$AB$110,MATCH(TRIM(A63),TRIM(bs!$B$1:$B$110),0),FALSE),0)/IF(ISNUMBER(SEARCH("亿",$A$2)),100000000,IF(ISNUMBER(SEARCH("万",$A$2)),10000,1))</f>
        <v/>
      </c>
      <c r="H63" s="209">
        <f>B63+C63+D63+E63</f>
        <v/>
      </c>
      <c r="I63">
        <f>A63</f>
        <v/>
      </c>
      <c r="J63">
        <f>_xlfn.CONCAT(TEXT($E$3,"YYYY"),"年-",TEXT($C$3,"YYYY"),"年及",TEXT($B$3,"YYYY年MM月"),"，","拟承租人",I63,"分别为",TEXT(E63/10000,"0.00"),"亿元、",TEXT(D63/10000,"0.00"),"亿元、",TEXT(C63/10000,"0.00"),"亿元及",TEXT(B63/10000,"0.00"),"亿元。")</f>
        <v/>
      </c>
      <c r="M63" s="103">
        <f>(C63-D63)/D63</f>
        <v/>
      </c>
      <c r="N63" s="103">
        <f>(D63-E63)/E63</f>
        <v/>
      </c>
    </row>
    <row r="64" ht="18.75" customHeight="1">
      <c r="A64" s="141" t="inlineStr">
        <is>
          <t xml:space="preserve">  合同负债 </t>
        </is>
      </c>
      <c r="B64" s="226">
        <f>ROUND(HLOOKUP($B$3,bs!$C$1:$AB$110,MATCH(TRIM(A64),TRIM(bs!$B$1:$B$110),0),FALSE),0)/IF(ISNUMBER(SEARCH("亿",$A$2)),100000000,IF(ISNUMBER(SEARCH("万",$A$2)),10000,1))</f>
        <v/>
      </c>
      <c r="C64" s="226">
        <f>ROUND(HLOOKUP($C$3,bs!$C$1:$AB$110,MATCH(TRIM(A64),TRIM(bs!$B$1:$B$110),0),FALSE),0)/IF(ISNUMBER(SEARCH("亿",$A$2)),100000000,IF(ISNUMBER(SEARCH("万",$A$2)),10000,1))</f>
        <v/>
      </c>
      <c r="D64" s="226">
        <f>ROUND(HLOOKUP($D$3,bs!$C$1:$AB$110,MATCH(TRIM(A64),TRIM(bs!$B$1:$B$110),0),FALSE),0)/IF(ISNUMBER(SEARCH("亿",$A$2)),100000000,IF(ISNUMBER(SEARCH("万",$A$2)),10000,1))</f>
        <v/>
      </c>
      <c r="E64" s="226">
        <f>ROUND(HLOOKUP($E$3,bs!$C$1:$AB$110,MATCH(TRIM(A64),TRIM(bs!$B$1:$B$110),0),FALSE),0)/IF(ISNUMBER(SEARCH("亿",$A$2)),100000000,IF(ISNUMBER(SEARCH("万",$A$2)),10000,1))</f>
        <v/>
      </c>
      <c r="H64" s="209">
        <f>B64+C64+D64+E64</f>
        <v/>
      </c>
      <c r="I64">
        <f>A64</f>
        <v/>
      </c>
      <c r="J64">
        <f>_xlfn.CONCAT(TEXT($E$3,"YYYY"),"年-",TEXT($C$3,"YYYY"),"年及",TEXT($B$3,"YYYY年MM月"),"，","拟承租人",I64,"分别为",TEXT(E64/10000,"0.00"),"亿元、",TEXT(D64/10000,"0.00"),"亿元、",TEXT(C64/10000,"0.00"),"亿元及",TEXT(B64/10000,"0.00"),"亿元。")</f>
        <v/>
      </c>
      <c r="M64" s="103">
        <f>(C64-D64)/D64</f>
        <v/>
      </c>
      <c r="N64" s="103">
        <f>(D64-E64)/E64</f>
        <v/>
      </c>
    </row>
    <row r="65" ht="18.75" customHeight="1">
      <c r="A65" s="141" t="inlineStr">
        <is>
          <t xml:space="preserve">  卖出回购金融资产款* </t>
        </is>
      </c>
      <c r="B65" s="226">
        <f>ROUND(HLOOKUP($B$3,bs!$C$1:$AB$110,MATCH(TRIM(A65),TRIM(bs!$B$1:$B$110),0),FALSE),0)/IF(ISNUMBER(SEARCH("亿",$A$2)),100000000,IF(ISNUMBER(SEARCH("万",$A$2)),10000,1))</f>
        <v/>
      </c>
      <c r="C65" s="226">
        <f>ROUND(HLOOKUP($C$3,bs!$C$1:$AB$110,MATCH(TRIM(A65),TRIM(bs!$B$1:$B$110),0),FALSE),0)/IF(ISNUMBER(SEARCH("亿",$A$2)),100000000,IF(ISNUMBER(SEARCH("万",$A$2)),10000,1))</f>
        <v/>
      </c>
      <c r="D65" s="226">
        <f>ROUND(HLOOKUP($D$3,bs!$C$1:$AB$110,MATCH(TRIM(A65),TRIM(bs!$B$1:$B$110),0),FALSE),0)/IF(ISNUMBER(SEARCH("亿",$A$2)),100000000,IF(ISNUMBER(SEARCH("万",$A$2)),10000,1))</f>
        <v/>
      </c>
      <c r="E65" s="226">
        <f>ROUND(HLOOKUP($E$3,bs!$C$1:$AB$110,MATCH(TRIM(A65),TRIM(bs!$B$1:$B$110),0),FALSE),0)/IF(ISNUMBER(SEARCH("亿",$A$2)),100000000,IF(ISNUMBER(SEARCH("万",$A$2)),10000,1))</f>
        <v/>
      </c>
      <c r="H65" s="209">
        <f>B65+C65+D65+E65</f>
        <v/>
      </c>
      <c r="I65">
        <f>A65</f>
        <v/>
      </c>
    </row>
    <row r="66" ht="18.75" customHeight="1">
      <c r="A66" s="141" t="inlineStr">
        <is>
          <t xml:space="preserve">  吸收存款及同业存放* </t>
        </is>
      </c>
      <c r="B66" s="226">
        <f>ROUND(HLOOKUP($B$3,bs!$C$1:$AB$110,MATCH(TRIM(A66),TRIM(bs!$B$1:$B$110),0),FALSE),0)/IF(ISNUMBER(SEARCH("亿",$A$2)),100000000,IF(ISNUMBER(SEARCH("万",$A$2)),10000,1))</f>
        <v/>
      </c>
      <c r="C66" s="226">
        <f>ROUND(HLOOKUP($C$3,bs!$C$1:$AB$110,MATCH(TRIM(A66),TRIM(bs!$B$1:$B$110),0),FALSE),0)/IF(ISNUMBER(SEARCH("亿",$A$2)),100000000,IF(ISNUMBER(SEARCH("万",$A$2)),10000,1))</f>
        <v/>
      </c>
      <c r="D66" s="226">
        <f>ROUND(HLOOKUP($D$3,bs!$C$1:$AB$110,MATCH(TRIM(A66),TRIM(bs!$B$1:$B$110),0),FALSE),0)/IF(ISNUMBER(SEARCH("亿",$A$2)),100000000,IF(ISNUMBER(SEARCH("万",$A$2)),10000,1))</f>
        <v/>
      </c>
      <c r="E66" s="226">
        <f>ROUND(HLOOKUP($E$3,bs!$C$1:$AB$110,MATCH(TRIM(A66),TRIM(bs!$B$1:$B$110),0),FALSE),0)/IF(ISNUMBER(SEARCH("亿",$A$2)),100000000,IF(ISNUMBER(SEARCH("万",$A$2)),10000,1))</f>
        <v/>
      </c>
      <c r="H66" s="209">
        <f>B66+C66+D66+E66</f>
        <v/>
      </c>
      <c r="I66">
        <f>A66</f>
        <v/>
      </c>
    </row>
    <row r="67" ht="18.75" customHeight="1">
      <c r="A67" s="141" t="inlineStr">
        <is>
          <t xml:space="preserve">  代理买卖证券款* </t>
        </is>
      </c>
      <c r="B67" s="226">
        <f>ROUND(HLOOKUP($B$3,bs!$C$1:$AB$110,MATCH(TRIM(A67),TRIM(bs!$B$1:$B$110),0),FALSE),0)/IF(ISNUMBER(SEARCH("亿",$A$2)),100000000,IF(ISNUMBER(SEARCH("万",$A$2)),10000,1))</f>
        <v/>
      </c>
      <c r="C67" s="226">
        <f>ROUND(HLOOKUP($C$3,bs!$C$1:$AB$110,MATCH(TRIM(A67),TRIM(bs!$B$1:$B$110),0),FALSE),0)/IF(ISNUMBER(SEARCH("亿",$A$2)),100000000,IF(ISNUMBER(SEARCH("万",$A$2)),10000,1))</f>
        <v/>
      </c>
      <c r="D67" s="226">
        <f>ROUND(HLOOKUP($D$3,bs!$C$1:$AB$110,MATCH(TRIM(A67),TRIM(bs!$B$1:$B$110),0),FALSE),0)/IF(ISNUMBER(SEARCH("亿",$A$2)),100000000,IF(ISNUMBER(SEARCH("万",$A$2)),10000,1))</f>
        <v/>
      </c>
      <c r="E67" s="226">
        <f>ROUND(HLOOKUP($E$3,bs!$C$1:$AB$110,MATCH(TRIM(A67),TRIM(bs!$B$1:$B$110),0),FALSE),0)/IF(ISNUMBER(SEARCH("亿",$A$2)),100000000,IF(ISNUMBER(SEARCH("万",$A$2)),10000,1))</f>
        <v/>
      </c>
      <c r="H67" s="209">
        <f>B67+C67+D67+E67</f>
        <v/>
      </c>
      <c r="I67">
        <f>A67</f>
        <v/>
      </c>
    </row>
    <row r="68" ht="18.75" customHeight="1">
      <c r="A68" s="141" t="inlineStr">
        <is>
          <t xml:space="preserve">  代理承销证券款* </t>
        </is>
      </c>
      <c r="B68" s="226">
        <f>ROUND(HLOOKUP($B$3,bs!$C$1:$AB$110,MATCH(TRIM(A68),TRIM(bs!$B$1:$B$110),0),FALSE),0)/IF(ISNUMBER(SEARCH("亿",$A$2)),100000000,IF(ISNUMBER(SEARCH("万",$A$2)),10000,1))</f>
        <v/>
      </c>
      <c r="C68" s="226">
        <f>ROUND(HLOOKUP($C$3,bs!$C$1:$AB$110,MATCH(TRIM(A68),TRIM(bs!$B$1:$B$110),0),FALSE),0)/IF(ISNUMBER(SEARCH("亿",$A$2)),100000000,IF(ISNUMBER(SEARCH("万",$A$2)),10000,1))</f>
        <v/>
      </c>
      <c r="D68" s="226">
        <f>ROUND(HLOOKUP($D$3,bs!$C$1:$AB$110,MATCH(TRIM(A68),TRIM(bs!$B$1:$B$110),0),FALSE),0)/IF(ISNUMBER(SEARCH("亿",$A$2)),100000000,IF(ISNUMBER(SEARCH("万",$A$2)),10000,1))</f>
        <v/>
      </c>
      <c r="E68" s="226">
        <f>ROUND(HLOOKUP($E$3,bs!$C$1:$AB$110,MATCH(TRIM(A68),TRIM(bs!$B$1:$B$110),0),FALSE),0)/IF(ISNUMBER(SEARCH("亿",$A$2)),100000000,IF(ISNUMBER(SEARCH("万",$A$2)),10000,1))</f>
        <v/>
      </c>
      <c r="H68" s="209">
        <f>B68+C68+D68+E68</f>
        <v/>
      </c>
      <c r="I68">
        <f>A68</f>
        <v/>
      </c>
    </row>
    <row r="69" ht="18.75" customHeight="1">
      <c r="A69" s="141" t="inlineStr">
        <is>
          <t xml:space="preserve">  应付职工薪酬 </t>
        </is>
      </c>
      <c r="B69" s="226">
        <f>ROUND(HLOOKUP($B$3,bs!$C$1:$AB$110,MATCH(TRIM(A69),TRIM(bs!$B$1:$B$110),0),FALSE),0)/IF(ISNUMBER(SEARCH("亿",$A$2)),100000000,IF(ISNUMBER(SEARCH("万",$A$2)),10000,1))</f>
        <v/>
      </c>
      <c r="C69" s="226">
        <f>ROUND(HLOOKUP($C$3,bs!$C$1:$AB$110,MATCH(TRIM(A69),TRIM(bs!$B$1:$B$110),0),FALSE),0)/IF(ISNUMBER(SEARCH("亿",$A$2)),100000000,IF(ISNUMBER(SEARCH("万",$A$2)),10000,1))</f>
        <v/>
      </c>
      <c r="D69" s="226">
        <f>ROUND(HLOOKUP($D$3,bs!$C$1:$AB$110,MATCH(TRIM(A69),TRIM(bs!$B$1:$B$110),0),FALSE),0)/IF(ISNUMBER(SEARCH("亿",$A$2)),100000000,IF(ISNUMBER(SEARCH("万",$A$2)),10000,1))</f>
        <v/>
      </c>
      <c r="E69" s="226">
        <f>ROUND(HLOOKUP($E$3,bs!$C$1:$AB$110,MATCH(TRIM(A69),TRIM(bs!$B$1:$B$110),0),FALSE),0)/IF(ISNUMBER(SEARCH("亿",$A$2)),100000000,IF(ISNUMBER(SEARCH("万",$A$2)),10000,1))</f>
        <v/>
      </c>
      <c r="H69" s="209">
        <f>B69+C69+D69+E69</f>
        <v/>
      </c>
      <c r="I69">
        <f>A69</f>
        <v/>
      </c>
      <c r="J69">
        <f>_xlfn.CONCAT(TEXT($E$3,"YYYY"),"年-",TEXT($C$3,"YYYY"),"年及",TEXT($B$3,"YYYY年MM月"),"，","拟承租人",I69,"分别为",TEXT(E69/10000,"0.00"),"亿元、",TEXT(D69/10000,"0.00"),"亿元、",TEXT(C69/10000,"0.00"),"亿元及",TEXT(B69/10000,"0.00"),"亿元。")</f>
        <v/>
      </c>
      <c r="M69" s="103">
        <f>(C69-D69)/D69</f>
        <v/>
      </c>
      <c r="N69" s="103">
        <f>(D69-E69)/E69</f>
        <v/>
      </c>
    </row>
    <row r="70" ht="18.75" customHeight="1">
      <c r="A70" s="141" t="inlineStr">
        <is>
          <t xml:space="preserve">  应交税费 </t>
        </is>
      </c>
      <c r="B70" s="226">
        <f>ROUND(HLOOKUP($B$3,bs!$C$1:$AB$110,MATCH(TRIM(A70),TRIM(bs!$B$1:$B$110),0),FALSE),0)/IF(ISNUMBER(SEARCH("亿",$A$2)),100000000,IF(ISNUMBER(SEARCH("万",$A$2)),10000,1))</f>
        <v/>
      </c>
      <c r="C70" s="226">
        <f>ROUND(HLOOKUP($C$3,bs!$C$1:$AB$110,MATCH(TRIM(A70),TRIM(bs!$B$1:$B$110),0),FALSE),0)/IF(ISNUMBER(SEARCH("亿",$A$2)),100000000,IF(ISNUMBER(SEARCH("万",$A$2)),10000,1))</f>
        <v/>
      </c>
      <c r="D70" s="226">
        <f>ROUND(HLOOKUP($D$3,bs!$C$1:$AB$110,MATCH(TRIM(A70),TRIM(bs!$B$1:$B$110),0),FALSE),0)/IF(ISNUMBER(SEARCH("亿",$A$2)),100000000,IF(ISNUMBER(SEARCH("万",$A$2)),10000,1))</f>
        <v/>
      </c>
      <c r="E70" s="226">
        <f>ROUND(HLOOKUP($E$3,bs!$C$1:$AB$110,MATCH(TRIM(A70),TRIM(bs!$B$1:$B$110),0),FALSE),0)/IF(ISNUMBER(SEARCH("亿",$A$2)),100000000,IF(ISNUMBER(SEARCH("万",$A$2)),10000,1))</f>
        <v/>
      </c>
      <c r="H70" s="209">
        <f>B70+C70+D70+E70</f>
        <v/>
      </c>
      <c r="I70">
        <f>A70</f>
        <v/>
      </c>
      <c r="J70">
        <f>_xlfn.CONCAT(TEXT($E$3,"YYYY"),"年-",TEXT($C$3,"YYYY"),"年及",TEXT($B$3,"YYYY年MM月"),"，","拟承租人",I70,"分别为",TEXT(E70/10000,"0.00"),"亿元、",TEXT(D70/10000,"0.00"),"亿元、",TEXT(C70/10000,"0.00"),"亿元及",TEXT(B70/10000,"0.00"),"亿元。")</f>
        <v/>
      </c>
      <c r="M70" s="103">
        <f>(C70-D70)/D70</f>
        <v/>
      </c>
      <c r="N70" s="103">
        <f>(D70-E70)/E70</f>
        <v/>
      </c>
    </row>
    <row r="71" ht="18.75" customHeight="1">
      <c r="A71" s="141" t="inlineStr">
        <is>
          <t xml:space="preserve">  其他应付款 </t>
        </is>
      </c>
      <c r="B71" s="226">
        <f>ROUND(HLOOKUP($B$3,bs!$C$1:$AB$110,MATCH(TRIM(A71),TRIM(bs!$B$1:$B$110),0),FALSE),0)/IF(ISNUMBER(SEARCH("亿",$A$2)),100000000,IF(ISNUMBER(SEARCH("万",$A$2)),10000,1))</f>
        <v/>
      </c>
      <c r="C71" s="226">
        <f>ROUND(HLOOKUP($C$3,bs!$C$1:$AB$110,MATCH(TRIM(A71),TRIM(bs!$B$1:$B$110),0),FALSE),0)/IF(ISNUMBER(SEARCH("亿",$A$2)),100000000,IF(ISNUMBER(SEARCH("万",$A$2)),10000,1))</f>
        <v/>
      </c>
      <c r="D71" s="226">
        <f>ROUND(HLOOKUP($D$3,bs!$C$1:$AB$110,MATCH(TRIM(A71),TRIM(bs!$B$1:$B$110),0),FALSE),0)/IF(ISNUMBER(SEARCH("亿",$A$2)),100000000,IF(ISNUMBER(SEARCH("万",$A$2)),10000,1))</f>
        <v/>
      </c>
      <c r="E71" s="226">
        <f>ROUND(HLOOKUP($E$3,bs!$C$1:$AB$110,MATCH(TRIM(A71),TRIM(bs!$B$1:$B$110),0),FALSE),0)/IF(ISNUMBER(SEARCH("亿",$A$2)),100000000,IF(ISNUMBER(SEARCH("万",$A$2)),10000,1))</f>
        <v/>
      </c>
      <c r="H71" s="209">
        <f>B71+C71+D71+E71</f>
        <v/>
      </c>
      <c r="I71">
        <f>A71</f>
        <v/>
      </c>
      <c r="J71">
        <f>_xlfn.CONCAT(TEXT($E$3,"YYYY"),"年-",TEXT($C$3,"YYYY"),"年及",TEXT($B$3,"YYYY年MM月"),"，","拟承租人",I71,"分别为",TEXT(E71/10000,"0.00"),"亿元、",TEXT(D71/10000,"0.00"),"亿元、",TEXT(C71/10000,"0.00"),"亿元及",TEXT(B71/10000,"0.00"),"亿元。")</f>
        <v/>
      </c>
      <c r="M71" s="103">
        <f>(C71-D71)/D71</f>
        <v/>
      </c>
      <c r="N71" s="103">
        <f>(D71-E71)/E71</f>
        <v/>
      </c>
    </row>
    <row r="72" ht="18.75" customHeight="1">
      <c r="A72" s="141" t="inlineStr">
        <is>
          <t xml:space="preserve">   其中：应付利息</t>
        </is>
      </c>
      <c r="B72" s="226">
        <f>ROUND(HLOOKUP($B$3,bs!$C$1:$AB$110,MATCH(TRIM(A72),TRIM(bs!$B$1:$B$110),0),FALSE),0)/IF(ISNUMBER(SEARCH("亿",$A$2)),100000000,IF(ISNUMBER(SEARCH("万",$A$2)),10000,1))</f>
        <v/>
      </c>
      <c r="C72" s="226">
        <f>ROUND(HLOOKUP($C$3,bs!$C$1:$AB$110,MATCH(TRIM(A72),TRIM(bs!$B$1:$B$110),0),FALSE),0)/IF(ISNUMBER(SEARCH("亿",$A$2)),100000000,IF(ISNUMBER(SEARCH("万",$A$2)),10000,1))</f>
        <v/>
      </c>
      <c r="D72" s="226">
        <f>ROUND(HLOOKUP($D$3,bs!$C$1:$AB$110,MATCH(TRIM(A72),TRIM(bs!$B$1:$B$110),0),FALSE),0)/IF(ISNUMBER(SEARCH("亿",$A$2)),100000000,IF(ISNUMBER(SEARCH("万",$A$2)),10000,1))</f>
        <v/>
      </c>
      <c r="E72" s="226">
        <f>ROUND(HLOOKUP($E$3,bs!$C$1:$AB$110,MATCH(TRIM(A72),TRIM(bs!$B$1:$B$110),0),FALSE),0)/IF(ISNUMBER(SEARCH("亿",$A$2)),100000000,IF(ISNUMBER(SEARCH("万",$A$2)),10000,1))</f>
        <v/>
      </c>
      <c r="H72" s="209">
        <f>B72+C72+D72+E72</f>
        <v/>
      </c>
      <c r="I72">
        <f>A72</f>
        <v/>
      </c>
    </row>
    <row r="73" ht="18.75" customHeight="1">
      <c r="A73" s="141" t="inlineStr">
        <is>
          <t xml:space="preserve">         应付股利</t>
        </is>
      </c>
      <c r="B73" s="226">
        <f>ROUND(HLOOKUP($B$3,bs!$C$1:$AB$110,MATCH(TRIM(A73),TRIM(bs!$B$1:$B$110),0),FALSE),0)/IF(ISNUMBER(SEARCH("亿",$A$2)),100000000,IF(ISNUMBER(SEARCH("万",$A$2)),10000,1))</f>
        <v/>
      </c>
      <c r="C73" s="226">
        <f>ROUND(HLOOKUP($C$3,bs!$C$1:$AB$110,MATCH(TRIM(A73),TRIM(bs!$B$1:$B$110),0),FALSE),0)/IF(ISNUMBER(SEARCH("亿",$A$2)),100000000,IF(ISNUMBER(SEARCH("万",$A$2)),10000,1))</f>
        <v/>
      </c>
      <c r="D73" s="226">
        <f>ROUND(HLOOKUP($D$3,bs!$C$1:$AB$110,MATCH(TRIM(A73),TRIM(bs!$B$1:$B$110),0),FALSE),0)/IF(ISNUMBER(SEARCH("亿",$A$2)),100000000,IF(ISNUMBER(SEARCH("万",$A$2)),10000,1))</f>
        <v/>
      </c>
      <c r="E73" s="226">
        <f>ROUND(HLOOKUP($E$3,bs!$C$1:$AB$110,MATCH(TRIM(A73),TRIM(bs!$B$1:$B$110),0),FALSE),0)/IF(ISNUMBER(SEARCH("亿",$A$2)),100000000,IF(ISNUMBER(SEARCH("万",$A$2)),10000,1))</f>
        <v/>
      </c>
      <c r="H73" s="209">
        <f>B73+C73+D73+E73</f>
        <v/>
      </c>
      <c r="I73">
        <f>A73</f>
        <v/>
      </c>
    </row>
    <row r="74" ht="18.75" customHeight="1">
      <c r="A74" s="141" t="inlineStr">
        <is>
          <t xml:space="preserve">  应付手续费及佣金* </t>
        </is>
      </c>
      <c r="B74" s="226">
        <f>ROUND(HLOOKUP($B$3,bs!$C$1:$AB$110,MATCH(TRIM(A74),TRIM(bs!$B$1:$B$110),0),FALSE),0)/IF(ISNUMBER(SEARCH("亿",$A$2)),100000000,IF(ISNUMBER(SEARCH("万",$A$2)),10000,1))</f>
        <v/>
      </c>
      <c r="C74" s="226">
        <f>ROUND(HLOOKUP($C$3,bs!$C$1:$AB$110,MATCH(TRIM(A74),TRIM(bs!$B$1:$B$110),0),FALSE),0)/IF(ISNUMBER(SEARCH("亿",$A$2)),100000000,IF(ISNUMBER(SEARCH("万",$A$2)),10000,1))</f>
        <v/>
      </c>
      <c r="D74" s="226">
        <f>ROUND(HLOOKUP($D$3,bs!$C$1:$AB$110,MATCH(TRIM(A74),TRIM(bs!$B$1:$B$110),0),FALSE),0)/IF(ISNUMBER(SEARCH("亿",$A$2)),100000000,IF(ISNUMBER(SEARCH("万",$A$2)),10000,1))</f>
        <v/>
      </c>
      <c r="E74" s="226">
        <f>ROUND(HLOOKUP($E$3,bs!$C$1:$AB$110,MATCH(TRIM(A74),TRIM(bs!$B$1:$B$110),0),FALSE),0)/IF(ISNUMBER(SEARCH("亿",$A$2)),100000000,IF(ISNUMBER(SEARCH("万",$A$2)),10000,1))</f>
        <v/>
      </c>
      <c r="H74" s="209">
        <f>B74+C74+D74+E74</f>
        <v/>
      </c>
      <c r="I74">
        <f>A74</f>
        <v/>
      </c>
    </row>
    <row r="75" ht="18.75" customHeight="1">
      <c r="A75" s="141" t="inlineStr">
        <is>
          <t xml:space="preserve">  应付分保账款* </t>
        </is>
      </c>
      <c r="B75" s="226">
        <f>ROUND(HLOOKUP($B$3,bs!$C$1:$AB$110,MATCH(TRIM(A75),TRIM(bs!$B$1:$B$110),0),FALSE),0)/IF(ISNUMBER(SEARCH("亿",$A$2)),100000000,IF(ISNUMBER(SEARCH("万",$A$2)),10000,1))</f>
        <v/>
      </c>
      <c r="C75" s="226">
        <f>ROUND(HLOOKUP($C$3,bs!$C$1:$AB$110,MATCH(TRIM(A75),TRIM(bs!$B$1:$B$110),0),FALSE),0)/IF(ISNUMBER(SEARCH("亿",$A$2)),100000000,IF(ISNUMBER(SEARCH("万",$A$2)),10000,1))</f>
        <v/>
      </c>
      <c r="D75" s="226">
        <f>ROUND(HLOOKUP($D$3,bs!$C$1:$AB$110,MATCH(TRIM(A75),TRIM(bs!$B$1:$B$110),0),FALSE),0)/IF(ISNUMBER(SEARCH("亿",$A$2)),100000000,IF(ISNUMBER(SEARCH("万",$A$2)),10000,1))</f>
        <v/>
      </c>
      <c r="E75" s="226">
        <f>ROUND(HLOOKUP($E$3,bs!$C$1:$AB$110,MATCH(TRIM(A75),TRIM(bs!$B$1:$B$110),0),FALSE),0)/IF(ISNUMBER(SEARCH("亿",$A$2)),100000000,IF(ISNUMBER(SEARCH("万",$A$2)),10000,1))</f>
        <v/>
      </c>
      <c r="H75" s="209">
        <f>B75+C75+D75+E75</f>
        <v/>
      </c>
      <c r="I75">
        <f>A75</f>
        <v/>
      </c>
    </row>
    <row r="76" ht="18.75" customHeight="1">
      <c r="A76" s="141" t="inlineStr">
        <is>
          <t xml:space="preserve">  持有待售负债 </t>
        </is>
      </c>
      <c r="B76" s="226">
        <f>ROUND(HLOOKUP($B$3,bs!$C$1:$AB$110,MATCH(TRIM(A76),TRIM(bs!$B$1:$B$110),0),FALSE),0)/IF(ISNUMBER(SEARCH("亿",$A$2)),100000000,IF(ISNUMBER(SEARCH("万",$A$2)),10000,1))</f>
        <v/>
      </c>
      <c r="C76" s="226">
        <f>ROUND(HLOOKUP($C$3,bs!$C$1:$AB$110,MATCH(TRIM(A76),TRIM(bs!$B$1:$B$110),0),FALSE),0)/IF(ISNUMBER(SEARCH("亿",$A$2)),100000000,IF(ISNUMBER(SEARCH("万",$A$2)),10000,1))</f>
        <v/>
      </c>
      <c r="D76" s="226">
        <f>ROUND(HLOOKUP($D$3,bs!$C$1:$AB$110,MATCH(TRIM(A76),TRIM(bs!$B$1:$B$110),0),FALSE),0)/IF(ISNUMBER(SEARCH("亿",$A$2)),100000000,IF(ISNUMBER(SEARCH("万",$A$2)),10000,1))</f>
        <v/>
      </c>
      <c r="E76" s="226">
        <f>ROUND(HLOOKUP($E$3,bs!$C$1:$AB$110,MATCH(TRIM(A76),TRIM(bs!$B$1:$B$110),0),FALSE),0)/IF(ISNUMBER(SEARCH("亿",$A$2)),100000000,IF(ISNUMBER(SEARCH("万",$A$2)),10000,1))</f>
        <v/>
      </c>
      <c r="H76" s="209">
        <f>B76+C76+D76+E76</f>
        <v/>
      </c>
      <c r="I76">
        <f>A76</f>
        <v/>
      </c>
    </row>
    <row r="77" ht="18.75" customHeight="1">
      <c r="A77" s="141" t="inlineStr">
        <is>
          <t xml:space="preserve">  一年内到期的非流动负债 </t>
        </is>
      </c>
      <c r="B77" s="226">
        <f>ROUND(HLOOKUP($B$3,bs!$C$1:$AB$110,MATCH(TRIM(A77),TRIM(bs!$B$1:$B$110),0),FALSE),0)/IF(ISNUMBER(SEARCH("亿",$A$2)),100000000,IF(ISNUMBER(SEARCH("万",$A$2)),10000,1))</f>
        <v/>
      </c>
      <c r="C77" s="226">
        <f>ROUND(HLOOKUP($C$3,bs!$C$1:$AB$110,MATCH(TRIM(A77),TRIM(bs!$B$1:$B$110),0),FALSE),0)/IF(ISNUMBER(SEARCH("亿",$A$2)),100000000,IF(ISNUMBER(SEARCH("万",$A$2)),10000,1))</f>
        <v/>
      </c>
      <c r="D77" s="226">
        <f>ROUND(HLOOKUP($D$3,bs!$C$1:$AB$110,MATCH(TRIM(A77),TRIM(bs!$B$1:$B$110),0),FALSE),0)/IF(ISNUMBER(SEARCH("亿",$A$2)),100000000,IF(ISNUMBER(SEARCH("万",$A$2)),10000,1))</f>
        <v/>
      </c>
      <c r="E77" s="226">
        <f>ROUND(HLOOKUP($E$3,bs!$C$1:$AB$110,MATCH(TRIM(A77),TRIM(bs!$B$1:$B$110),0),FALSE),0)/IF(ISNUMBER(SEARCH("亿",$A$2)),100000000,IF(ISNUMBER(SEARCH("万",$A$2)),10000,1))</f>
        <v/>
      </c>
      <c r="H77" s="209">
        <f>B77+C77+D77+E77</f>
        <v/>
      </c>
      <c r="I77">
        <f>A77</f>
        <v/>
      </c>
      <c r="J77">
        <f>_xlfn.CONCAT(TEXT($E$3,"YYYY"),"年-",TEXT($C$3,"YYYY"),"年及",TEXT($B$3,"YYYY年MM月"),"，","拟承租人",I77,"分别为",TEXT(E77/10000,"0.00"),"亿元、",TEXT(D77/10000,"0.00"),"亿元、",TEXT(C77/10000,"0.00"),"亿元及",TEXT(B77/10000,"0.00"),"亿元。")</f>
        <v/>
      </c>
      <c r="M77" s="103">
        <f>(C77-D77)/D77</f>
        <v/>
      </c>
      <c r="N77" s="103">
        <f>(D77-E77)/E77</f>
        <v/>
      </c>
    </row>
    <row r="78" ht="18.75" customHeight="1">
      <c r="A78" s="141" t="inlineStr">
        <is>
          <t xml:space="preserve">  其他流动负债 </t>
        </is>
      </c>
      <c r="B78" s="226">
        <f>ROUND(HLOOKUP($B$3,bs!$C$1:$AB$110,MATCH(TRIM(A78),TRIM(bs!$B$1:$B$110),0),FALSE),0)/IF(ISNUMBER(SEARCH("亿",$A$2)),100000000,IF(ISNUMBER(SEARCH("万",$A$2)),10000,1))</f>
        <v/>
      </c>
      <c r="C78" s="226">
        <f>ROUND(HLOOKUP($C$3,bs!$C$1:$AB$110,MATCH(TRIM(A78),TRIM(bs!$B$1:$B$110),0),FALSE),0)/IF(ISNUMBER(SEARCH("亿",$A$2)),100000000,IF(ISNUMBER(SEARCH("万",$A$2)),10000,1))</f>
        <v/>
      </c>
      <c r="D78" s="226">
        <f>ROUND(HLOOKUP($D$3,bs!$C$1:$AB$110,MATCH(TRIM(A78),TRIM(bs!$B$1:$B$110),0),FALSE),0)/IF(ISNUMBER(SEARCH("亿",$A$2)),100000000,IF(ISNUMBER(SEARCH("万",$A$2)),10000,1))</f>
        <v/>
      </c>
      <c r="E78" s="226">
        <f>ROUND(HLOOKUP($E$3,bs!$C$1:$AB$110,MATCH(TRIM(A78),TRIM(bs!$B$1:$B$110),0),FALSE),0)/IF(ISNUMBER(SEARCH("亿",$A$2)),100000000,IF(ISNUMBER(SEARCH("万",$A$2)),10000,1))</f>
        <v/>
      </c>
      <c r="H78" s="209">
        <f>B78+C78+D78+E78</f>
        <v/>
      </c>
      <c r="I78">
        <f>A78</f>
        <v/>
      </c>
      <c r="J78">
        <f>_xlfn.CONCAT(TEXT($E$3,"YYYY"),"年-",TEXT($C$3,"YYYY"),"年及",TEXT($B$3,"YYYY年MM月"),"，","拟承租人",I78,"分别为",TEXT(E78/10000,"0.00"),"亿元、",TEXT(D78/10000,"0.00"),"亿元、",TEXT(C78/10000,"0.00"),"亿元及",TEXT(B78/10000,"0.00"),"亿元。")</f>
        <v/>
      </c>
      <c r="M78" s="103">
        <f>(C78-D78)/D78</f>
        <v/>
      </c>
      <c r="N78" s="103">
        <f>(D78-E78)/E78</f>
        <v/>
      </c>
    </row>
    <row r="79" ht="18.75" customHeight="1">
      <c r="A79" s="144" t="inlineStr">
        <is>
          <t>流动负债合计</t>
        </is>
      </c>
      <c r="B79" s="226">
        <f>ROUND(HLOOKUP($B$3,bs!$C$1:$AB$110,MATCH(TRIM(A79),TRIM(bs!$B$1:$B$110),0),FALSE),0)/IF(ISNUMBER(SEARCH("亿",$A$2)),100000000,IF(ISNUMBER(SEARCH("万",$A$2)),10000,1))</f>
        <v/>
      </c>
      <c r="C79" s="226">
        <f>ROUND(HLOOKUP($C$3,bs!$C$1:$AB$110,MATCH(TRIM(A79),TRIM(bs!$B$1:$B$110),0),FALSE),0)/IF(ISNUMBER(SEARCH("亿",$A$2)),100000000,IF(ISNUMBER(SEARCH("万",$A$2)),10000,1))</f>
        <v/>
      </c>
      <c r="D79" s="226">
        <f>ROUND(HLOOKUP($D$3,bs!$C$1:$AB$110,MATCH(TRIM(A79),TRIM(bs!$B$1:$B$110),0),FALSE),0)/IF(ISNUMBER(SEARCH("亿",$A$2)),100000000,IF(ISNUMBER(SEARCH("万",$A$2)),10000,1))</f>
        <v/>
      </c>
      <c r="E79" s="226">
        <f>ROUND(HLOOKUP($E$3,bs!$C$1:$AB$110,MATCH(TRIM(A79),TRIM(bs!$B$1:$B$110),0),FALSE),0)/IF(ISNUMBER(SEARCH("亿",$A$2)),100000000,IF(ISNUMBER(SEARCH("万",$A$2)),10000,1))</f>
        <v/>
      </c>
      <c r="H79" s="209">
        <f>B79+C79+D79+E79</f>
        <v/>
      </c>
      <c r="I79">
        <f>A79</f>
        <v/>
      </c>
      <c r="J79">
        <f>_xlfn.CONCAT(TEXT($E$3,"YYYY"),"年-",TEXT($C$3,"YYYY"),"年及",TEXT($B$3,"YYYY年MM月"),"，","拟承租人",I79,"分别为",TEXT(E79/10000,"0.00"),"亿元、",TEXT(D79/10000,"0.00"),"亿元、",TEXT(C79/10000,"0.00"),"亿元及",TEXT(B79/10000,"0.00"),"亿元。")</f>
        <v/>
      </c>
      <c r="M79" s="103">
        <f>(C79-D79)/D79</f>
        <v/>
      </c>
      <c r="N79" s="103">
        <f>(D79-E79)/E79</f>
        <v/>
      </c>
    </row>
    <row r="80" ht="18.75" customHeight="1">
      <c r="A80" s="141" t="inlineStr">
        <is>
          <t xml:space="preserve">  保险合同准备金* </t>
        </is>
      </c>
      <c r="B80" s="226">
        <f>ROUND(HLOOKUP($B$3,bs!$C$1:$AB$110,MATCH(TRIM(A80),TRIM(bs!$B$1:$B$110),0),FALSE),0)/IF(ISNUMBER(SEARCH("亿",$A$2)),100000000,IF(ISNUMBER(SEARCH("万",$A$2)),10000,1))</f>
        <v/>
      </c>
      <c r="C80" s="226">
        <f>ROUND(HLOOKUP($C$3,bs!$C$1:$AB$110,MATCH(TRIM(A80),TRIM(bs!$B$1:$B$110),0),FALSE),0)/IF(ISNUMBER(SEARCH("亿",$A$2)),100000000,IF(ISNUMBER(SEARCH("万",$A$2)),10000,1))</f>
        <v/>
      </c>
      <c r="D80" s="226">
        <f>ROUND(HLOOKUP($D$3,bs!$C$1:$AB$110,MATCH(TRIM(A80),TRIM(bs!$B$1:$B$110),0),FALSE),0)/IF(ISNUMBER(SEARCH("亿",$A$2)),100000000,IF(ISNUMBER(SEARCH("万",$A$2)),10000,1))</f>
        <v/>
      </c>
      <c r="E80" s="226">
        <f>ROUND(HLOOKUP($E$3,bs!$C$1:$AB$110,MATCH(TRIM(A80),TRIM(bs!$B$1:$B$110),0),FALSE),0)/IF(ISNUMBER(SEARCH("亿",$A$2)),100000000,IF(ISNUMBER(SEARCH("万",$A$2)),10000,1))</f>
        <v/>
      </c>
      <c r="H80" s="209">
        <f>B80+C80+D80+E80</f>
        <v/>
      </c>
      <c r="I80">
        <f>A80</f>
        <v/>
      </c>
    </row>
    <row r="81" ht="18.75" customHeight="1">
      <c r="A81" s="141" t="inlineStr">
        <is>
          <t xml:space="preserve">  长期借款 </t>
        </is>
      </c>
      <c r="B81" s="226">
        <f>ROUND(HLOOKUP($B$3,bs!$C$1:$AB$110,MATCH(TRIM(A81),TRIM(bs!$B$1:$B$110),0),FALSE),0)/IF(ISNUMBER(SEARCH("亿",$A$2)),100000000,IF(ISNUMBER(SEARCH("万",$A$2)),10000,1))</f>
        <v/>
      </c>
      <c r="C81" s="226">
        <f>ROUND(HLOOKUP($C$3,bs!$C$1:$AB$110,MATCH(TRIM(A81),TRIM(bs!$B$1:$B$110),0),FALSE),0)/IF(ISNUMBER(SEARCH("亿",$A$2)),100000000,IF(ISNUMBER(SEARCH("万",$A$2)),10000,1))</f>
        <v/>
      </c>
      <c r="D81" s="226">
        <f>ROUND(HLOOKUP($D$3,bs!$C$1:$AB$110,MATCH(TRIM(A81),TRIM(bs!$B$1:$B$110),0),FALSE),0)/IF(ISNUMBER(SEARCH("亿",$A$2)),100000000,IF(ISNUMBER(SEARCH("万",$A$2)),10000,1))</f>
        <v/>
      </c>
      <c r="E81" s="226">
        <f>ROUND(HLOOKUP($E$3,bs!$C$1:$AB$110,MATCH(TRIM(A81),TRIM(bs!$B$1:$B$110),0),FALSE),0)/IF(ISNUMBER(SEARCH("亿",$A$2)),100000000,IF(ISNUMBER(SEARCH("万",$A$2)),10000,1))</f>
        <v/>
      </c>
      <c r="H81" s="209">
        <f>B81+C81+D81+E81</f>
        <v/>
      </c>
      <c r="I81">
        <f>A81</f>
        <v/>
      </c>
      <c r="J81">
        <f>_xlfn.CONCAT(TEXT($E$3,"YYYY"),"年-",TEXT($C$3,"YYYY"),"年及",TEXT($B$3,"YYYY年MM月"),"，","拟承租人",I81,"分别为",TEXT(E81/10000,"0.00"),"亿元、",TEXT(D81/10000,"0.00"),"亿元、",TEXT(C81/10000,"0.00"),"亿元及",TEXT(B81/10000,"0.00"),"亿元。")</f>
        <v/>
      </c>
      <c r="M81" s="103">
        <f>(C81-D81)/D81</f>
        <v/>
      </c>
      <c r="N81" s="103">
        <f>(D81-E81)/E81</f>
        <v/>
      </c>
    </row>
    <row r="82" ht="18.75" customHeight="1">
      <c r="A82" s="141" t="inlineStr">
        <is>
          <t xml:space="preserve">  应付债券 </t>
        </is>
      </c>
      <c r="B82" s="226">
        <f>ROUND(HLOOKUP($B$3,bs!$C$1:$AB$110,MATCH(TRIM(A82),TRIM(bs!$B$1:$B$110),0),FALSE),0)/IF(ISNUMBER(SEARCH("亿",$A$2)),100000000,IF(ISNUMBER(SEARCH("万",$A$2)),10000,1))</f>
        <v/>
      </c>
      <c r="C82" s="226">
        <f>ROUND(HLOOKUP($C$3,bs!$C$1:$AB$110,MATCH(TRIM(A82),TRIM(bs!$B$1:$B$110),0),FALSE),0)/IF(ISNUMBER(SEARCH("亿",$A$2)),100000000,IF(ISNUMBER(SEARCH("万",$A$2)),10000,1))</f>
        <v/>
      </c>
      <c r="D82" s="226">
        <f>ROUND(HLOOKUP($D$3,bs!$C$1:$AB$110,MATCH(TRIM(A82),TRIM(bs!$B$1:$B$110),0),FALSE),0)/IF(ISNUMBER(SEARCH("亿",$A$2)),100000000,IF(ISNUMBER(SEARCH("万",$A$2)),10000,1))</f>
        <v/>
      </c>
      <c r="E82" s="226">
        <f>ROUND(HLOOKUP($E$3,bs!$C$1:$AB$110,MATCH(TRIM(A82),TRIM(bs!$B$1:$B$110),0),FALSE),0)/IF(ISNUMBER(SEARCH("亿",$A$2)),100000000,IF(ISNUMBER(SEARCH("万",$A$2)),10000,1))</f>
        <v/>
      </c>
      <c r="H82" s="209">
        <f>B82+C82+D82+E82</f>
        <v/>
      </c>
      <c r="I82">
        <f>A82</f>
        <v/>
      </c>
    </row>
    <row r="83" ht="18.75" customHeight="1">
      <c r="A83" s="141" t="inlineStr">
        <is>
          <t xml:space="preserve">    其中：优先股 </t>
        </is>
      </c>
      <c r="B83" s="226">
        <f>ROUND(HLOOKUP($B$3,bs!$C$1:$AB$110,MATCH(TRIM(A83),TRIM(bs!$B$1:$B$110),0),FALSE),0)/IF(ISNUMBER(SEARCH("亿",$A$2)),100000000,IF(ISNUMBER(SEARCH("万",$A$2)),10000,1))</f>
        <v/>
      </c>
      <c r="C83" s="226">
        <f>ROUND(HLOOKUP($C$3,bs!$C$1:$AB$110,MATCH(TRIM(A83),TRIM(bs!$B$1:$B$110),0),FALSE),0)/IF(ISNUMBER(SEARCH("亿",$A$2)),100000000,IF(ISNUMBER(SEARCH("万",$A$2)),10000,1))</f>
        <v/>
      </c>
      <c r="D83" s="226">
        <f>ROUND(HLOOKUP($D$3,bs!$C$1:$AB$110,MATCH(TRIM(A83),TRIM(bs!$B$1:$B$110),0),FALSE),0)/IF(ISNUMBER(SEARCH("亿",$A$2)),100000000,IF(ISNUMBER(SEARCH("万",$A$2)),10000,1))</f>
        <v/>
      </c>
      <c r="E83" s="226">
        <f>ROUND(HLOOKUP($E$3,bs!$C$1:$AB$110,MATCH(TRIM(A83),TRIM(bs!$B$1:$B$110),0),FALSE),0)/IF(ISNUMBER(SEARCH("亿",$A$2)),100000000,IF(ISNUMBER(SEARCH("万",$A$2)),10000,1))</f>
        <v/>
      </c>
      <c r="H83" s="209">
        <f>B83+C83+D83+E83</f>
        <v/>
      </c>
      <c r="I83">
        <f>A83</f>
        <v/>
      </c>
    </row>
    <row r="84" ht="18.75" customHeight="1">
      <c r="A84" s="141" t="inlineStr">
        <is>
          <t xml:space="preserve">          永续债 </t>
        </is>
      </c>
      <c r="B84" s="226">
        <f>ROUND(HLOOKUP($B$3,bs!$C$1:$AB$110,MATCH(TRIM(A84),TRIM(bs!$B$1:$B$110),0),FALSE),0)/IF(ISNUMBER(SEARCH("亿",$A$2)),100000000,IF(ISNUMBER(SEARCH("万",$A$2)),10000,1))</f>
        <v/>
      </c>
      <c r="C84" s="226">
        <f>ROUND(HLOOKUP($C$3,bs!$C$1:$AB$110,MATCH(TRIM(A84),TRIM(bs!$B$1:$B$110),0),FALSE),0)/IF(ISNUMBER(SEARCH("亿",$A$2)),100000000,IF(ISNUMBER(SEARCH("万",$A$2)),10000,1))</f>
        <v/>
      </c>
      <c r="D84" s="226">
        <f>ROUND(HLOOKUP($D$3,bs!$C$1:$AB$110,MATCH(TRIM(A84),TRIM(bs!$B$1:$B$110),0),FALSE),0)/IF(ISNUMBER(SEARCH("亿",$A$2)),100000000,IF(ISNUMBER(SEARCH("万",$A$2)),10000,1))</f>
        <v/>
      </c>
      <c r="E84" s="226">
        <f>ROUND(HLOOKUP($E$3,bs!$C$1:$AB$110,MATCH(TRIM(A84),TRIM(bs!$B$1:$B$110),0),FALSE),0)/IF(ISNUMBER(SEARCH("亿",$A$2)),100000000,IF(ISNUMBER(SEARCH("万",$A$2)),10000,1))</f>
        <v/>
      </c>
      <c r="H84" s="209">
        <f>B84+C84+D84+E84</f>
        <v/>
      </c>
      <c r="I84">
        <f>A84</f>
        <v/>
      </c>
    </row>
    <row r="85" ht="18.75" customHeight="1">
      <c r="A85" s="141" t="inlineStr">
        <is>
          <t xml:space="preserve">  租赁负债 </t>
        </is>
      </c>
      <c r="B85" s="226">
        <f>ROUND(HLOOKUP($B$3,bs!$C$1:$AB$110,MATCH(TRIM(A85),TRIM(bs!$B$1:$B$110),0),FALSE),0)/IF(ISNUMBER(SEARCH("亿",$A$2)),100000000,IF(ISNUMBER(SEARCH("万",$A$2)),10000,1))</f>
        <v/>
      </c>
      <c r="C85" s="226">
        <f>ROUND(HLOOKUP($C$3,bs!$C$1:$AB$110,MATCH(TRIM(A85),TRIM(bs!$B$1:$B$110),0),FALSE),0)/IF(ISNUMBER(SEARCH("亿",$A$2)),100000000,IF(ISNUMBER(SEARCH("万",$A$2)),10000,1))</f>
        <v/>
      </c>
      <c r="D85" s="226">
        <f>ROUND(HLOOKUP($D$3,bs!$C$1:$AB$110,MATCH(TRIM(A85),TRIM(bs!$B$1:$B$110),0),FALSE),0)/IF(ISNUMBER(SEARCH("亿",$A$2)),100000000,IF(ISNUMBER(SEARCH("万",$A$2)),10000,1))</f>
        <v/>
      </c>
      <c r="E85" s="226">
        <f>ROUND(HLOOKUP($E$3,bs!$C$1:$AB$110,MATCH(TRIM(A85),TRIM(bs!$B$1:$B$110),0),FALSE),0)/IF(ISNUMBER(SEARCH("亿",$A$2)),100000000,IF(ISNUMBER(SEARCH("万",$A$2)),10000,1))</f>
        <v/>
      </c>
      <c r="H85" s="209">
        <f>B85+C85+D85+E85</f>
        <v/>
      </c>
      <c r="I85">
        <f>A85</f>
        <v/>
      </c>
      <c r="J85">
        <f>_xlfn.CONCAT(TEXT($E$3,"YYYY"),"年-",TEXT($C$3,"YYYY"),"年及",TEXT($B$3,"YYYY年MM月"),"，","拟承租人",I85,"分别为",TEXT(E85/10000,"0.00"),"亿元、",TEXT(D85/10000,"0.00"),"亿元、",TEXT(C85/10000,"0.00"),"亿元及",TEXT(B85/10000,"0.00"),"亿元。")</f>
        <v/>
      </c>
      <c r="M85" s="103">
        <f>(C85-D85)/D85</f>
        <v/>
      </c>
      <c r="N85" s="103">
        <f>(D85-E85)/E85</f>
        <v/>
      </c>
    </row>
    <row r="86" ht="18.75" customHeight="1">
      <c r="A86" s="141" t="inlineStr">
        <is>
          <t xml:space="preserve">  专项应付款 </t>
        </is>
      </c>
      <c r="B86" s="226">
        <f>ROUND(HLOOKUP($B$3,bs!$C$1:$AB$110,MATCH(TRIM(A86),TRIM(bs!$B$1:$B$110),0),FALSE),0)/IF(ISNUMBER(SEARCH("亿",$A$2)),100000000,IF(ISNUMBER(SEARCH("万",$A$2)),10000,1))</f>
        <v/>
      </c>
      <c r="C86" s="226">
        <f>ROUND(HLOOKUP($C$3,bs!$C$1:$AB$110,MATCH(TRIM(A86),TRIM(bs!$B$1:$B$110),0),FALSE),0)/IF(ISNUMBER(SEARCH("亿",$A$2)),100000000,IF(ISNUMBER(SEARCH("万",$A$2)),10000,1))</f>
        <v/>
      </c>
      <c r="D86" s="226">
        <f>ROUND(HLOOKUP($D$3,bs!$C$1:$AB$110,MATCH(TRIM(A86),TRIM(bs!$B$1:$B$110),0),FALSE),0)/IF(ISNUMBER(SEARCH("亿",$A$2)),100000000,IF(ISNUMBER(SEARCH("万",$A$2)),10000,1))</f>
        <v/>
      </c>
      <c r="E86" s="226">
        <f>ROUND(HLOOKUP($E$3,bs!$C$1:$AB$110,MATCH(TRIM(A86),TRIM(bs!$B$1:$B$110),0),FALSE),0)/IF(ISNUMBER(SEARCH("亿",$A$2)),100000000,IF(ISNUMBER(SEARCH("万",$A$2)),10000,1))</f>
        <v/>
      </c>
      <c r="H86" s="209">
        <f>B86+C86+D86+E86</f>
        <v/>
      </c>
      <c r="I86">
        <f>A86</f>
        <v/>
      </c>
    </row>
    <row r="87" ht="18.75" customHeight="1">
      <c r="A87" s="141" t="inlineStr">
        <is>
          <t xml:space="preserve">  长期应付款 </t>
        </is>
      </c>
      <c r="B87" s="226">
        <f>ROUND(HLOOKUP($B$3,bs!$C$1:$AB$110,MATCH(TRIM(A87),TRIM(bs!$B$1:$B$110),0),FALSE),0)/IF(ISNUMBER(SEARCH("亿",$A$2)),100000000,IF(ISNUMBER(SEARCH("万",$A$2)),10000,1))</f>
        <v/>
      </c>
      <c r="C87" s="226">
        <f>ROUND(HLOOKUP($C$3,bs!$C$1:$AB$110,MATCH(TRIM(A87),TRIM(bs!$B$1:$B$110),0),FALSE),0)/IF(ISNUMBER(SEARCH("亿",$A$2)),100000000,IF(ISNUMBER(SEARCH("万",$A$2)),10000,1))</f>
        <v/>
      </c>
      <c r="D87" s="226">
        <f>ROUND(HLOOKUP($D$3,bs!$C$1:$AB$110,MATCH(TRIM(A87),TRIM(bs!$B$1:$B$110),0),FALSE),0)/IF(ISNUMBER(SEARCH("亿",$A$2)),100000000,IF(ISNUMBER(SEARCH("万",$A$2)),10000,1))</f>
        <v/>
      </c>
      <c r="E87" s="226">
        <f>ROUND(HLOOKUP($E$3,bs!$C$1:$AB$110,MATCH(TRIM(A87),TRIM(bs!$B$1:$B$110),0),FALSE),0)/IF(ISNUMBER(SEARCH("亿",$A$2)),100000000,IF(ISNUMBER(SEARCH("万",$A$2)),10000,1))</f>
        <v/>
      </c>
      <c r="H87" s="209">
        <f>B87+C87+D87+E87</f>
        <v/>
      </c>
      <c r="I87">
        <f>A87</f>
        <v/>
      </c>
      <c r="J87">
        <f>_xlfn.CONCAT(TEXT($E$3,"YYYY"),"年-",TEXT($C$3,"YYYY"),"年及",TEXT($B$3,"YYYY年MM月"),"，","拟承租人",I87,"分别为",TEXT(E87/10000,"0.00"),"亿元、",TEXT(D87/10000,"0.00"),"亿元、",TEXT(C87/10000,"0.00"),"亿元及",TEXT(B87/10000,"0.00"),"亿元。")</f>
        <v/>
      </c>
      <c r="M87" s="103">
        <f>(C87-D87)/D87</f>
        <v/>
      </c>
      <c r="N87" s="103">
        <f>(D87-E87)/E87</f>
        <v/>
      </c>
    </row>
    <row r="88" ht="18.75" customHeight="1">
      <c r="A88" s="141" t="inlineStr">
        <is>
          <t xml:space="preserve">  长期应付职工薪酬</t>
        </is>
      </c>
      <c r="B88" s="226">
        <f>ROUND(HLOOKUP($B$3,bs!$C$1:$AB$110,MATCH(TRIM(A88),TRIM(bs!$B$1:$B$110),0),FALSE),0)/IF(ISNUMBER(SEARCH("亿",$A$2)),100000000,IF(ISNUMBER(SEARCH("万",$A$2)),10000,1))</f>
        <v/>
      </c>
      <c r="C88" s="226">
        <f>ROUND(HLOOKUP($C$3,bs!$C$1:$AB$110,MATCH(TRIM(A88),TRIM(bs!$B$1:$B$110),0),FALSE),0)/IF(ISNUMBER(SEARCH("亿",$A$2)),100000000,IF(ISNUMBER(SEARCH("万",$A$2)),10000,1))</f>
        <v/>
      </c>
      <c r="D88" s="226">
        <f>ROUND(HLOOKUP($D$3,bs!$C$1:$AB$110,MATCH(TRIM(A88),TRIM(bs!$B$1:$B$110),0),FALSE),0)/IF(ISNUMBER(SEARCH("亿",$A$2)),100000000,IF(ISNUMBER(SEARCH("万",$A$2)),10000,1))</f>
        <v/>
      </c>
      <c r="E88" s="226">
        <f>ROUND(HLOOKUP($E$3,bs!$C$1:$AB$110,MATCH(TRIM(A88),TRIM(bs!$B$1:$B$110),0),FALSE),0)/IF(ISNUMBER(SEARCH("亿",$A$2)),100000000,IF(ISNUMBER(SEARCH("万",$A$2)),10000,1))</f>
        <v/>
      </c>
      <c r="H88" s="209">
        <f>B88+C88+D88+E88</f>
        <v/>
      </c>
      <c r="I88">
        <f>A88</f>
        <v/>
      </c>
    </row>
    <row r="89" ht="18.75" customHeight="1">
      <c r="A89" s="141" t="inlineStr">
        <is>
          <t xml:space="preserve">  预计负债 </t>
        </is>
      </c>
      <c r="B89" s="226">
        <f>ROUND(HLOOKUP($B$3,bs!$C$1:$AB$110,MATCH(TRIM(A89),TRIM(bs!$B$1:$B$110),0),FALSE),0)/IF(ISNUMBER(SEARCH("亿",$A$2)),100000000,IF(ISNUMBER(SEARCH("万",$A$2)),10000,1))</f>
        <v/>
      </c>
      <c r="C89" s="226">
        <f>ROUND(HLOOKUP($C$3,bs!$C$1:$AB$110,MATCH(TRIM(A89),TRIM(bs!$B$1:$B$110),0),FALSE),0)/IF(ISNUMBER(SEARCH("亿",$A$2)),100000000,IF(ISNUMBER(SEARCH("万",$A$2)),10000,1))</f>
        <v/>
      </c>
      <c r="D89" s="226">
        <f>ROUND(HLOOKUP($D$3,bs!$C$1:$AB$110,MATCH(TRIM(A89),TRIM(bs!$B$1:$B$110),0),FALSE),0)/IF(ISNUMBER(SEARCH("亿",$A$2)),100000000,IF(ISNUMBER(SEARCH("万",$A$2)),10000,1))</f>
        <v/>
      </c>
      <c r="E89" s="226">
        <f>ROUND(HLOOKUP($E$3,bs!$C$1:$AB$110,MATCH(TRIM(A89),TRIM(bs!$B$1:$B$110),0),FALSE),0)/IF(ISNUMBER(SEARCH("亿",$A$2)),100000000,IF(ISNUMBER(SEARCH("万",$A$2)),10000,1))</f>
        <v/>
      </c>
      <c r="H89" s="209">
        <f>B89+C89+D89+E89</f>
        <v/>
      </c>
      <c r="I89">
        <f>A89</f>
        <v/>
      </c>
    </row>
    <row r="90" ht="18.75" customHeight="1">
      <c r="A90" s="141" t="inlineStr">
        <is>
          <t xml:space="preserve">  递延收益 </t>
        </is>
      </c>
      <c r="B90" s="226">
        <f>ROUND(HLOOKUP($B$3,bs!$C$1:$AB$110,MATCH(TRIM(A90),TRIM(bs!$B$1:$B$110),0),FALSE),0)/IF(ISNUMBER(SEARCH("亿",$A$2)),100000000,IF(ISNUMBER(SEARCH("万",$A$2)),10000,1))</f>
        <v/>
      </c>
      <c r="C90" s="226">
        <f>ROUND(HLOOKUP($C$3,bs!$C$1:$AB$110,MATCH(TRIM(A90),TRIM(bs!$B$1:$B$110),0),FALSE),0)/IF(ISNUMBER(SEARCH("亿",$A$2)),100000000,IF(ISNUMBER(SEARCH("万",$A$2)),10000,1))</f>
        <v/>
      </c>
      <c r="D90" s="226">
        <f>ROUND(HLOOKUP($D$3,bs!$C$1:$AB$110,MATCH(TRIM(A90),TRIM(bs!$B$1:$B$110),0),FALSE),0)/IF(ISNUMBER(SEARCH("亿",$A$2)),100000000,IF(ISNUMBER(SEARCH("万",$A$2)),10000,1))</f>
        <v/>
      </c>
      <c r="E90" s="226">
        <f>ROUND(HLOOKUP($E$3,bs!$C$1:$AB$110,MATCH(TRIM(A90),TRIM(bs!$B$1:$B$110),0),FALSE),0)/IF(ISNUMBER(SEARCH("亿",$A$2)),100000000,IF(ISNUMBER(SEARCH("万",$A$2)),10000,1))</f>
        <v/>
      </c>
      <c r="H90" s="209">
        <f>B90+C90+D90+E90</f>
        <v/>
      </c>
      <c r="I90">
        <f>A90</f>
        <v/>
      </c>
      <c r="J90">
        <f>_xlfn.CONCAT(TEXT($E$3,"YYYY"),"年-",TEXT($C$3,"YYYY"),"年及",TEXT($B$3,"YYYY年MM月"),"，","拟承租人",I90,"分别为",TEXT(E90/10000,"0.00"),"亿元、",TEXT(D90/10000,"0.00"),"亿元、",TEXT(C90/10000,"0.00"),"亿元及",TEXT(B90/10000,"0.00"),"亿元。")</f>
        <v/>
      </c>
      <c r="M90" s="103">
        <f>(C90-D90)/D90</f>
        <v/>
      </c>
      <c r="N90" s="103">
        <f>(D90-E90)/E90</f>
        <v/>
      </c>
    </row>
    <row r="91" ht="18.75" customHeight="1">
      <c r="A91" s="141" t="inlineStr">
        <is>
          <t xml:space="preserve">  递延所得税负债 </t>
        </is>
      </c>
      <c r="B91" s="226">
        <f>ROUND(HLOOKUP($B$3,bs!$C$1:$AB$110,MATCH(TRIM(A91),TRIM(bs!$B$1:$B$110),0),FALSE),0)/IF(ISNUMBER(SEARCH("亿",$A$2)),100000000,IF(ISNUMBER(SEARCH("万",$A$2)),10000,1))</f>
        <v/>
      </c>
      <c r="C91" s="226">
        <f>ROUND(HLOOKUP($C$3,bs!$C$1:$AB$110,MATCH(TRIM(A91),TRIM(bs!$B$1:$B$110),0),FALSE),0)/IF(ISNUMBER(SEARCH("亿",$A$2)),100000000,IF(ISNUMBER(SEARCH("万",$A$2)),10000,1))</f>
        <v/>
      </c>
      <c r="D91" s="226">
        <f>ROUND(HLOOKUP($D$3,bs!$C$1:$AB$110,MATCH(TRIM(A91),TRIM(bs!$B$1:$B$110),0),FALSE),0)/IF(ISNUMBER(SEARCH("亿",$A$2)),100000000,IF(ISNUMBER(SEARCH("万",$A$2)),10000,1))</f>
        <v/>
      </c>
      <c r="E91" s="226">
        <f>ROUND(HLOOKUP($E$3,bs!$C$1:$AB$110,MATCH(TRIM(A91),TRIM(bs!$B$1:$B$110),0),FALSE),0)/IF(ISNUMBER(SEARCH("亿",$A$2)),100000000,IF(ISNUMBER(SEARCH("万",$A$2)),10000,1))</f>
        <v/>
      </c>
      <c r="H91" s="209">
        <f>B91+C91+D91+E91</f>
        <v/>
      </c>
      <c r="I91">
        <f>A91</f>
        <v/>
      </c>
      <c r="J91">
        <f>_xlfn.CONCAT(TEXT($E$3,"YYYY"),"年-",TEXT($C$3,"YYYY"),"年及",TEXT($B$3,"YYYY年MM月"),"，","拟承租人",I91,"分别为",TEXT(E91/10000,"0.00"),"亿元、",TEXT(D91/10000,"0.00"),"亿元、",TEXT(C91/10000,"0.00"),"亿元及",TEXT(B91/10000,"0.00"),"亿元。")</f>
        <v/>
      </c>
      <c r="M91" s="103">
        <f>(C91-D91)/D91</f>
        <v/>
      </c>
      <c r="N91" s="103">
        <f>(D91-E91)/E91</f>
        <v/>
      </c>
    </row>
    <row r="92" ht="18.75" customHeight="1">
      <c r="A92" s="141" t="inlineStr">
        <is>
          <t xml:space="preserve">  其他非流动负债 </t>
        </is>
      </c>
      <c r="B92" s="226">
        <f>ROUND(HLOOKUP($B$3,bs!$C$1:$AB$110,MATCH(TRIM(A92),TRIM(bs!$B$1:$B$110),0),FALSE),0)/IF(ISNUMBER(SEARCH("亿",$A$2)),100000000,IF(ISNUMBER(SEARCH("万",$A$2)),10000,1))</f>
        <v/>
      </c>
      <c r="C92" s="226">
        <f>ROUND(HLOOKUP($C$3,bs!$C$1:$AB$110,MATCH(TRIM(A92),TRIM(bs!$B$1:$B$110),0),FALSE),0)/IF(ISNUMBER(SEARCH("亿",$A$2)),100000000,IF(ISNUMBER(SEARCH("万",$A$2)),10000,1))</f>
        <v/>
      </c>
      <c r="D92" s="226">
        <f>ROUND(HLOOKUP($D$3,bs!$C$1:$AB$110,MATCH(TRIM(A92),TRIM(bs!$B$1:$B$110),0),FALSE),0)/IF(ISNUMBER(SEARCH("亿",$A$2)),100000000,IF(ISNUMBER(SEARCH("万",$A$2)),10000,1))</f>
        <v/>
      </c>
      <c r="E92" s="226">
        <f>ROUND(HLOOKUP($E$3,bs!$C$1:$AB$110,MATCH(TRIM(A92),TRIM(bs!$B$1:$B$110),0),FALSE),0)/IF(ISNUMBER(SEARCH("亿",$A$2)),100000000,IF(ISNUMBER(SEARCH("万",$A$2)),10000,1))</f>
        <v/>
      </c>
      <c r="H92" s="209">
        <f>B92+C92+D92+E92</f>
        <v/>
      </c>
      <c r="I92">
        <f>A92</f>
        <v/>
      </c>
    </row>
    <row r="93" ht="18.75" customHeight="1">
      <c r="A93" s="144" t="inlineStr">
        <is>
          <t>非流动负债合计</t>
        </is>
      </c>
      <c r="B93" s="226">
        <f>ROUND(HLOOKUP($B$3,bs!$C$1:$AB$110,MATCH(TRIM(A93),TRIM(bs!$B$1:$B$110),0),FALSE),0)/IF(ISNUMBER(SEARCH("亿",$A$2)),100000000,IF(ISNUMBER(SEARCH("万",$A$2)),10000,1))</f>
        <v/>
      </c>
      <c r="C93" s="226">
        <f>ROUND(HLOOKUP($C$3,bs!$C$1:$AB$110,MATCH(TRIM(A93),TRIM(bs!$B$1:$B$110),0),FALSE),0)/IF(ISNUMBER(SEARCH("亿",$A$2)),100000000,IF(ISNUMBER(SEARCH("万",$A$2)),10000,1))</f>
        <v/>
      </c>
      <c r="D93" s="226">
        <f>ROUND(HLOOKUP($D$3,bs!$C$1:$AB$110,MATCH(TRIM(A93),TRIM(bs!$B$1:$B$110),0),FALSE),0)/IF(ISNUMBER(SEARCH("亿",$A$2)),100000000,IF(ISNUMBER(SEARCH("万",$A$2)),10000,1))</f>
        <v/>
      </c>
      <c r="E93" s="226">
        <f>ROUND(HLOOKUP($E$3,bs!$C$1:$AB$110,MATCH(TRIM(A93),TRIM(bs!$B$1:$B$110),0),FALSE),0)/IF(ISNUMBER(SEARCH("亿",$A$2)),100000000,IF(ISNUMBER(SEARCH("万",$A$2)),10000,1))</f>
        <v/>
      </c>
      <c r="H93" s="209">
        <f>B93+C93+D93+E93</f>
        <v/>
      </c>
      <c r="I93">
        <f>A93</f>
        <v/>
      </c>
      <c r="J93">
        <f>_xlfn.CONCAT(TEXT($E$3,"YYYY"),"年-",TEXT($C$3,"YYYY"),"年及",TEXT($B$3,"YYYY年MM月"),"，","拟承租人",I93,"分别为",TEXT(E93/10000,"0.00"),"亿元、",TEXT(D93/10000,"0.00"),"亿元、",TEXT(C93/10000,"0.00"),"亿元及",TEXT(B93/10000,"0.00"),"亿元。")</f>
        <v/>
      </c>
      <c r="M93" s="103">
        <f>(C93-D93)/D93</f>
        <v/>
      </c>
      <c r="N93" s="103">
        <f>(D93-E93)/E93</f>
        <v/>
      </c>
    </row>
    <row r="94" ht="18.75" customHeight="1">
      <c r="A94" s="144" t="inlineStr">
        <is>
          <t>负债合计</t>
        </is>
      </c>
      <c r="B94" s="226">
        <f>ROUND(HLOOKUP($B$3,bs!$C$1:$AB$110,MATCH(TRIM(A94),TRIM(bs!$B$1:$B$110),0),FALSE),0)/IF(ISNUMBER(SEARCH("亿",$A$2)),100000000,IF(ISNUMBER(SEARCH("万",$A$2)),10000,1))</f>
        <v/>
      </c>
      <c r="C94" s="226">
        <f>ROUND(HLOOKUP($C$3,bs!$C$1:$AB$110,MATCH(TRIM(A94),TRIM(bs!$B$1:$B$110),0),FALSE),0)/IF(ISNUMBER(SEARCH("亿",$A$2)),100000000,IF(ISNUMBER(SEARCH("万",$A$2)),10000,1))</f>
        <v/>
      </c>
      <c r="D94" s="226">
        <f>ROUND(HLOOKUP($D$3,bs!$C$1:$AB$110,MATCH(TRIM(A94),TRIM(bs!$B$1:$B$110),0),FALSE),0)/IF(ISNUMBER(SEARCH("亿",$A$2)),100000000,IF(ISNUMBER(SEARCH("万",$A$2)),10000,1))</f>
        <v/>
      </c>
      <c r="E94" s="226">
        <f>ROUND(HLOOKUP($E$3,bs!$C$1:$AB$110,MATCH(TRIM(A94),TRIM(bs!$B$1:$B$110),0),FALSE),0)/IF(ISNUMBER(SEARCH("亿",$A$2)),100000000,IF(ISNUMBER(SEARCH("万",$A$2)),10000,1))</f>
        <v/>
      </c>
      <c r="F94" s="20" t="inlineStr">
        <is>
          <t>公式和其他不一致，主要是筛选问题</t>
        </is>
      </c>
      <c r="H94" s="209">
        <f>B94+C94+D94+E94</f>
        <v/>
      </c>
      <c r="I94">
        <f>A94</f>
        <v/>
      </c>
      <c r="J94">
        <f>_xlfn.CONCAT(TEXT($E$3,"YYYY"),"年-",TEXT($C$3,"YYYY"),"年及",TEXT($B$3,"YYYY年MM月"),"，","拟承租人",I94,"分别为",TEXT(E94/10000,"0.00"),"亿元、",TEXT(D94/10000,"0.00"),"亿元、",TEXT(C94/10000,"0.00"),"亿元及",TEXT(B94/10000,"0.00"),"亿元。")</f>
        <v/>
      </c>
      <c r="M94" s="103">
        <f>(C94-D94)/D94</f>
        <v/>
      </c>
      <c r="N94" s="103">
        <f>(D94-E94)/E94</f>
        <v/>
      </c>
    </row>
    <row r="95" ht="18.75" customHeight="1">
      <c r="A95" s="141" t="inlineStr">
        <is>
          <t xml:space="preserve">  实收资本（或股本） </t>
        </is>
      </c>
      <c r="B95" s="226">
        <f>ROUND(HLOOKUP($B$3,bs!$C$1:$AB$110,MATCH(TRIM(A95),TRIM(bs!$B$1:$B$110),0),FALSE),0)/IF(ISNUMBER(SEARCH("亿",$A$2)),100000000,IF(ISNUMBER(SEARCH("万",$A$2)),10000,1))</f>
        <v/>
      </c>
      <c r="C95" s="226">
        <f>ROUND(HLOOKUP($C$3,bs!$C$1:$AB$110,MATCH(TRIM(A95),TRIM(bs!$B$1:$B$110),0),FALSE),0)/IF(ISNUMBER(SEARCH("亿",$A$2)),100000000,IF(ISNUMBER(SEARCH("万",$A$2)),10000,1))</f>
        <v/>
      </c>
      <c r="D95" s="226">
        <f>ROUND(HLOOKUP($D$3,bs!$C$1:$AB$110,MATCH(TRIM(A95),TRIM(bs!$B$1:$B$110),0),FALSE),0)/IF(ISNUMBER(SEARCH("亿",$A$2)),100000000,IF(ISNUMBER(SEARCH("万",$A$2)),10000,1))</f>
        <v/>
      </c>
      <c r="E95" s="226">
        <f>ROUND(HLOOKUP($E$3,bs!$C$1:$AB$110,MATCH(TRIM(A95),TRIM(bs!$B$1:$B$110),0),FALSE),0)/IF(ISNUMBER(SEARCH("亿",$A$2)),100000000,IF(ISNUMBER(SEARCH("万",$A$2)),10000,1))</f>
        <v/>
      </c>
      <c r="H95" s="209">
        <f>B95+C95+D95+E95</f>
        <v/>
      </c>
      <c r="I95">
        <f>A95</f>
        <v/>
      </c>
      <c r="J95">
        <f>_xlfn.CONCAT(TEXT($E$3,"YYYY"),"年-",TEXT($C$3,"YYYY"),"年及",TEXT($B$3,"YYYY年MM月"),"，","拟承租人",I95,"分别为",TEXT(E95/10000,"0.00"),"亿元、",TEXT(D95/10000,"0.00"),"亿元、",TEXT(C95/10000,"0.00"),"亿元及",TEXT(B95/10000,"0.00"),"亿元。")</f>
        <v/>
      </c>
      <c r="M95" s="103">
        <f>(C95-D95)/D95</f>
        <v/>
      </c>
      <c r="N95" s="103">
        <f>(D95-E95)/E95</f>
        <v/>
      </c>
    </row>
    <row r="96" ht="18.75" customHeight="1">
      <c r="A96" s="141" t="inlineStr">
        <is>
          <t xml:space="preserve">  其他权益工具 </t>
        </is>
      </c>
      <c r="B96" s="226">
        <f>ROUND(HLOOKUP($B$3,bs!$C$1:$AB$110,MATCH(TRIM(A96),TRIM(bs!$B$1:$B$110),0),FALSE),0)/IF(ISNUMBER(SEARCH("亿",$A$2)),100000000,IF(ISNUMBER(SEARCH("万",$A$2)),10000,1))</f>
        <v/>
      </c>
      <c r="C96" s="226">
        <f>ROUND(HLOOKUP($C$3,bs!$C$1:$AB$110,MATCH(TRIM(A96),TRIM(bs!$B$1:$B$110),0),FALSE),0)/IF(ISNUMBER(SEARCH("亿",$A$2)),100000000,IF(ISNUMBER(SEARCH("万",$A$2)),10000,1))</f>
        <v/>
      </c>
      <c r="D96" s="226">
        <f>ROUND(HLOOKUP($D$3,bs!$C$1:$AB$110,MATCH(TRIM(A96),TRIM(bs!$B$1:$B$110),0),FALSE),0)/IF(ISNUMBER(SEARCH("亿",$A$2)),100000000,IF(ISNUMBER(SEARCH("万",$A$2)),10000,1))</f>
        <v/>
      </c>
      <c r="E96" s="226">
        <f>ROUND(HLOOKUP($E$3,bs!$C$1:$AB$110,MATCH(TRIM(A96),TRIM(bs!$B$1:$B$110),0),FALSE),0)/IF(ISNUMBER(SEARCH("亿",$A$2)),100000000,IF(ISNUMBER(SEARCH("万",$A$2)),10000,1))</f>
        <v/>
      </c>
      <c r="H96" s="209">
        <f>B96+C96+D96+E96</f>
        <v/>
      </c>
      <c r="I96">
        <f>A96</f>
        <v/>
      </c>
    </row>
    <row r="97" ht="18.75" customHeight="1">
      <c r="A97" s="141" t="inlineStr">
        <is>
          <t xml:space="preserve">    其中：优先股 </t>
        </is>
      </c>
      <c r="B97" s="226">
        <f>ROUND(HLOOKUP($B$3,bs!$C$1:$AB$110,MATCH(TRIM(A97),TRIM(bs!$B$1:$B$110),0),FALSE),0)/IF(ISNUMBER(SEARCH("亿",$A$2)),100000000,IF(ISNUMBER(SEARCH("万",$A$2)),10000,1))</f>
        <v/>
      </c>
      <c r="C97" s="226">
        <f>ROUND(HLOOKUP($C$3,bs!$C$1:$AB$110,MATCH(TRIM(A97),TRIM(bs!$B$1:$B$110),0),FALSE),0)/IF(ISNUMBER(SEARCH("亿",$A$2)),100000000,IF(ISNUMBER(SEARCH("万",$A$2)),10000,1))</f>
        <v/>
      </c>
      <c r="D97" s="226">
        <f>ROUND(HLOOKUP($D$3,bs!$C$1:$AB$110,MATCH(TRIM(A97),TRIM(bs!$B$1:$B$110),0),FALSE),0)/IF(ISNUMBER(SEARCH("亿",$A$2)),100000000,IF(ISNUMBER(SEARCH("万",$A$2)),10000,1))</f>
        <v/>
      </c>
      <c r="E97" s="226">
        <f>ROUND(HLOOKUP($E$3,bs!$C$1:$AB$110,MATCH(TRIM(A97),TRIM(bs!$B$1:$B$110),0),FALSE),0)/IF(ISNUMBER(SEARCH("亿",$A$2)),100000000,IF(ISNUMBER(SEARCH("万",$A$2)),10000,1))</f>
        <v/>
      </c>
      <c r="H97" s="209">
        <f>B97+C97+D97+E97</f>
        <v/>
      </c>
      <c r="I97">
        <f>A97</f>
        <v/>
      </c>
    </row>
    <row r="98" ht="18.75" customHeight="1">
      <c r="A98" s="141" t="inlineStr">
        <is>
          <t xml:space="preserve">          永续债 </t>
        </is>
      </c>
      <c r="B98" s="226">
        <f>ROUND(HLOOKUP($B$3,bs!$C$1:$AB$110,MATCH(TRIM(A98),TRIM(bs!$B$1:$B$110),0),FALSE),0)/IF(ISNUMBER(SEARCH("亿",$A$2)),100000000,IF(ISNUMBER(SEARCH("万",$A$2)),10000,1))</f>
        <v/>
      </c>
      <c r="C98" s="226">
        <f>ROUND(HLOOKUP($C$3,bs!$C$1:$AB$110,MATCH(TRIM(A98),TRIM(bs!$B$1:$B$110),0),FALSE),0)/IF(ISNUMBER(SEARCH("亿",$A$2)),100000000,IF(ISNUMBER(SEARCH("万",$A$2)),10000,1))</f>
        <v/>
      </c>
      <c r="D98" s="226">
        <f>ROUND(HLOOKUP($D$3,bs!$C$1:$AB$110,MATCH(TRIM(A98),TRIM(bs!$B$1:$B$110),0),FALSE),0)/IF(ISNUMBER(SEARCH("亿",$A$2)),100000000,IF(ISNUMBER(SEARCH("万",$A$2)),10000,1))</f>
        <v/>
      </c>
      <c r="E98" s="226">
        <f>ROUND(HLOOKUP($E$3,bs!$C$1:$AB$110,MATCH(TRIM(A98),TRIM(bs!$B$1:$B$110),0),FALSE),0)/IF(ISNUMBER(SEARCH("亿",$A$2)),100000000,IF(ISNUMBER(SEARCH("万",$A$2)),10000,1))</f>
        <v/>
      </c>
      <c r="H98" s="209">
        <f>B98+C98+D98+E98</f>
        <v/>
      </c>
      <c r="I98">
        <f>A98</f>
        <v/>
      </c>
    </row>
    <row r="99" ht="18.75" customHeight="1">
      <c r="A99" s="141" t="inlineStr">
        <is>
          <t xml:space="preserve">  资本公积 </t>
        </is>
      </c>
      <c r="B99" s="226">
        <f>ROUND(HLOOKUP($B$3,bs!$C$1:$AB$110,MATCH(TRIM(A99),TRIM(bs!$B$1:$B$110),0),FALSE),0)/IF(ISNUMBER(SEARCH("亿",$A$2)),100000000,IF(ISNUMBER(SEARCH("万",$A$2)),10000,1))</f>
        <v/>
      </c>
      <c r="C99" s="226">
        <f>ROUND(HLOOKUP($C$3,bs!$C$1:$AB$110,MATCH(TRIM(A99),TRIM(bs!$B$1:$B$110),0),FALSE),0)/IF(ISNUMBER(SEARCH("亿",$A$2)),100000000,IF(ISNUMBER(SEARCH("万",$A$2)),10000,1))</f>
        <v/>
      </c>
      <c r="D99" s="226">
        <f>ROUND(HLOOKUP($D$3,bs!$C$1:$AB$110,MATCH(TRIM(A99),TRIM(bs!$B$1:$B$110),0),FALSE),0)/IF(ISNUMBER(SEARCH("亿",$A$2)),100000000,IF(ISNUMBER(SEARCH("万",$A$2)),10000,1))</f>
        <v/>
      </c>
      <c r="E99" s="226">
        <f>ROUND(HLOOKUP($E$3,bs!$C$1:$AB$110,MATCH(TRIM(A99),TRIM(bs!$B$1:$B$110),0),FALSE),0)/IF(ISNUMBER(SEARCH("亿",$A$2)),100000000,IF(ISNUMBER(SEARCH("万",$A$2)),10000,1))</f>
        <v/>
      </c>
      <c r="H99" s="209">
        <f>B99+C99+D99+E99</f>
        <v/>
      </c>
      <c r="I99">
        <f>A99</f>
        <v/>
      </c>
      <c r="J99">
        <f>_xlfn.CONCAT(TEXT($E$3,"YYYY"),"年-",TEXT($C$3,"YYYY"),"年及",TEXT($B$3,"YYYY年MM月"),"，","拟承租人",I99,"分别为",TEXT(E99/10000,"0.00"),"亿元、",TEXT(D99/10000,"0.00"),"亿元、",TEXT(C99/10000,"0.00"),"亿元及",TEXT(B99/10000,"0.00"),"亿元。")</f>
        <v/>
      </c>
      <c r="M99" s="103">
        <f>(C99-D99)/D99</f>
        <v/>
      </c>
      <c r="N99" s="103">
        <f>(D99-E99)/E99</f>
        <v/>
      </c>
    </row>
    <row r="100" ht="18.75" customHeight="1">
      <c r="A100" s="141" t="inlineStr">
        <is>
          <t xml:space="preserve">  减：库存股 </t>
        </is>
      </c>
      <c r="B100" s="226">
        <f>ROUND(HLOOKUP($B$3,bs!$C$1:$AB$110,MATCH(TRIM(A100),TRIM(bs!$B$1:$B$110),0),FALSE),0)/IF(ISNUMBER(SEARCH("亿",$A$2)),100000000,IF(ISNUMBER(SEARCH("万",$A$2)),10000,1))</f>
        <v/>
      </c>
      <c r="C100" s="226">
        <f>ROUND(HLOOKUP($C$3,bs!$C$1:$AB$110,MATCH(TRIM(A100),TRIM(bs!$B$1:$B$110),0),FALSE),0)/IF(ISNUMBER(SEARCH("亿",$A$2)),100000000,IF(ISNUMBER(SEARCH("万",$A$2)),10000,1))</f>
        <v/>
      </c>
      <c r="D100" s="226">
        <f>ROUND(HLOOKUP($D$3,bs!$C$1:$AB$110,MATCH(TRIM(A100),TRIM(bs!$B$1:$B$110),0),FALSE),0)/IF(ISNUMBER(SEARCH("亿",$A$2)),100000000,IF(ISNUMBER(SEARCH("万",$A$2)),10000,1))</f>
        <v/>
      </c>
      <c r="E100" s="226">
        <f>ROUND(HLOOKUP($E$3,bs!$C$1:$AB$110,MATCH(TRIM(A100),TRIM(bs!$B$1:$B$110),0),FALSE),0)/IF(ISNUMBER(SEARCH("亿",$A$2)),100000000,IF(ISNUMBER(SEARCH("万",$A$2)),10000,1))</f>
        <v/>
      </c>
      <c r="H100" s="209">
        <f>B100+C100+D100+E100</f>
        <v/>
      </c>
      <c r="I100">
        <f>A100</f>
        <v/>
      </c>
    </row>
    <row r="101" ht="18.75" customHeight="1">
      <c r="A101" s="141" t="inlineStr">
        <is>
          <t xml:space="preserve">  其他综合收益 </t>
        </is>
      </c>
      <c r="B101" s="226">
        <f>ROUND(HLOOKUP($B$3,bs!$C$1:$AB$110,MATCH(TRIM(A101),TRIM(bs!$B$1:$B$110),0),FALSE),0)/IF(ISNUMBER(SEARCH("亿",$A$2)),100000000,IF(ISNUMBER(SEARCH("万",$A$2)),10000,1))</f>
        <v/>
      </c>
      <c r="C101" s="226">
        <f>ROUND(HLOOKUP($C$3,bs!$C$1:$AB$110,MATCH(TRIM(A101),TRIM(bs!$B$1:$B$110),0),FALSE),0)/IF(ISNUMBER(SEARCH("亿",$A$2)),100000000,IF(ISNUMBER(SEARCH("万",$A$2)),10000,1))</f>
        <v/>
      </c>
      <c r="D101" s="226">
        <f>ROUND(HLOOKUP($D$3,bs!$C$1:$AB$110,MATCH(TRIM(A101),TRIM(bs!$B$1:$B$110),0),FALSE),0)/IF(ISNUMBER(SEARCH("亿",$A$2)),100000000,IF(ISNUMBER(SEARCH("万",$A$2)),10000,1))</f>
        <v/>
      </c>
      <c r="E101" s="226">
        <f>ROUND(HLOOKUP($E$3,bs!$C$1:$AB$110,MATCH(TRIM(A101),TRIM(bs!$B$1:$B$110),0),FALSE),0)/IF(ISNUMBER(SEARCH("亿",$A$2)),100000000,IF(ISNUMBER(SEARCH("万",$A$2)),10000,1))</f>
        <v/>
      </c>
      <c r="H101" s="209">
        <f>B101+C101+D101+E101</f>
        <v/>
      </c>
      <c r="I101">
        <f>A101</f>
        <v/>
      </c>
    </row>
    <row r="102" ht="18.75" customHeight="1">
      <c r="A102" s="141" t="inlineStr">
        <is>
          <t xml:space="preserve">  专项储备 400561</t>
        </is>
      </c>
      <c r="B102" s="226">
        <f>ROUND(HLOOKUP($B$3,bs!$C$1:$AB$110,MATCH(TRIM(A102),TRIM(bs!$B$1:$B$110),0),FALSE),0)/IF(ISNUMBER(SEARCH("亿",$A$2)),100000000,IF(ISNUMBER(SEARCH("万",$A$2)),10000,1))</f>
        <v/>
      </c>
      <c r="C102" s="226">
        <f>ROUND(HLOOKUP($C$3,bs!$C$1:$AB$110,MATCH(TRIM(A102),TRIM(bs!$B$1:$B$110),0),FALSE),0)/IF(ISNUMBER(SEARCH("亿",$A$2)),100000000,IF(ISNUMBER(SEARCH("万",$A$2)),10000,1))</f>
        <v/>
      </c>
      <c r="D102" s="226">
        <f>ROUND(HLOOKUP($D$3,bs!$C$1:$AB$110,MATCH(TRIM(A102),TRIM(bs!$B$1:$B$110),0),FALSE),0)/IF(ISNUMBER(SEARCH("亿",$A$2)),100000000,IF(ISNUMBER(SEARCH("万",$A$2)),10000,1))</f>
        <v/>
      </c>
      <c r="E102" s="226">
        <f>ROUND(HLOOKUP($E$3,bs!$C$1:$AB$110,MATCH(TRIM(A102),TRIM(bs!$B$1:$B$110),0),FALSE),0)/IF(ISNUMBER(SEARCH("亿",$A$2)),100000000,IF(ISNUMBER(SEARCH("万",$A$2)),10000,1))</f>
        <v/>
      </c>
      <c r="H102" s="209">
        <f>B102+C102+D102+E102</f>
        <v/>
      </c>
      <c r="I102">
        <f>A102</f>
        <v/>
      </c>
    </row>
    <row r="103" ht="18.75" customHeight="1">
      <c r="A103" s="141" t="inlineStr">
        <is>
          <t xml:space="preserve">  盈余公积 </t>
        </is>
      </c>
      <c r="B103" s="226">
        <f>ROUND(HLOOKUP($B$3,bs!$C$1:$AB$110,MATCH(TRIM(A103),TRIM(bs!$B$1:$B$110),0),FALSE),0)/IF(ISNUMBER(SEARCH("亿",$A$2)),100000000,IF(ISNUMBER(SEARCH("万",$A$2)),10000,1))</f>
        <v/>
      </c>
      <c r="C103" s="226">
        <f>ROUND(HLOOKUP($C$3,bs!$C$1:$AB$110,MATCH(TRIM(A103),TRIM(bs!$B$1:$B$110),0),FALSE),0)/IF(ISNUMBER(SEARCH("亿",$A$2)),100000000,IF(ISNUMBER(SEARCH("万",$A$2)),10000,1))</f>
        <v/>
      </c>
      <c r="D103" s="226">
        <f>ROUND(HLOOKUP($D$3,bs!$C$1:$AB$110,MATCH(TRIM(A103),TRIM(bs!$B$1:$B$110),0),FALSE),0)/IF(ISNUMBER(SEARCH("亿",$A$2)),100000000,IF(ISNUMBER(SEARCH("万",$A$2)),10000,1))</f>
        <v/>
      </c>
      <c r="E103" s="226">
        <f>ROUND(HLOOKUP($E$3,bs!$C$1:$AB$110,MATCH(TRIM(A103),TRIM(bs!$B$1:$B$110),0),FALSE),0)/IF(ISNUMBER(SEARCH("亿",$A$2)),100000000,IF(ISNUMBER(SEARCH("万",$A$2)),10000,1))</f>
        <v/>
      </c>
      <c r="H103" s="209">
        <f>B103+C103+D103+E103</f>
        <v/>
      </c>
      <c r="I103">
        <f>A103</f>
        <v/>
      </c>
      <c r="J103">
        <f>_xlfn.CONCAT(TEXT($E$3,"YYYY"),"年-",TEXT($C$3,"YYYY"),"年及",TEXT($B$3,"YYYY年MM月"),"，","拟承租人",I103,"分别为",TEXT(E103/10000,"0.00"),"亿元、",TEXT(D103/10000,"0.00"),"亿元、",TEXT(C103/10000,"0.00"),"亿元及",TEXT(B103/10000,"0.00"),"亿元。")</f>
        <v/>
      </c>
      <c r="M103" s="103">
        <f>(C103-D103)/D103</f>
        <v/>
      </c>
      <c r="N103" s="103">
        <f>(D103-E103)/E103</f>
        <v/>
      </c>
    </row>
    <row r="104" ht="18.75" customHeight="1">
      <c r="A104" s="141" t="inlineStr">
        <is>
          <t xml:space="preserve">  一般风险准备* </t>
        </is>
      </c>
      <c r="B104" s="226">
        <f>ROUND(HLOOKUP($B$3,bs!$C$1:$AB$110,MATCH(TRIM(A104),TRIM(bs!$B$1:$B$110),0),FALSE),0)/IF(ISNUMBER(SEARCH("亿",$A$2)),100000000,IF(ISNUMBER(SEARCH("万",$A$2)),10000,1))</f>
        <v/>
      </c>
      <c r="C104" s="226">
        <f>ROUND(HLOOKUP($C$3,bs!$C$1:$AB$110,MATCH(TRIM(A104),TRIM(bs!$B$1:$B$110),0),FALSE),0)/IF(ISNUMBER(SEARCH("亿",$A$2)),100000000,IF(ISNUMBER(SEARCH("万",$A$2)),10000,1))</f>
        <v/>
      </c>
      <c r="D104" s="226">
        <f>ROUND(HLOOKUP($D$3,bs!$C$1:$AB$110,MATCH(TRIM(A104),TRIM(bs!$B$1:$B$110),0),FALSE),0)/IF(ISNUMBER(SEARCH("亿",$A$2)),100000000,IF(ISNUMBER(SEARCH("万",$A$2)),10000,1))</f>
        <v/>
      </c>
      <c r="E104" s="226">
        <f>ROUND(HLOOKUP($E$3,bs!$C$1:$AB$110,MATCH(TRIM(A104),TRIM(bs!$B$1:$B$110),0),FALSE),0)/IF(ISNUMBER(SEARCH("亿",$A$2)),100000000,IF(ISNUMBER(SEARCH("万",$A$2)),10000,1))</f>
        <v/>
      </c>
      <c r="H104" s="209">
        <f>B104+C104+D104+E104</f>
        <v/>
      </c>
      <c r="I104">
        <f>A104</f>
        <v/>
      </c>
    </row>
    <row r="105" ht="18.75" customHeight="1">
      <c r="A105" s="141" t="inlineStr">
        <is>
          <t xml:space="preserve">  未分配利润 </t>
        </is>
      </c>
      <c r="B105" s="226">
        <f>ROUND(HLOOKUP($B$3,bs!$C$1:$AB$110,MATCH(TRIM(A105),TRIM(bs!$B$1:$B$110),0),FALSE),0)/IF(ISNUMBER(SEARCH("亿",$A$2)),100000000,IF(ISNUMBER(SEARCH("万",$A$2)),10000,1))</f>
        <v/>
      </c>
      <c r="C105" s="226">
        <f>ROUND(HLOOKUP($C$3,bs!$C$1:$AB$110,MATCH(TRIM(A105),TRIM(bs!$B$1:$B$110),0),FALSE),0)/IF(ISNUMBER(SEARCH("亿",$A$2)),100000000,IF(ISNUMBER(SEARCH("万",$A$2)),10000,1))</f>
        <v/>
      </c>
      <c r="D105" s="226">
        <f>ROUND(HLOOKUP($D$3,bs!$C$1:$AB$110,MATCH(TRIM(A105),TRIM(bs!$B$1:$B$110),0),FALSE),0)/IF(ISNUMBER(SEARCH("亿",$A$2)),100000000,IF(ISNUMBER(SEARCH("万",$A$2)),10000,1))</f>
        <v/>
      </c>
      <c r="E105" s="226">
        <f>ROUND(HLOOKUP($E$3,bs!$C$1:$AB$110,MATCH(TRIM(A105),TRIM(bs!$B$1:$B$110),0),FALSE),0)/IF(ISNUMBER(SEARCH("亿",$A$2)),100000000,IF(ISNUMBER(SEARCH("万",$A$2)),10000,1))</f>
        <v/>
      </c>
      <c r="H105" s="209">
        <f>B105+C105+D105+E105</f>
        <v/>
      </c>
      <c r="I105">
        <f>A105</f>
        <v/>
      </c>
      <c r="J105">
        <f>_xlfn.CONCAT(TEXT($E$3,"YYYY"),"年-",TEXT($C$3,"YYYY"),"年及",TEXT($B$3,"YYYY年MM月"),"，","拟承租人",I105,"分别为",TEXT(E105/10000,"0.00"),"亿元、",TEXT(D105/10000,"0.00"),"亿元、",TEXT(C105/10000,"0.00"),"亿元及",TEXT(B105/10000,"0.00"),"亿元。")</f>
        <v/>
      </c>
      <c r="M105" s="103">
        <f>(C105-D105)/D105</f>
        <v/>
      </c>
      <c r="N105" s="103">
        <f>(D105-E105)/E105</f>
        <v/>
      </c>
    </row>
    <row r="106" ht="36.75" customHeight="1">
      <c r="A106" s="141" t="inlineStr">
        <is>
          <t>归属于母公司所有者权益（或股东权益）合计</t>
        </is>
      </c>
      <c r="B106" s="226">
        <f>ROUND(HLOOKUP($B$3,bs!$C$1:$AB$110,MATCH(TRIM(A106),TRIM(bs!$B$1:$B$110),0),FALSE),0)/IF(ISNUMBER(SEARCH("亿",$A$2)),100000000,IF(ISNUMBER(SEARCH("万",$A$2)),10000,1))</f>
        <v/>
      </c>
      <c r="C106" s="226">
        <f>ROUND(HLOOKUP($C$3,bs!$C$1:$AB$110,MATCH(TRIM(A106),TRIM(bs!$B$1:$B$110),0),FALSE),0)/IF(ISNUMBER(SEARCH("亿",$A$2)),100000000,IF(ISNUMBER(SEARCH("万",$A$2)),10000,1))</f>
        <v/>
      </c>
      <c r="D106" s="226">
        <f>ROUND(HLOOKUP($D$3,bs!$C$1:$AB$110,MATCH(TRIM(A106),TRIM(bs!$B$1:$B$110),0),FALSE),0)/IF(ISNUMBER(SEARCH("亿",$A$2)),100000000,IF(ISNUMBER(SEARCH("万",$A$2)),10000,1))</f>
        <v/>
      </c>
      <c r="E106" s="226">
        <f>ROUND(HLOOKUP($E$3,bs!$C$1:$AB$110,MATCH(TRIM(A106),TRIM(bs!$B$1:$B$110),0),FALSE),0)/IF(ISNUMBER(SEARCH("亿",$A$2)),100000000,IF(ISNUMBER(SEARCH("万",$A$2)),10000,1))</f>
        <v/>
      </c>
      <c r="H106" s="209">
        <f>B106+C106+D106+E106</f>
        <v/>
      </c>
      <c r="I106">
        <f>A106</f>
        <v/>
      </c>
      <c r="J106">
        <f>_xlfn.CONCAT(TEXT($E$3,"YYYY"),"年-",TEXT($C$3,"YYYY"),"年及",TEXT($B$3,"YYYY年MM月"),"，","拟承租人",I106,"分别为",TEXT(E106/10000,"0.00"),"亿元、",TEXT(D106/10000,"0.00"),"亿元、",TEXT(C106/10000,"0.00"),"亿元及",TEXT(B106/10000,"0.00"),"亿元。")</f>
        <v/>
      </c>
      <c r="M106" s="103">
        <f>(C106-D106)/D106</f>
        <v/>
      </c>
      <c r="N106" s="103">
        <f>(D106-E106)/E106</f>
        <v/>
      </c>
    </row>
    <row r="107" ht="18.75" customHeight="1">
      <c r="A107" s="141" t="inlineStr">
        <is>
          <t xml:space="preserve">  少数股东权益 </t>
        </is>
      </c>
      <c r="B107" s="226">
        <f>ROUND(HLOOKUP($B$3,bs!$C$1:$AB$110,MATCH(TRIM(A107),TRIM(bs!$B$1:$B$110),0),FALSE),0)/IF(ISNUMBER(SEARCH("亿",$A$2)),100000000,IF(ISNUMBER(SEARCH("万",$A$2)),10000,1))</f>
        <v/>
      </c>
      <c r="C107" s="226">
        <f>ROUND(HLOOKUP($C$3,bs!$C$1:$AB$110,MATCH(TRIM(A107),TRIM(bs!$B$1:$B$110),0),FALSE),0)/IF(ISNUMBER(SEARCH("亿",$A$2)),100000000,IF(ISNUMBER(SEARCH("万",$A$2)),10000,1))</f>
        <v/>
      </c>
      <c r="D107" s="226">
        <f>ROUND(HLOOKUP($D$3,bs!$C$1:$AB$110,MATCH(TRIM(A107),TRIM(bs!$B$1:$B$110),0),FALSE),0)/IF(ISNUMBER(SEARCH("亿",$A$2)),100000000,IF(ISNUMBER(SEARCH("万",$A$2)),10000,1))</f>
        <v/>
      </c>
      <c r="E107" s="226">
        <f>ROUND(HLOOKUP($E$3,bs!$C$1:$AB$110,MATCH(TRIM(A107),TRIM(bs!$B$1:$B$110),0),FALSE),0)/IF(ISNUMBER(SEARCH("亿",$A$2)),100000000,IF(ISNUMBER(SEARCH("万",$A$2)),10000,1))</f>
        <v/>
      </c>
      <c r="H107" s="209">
        <f>B107+C107+D107+E107</f>
        <v/>
      </c>
      <c r="I107">
        <f>A107</f>
        <v/>
      </c>
      <c r="J107">
        <f>_xlfn.CONCAT(TEXT($E$3,"YYYY"),"年-",TEXT($C$3,"YYYY"),"年及",TEXT($B$3,"YYYY年MM月"),"，","拟承租人",I107,"分别为",TEXT(E107/10000,"0.00"),"亿元、",TEXT(D107/10000,"0.00"),"亿元、",TEXT(C107/10000,"0.00"),"亿元及",TEXT(B107/10000,"0.00"),"亿元。")</f>
        <v/>
      </c>
      <c r="M107" s="103">
        <f>(C107-D107)/D107</f>
        <v/>
      </c>
      <c r="N107" s="103">
        <f>(D107-E107)/E107</f>
        <v/>
      </c>
    </row>
    <row r="108" ht="18.75" customHeight="1">
      <c r="A108" s="144" t="inlineStr">
        <is>
          <t xml:space="preserve"> 所有者权益（或股东权益）合计 </t>
        </is>
      </c>
      <c r="B108" s="226">
        <f>ROUND(HLOOKUP($B$3,bs!$C$1:$AB$110,MATCH(TRIM(A108),TRIM(bs!$B$1:$B$110),0),FALSE),0)/IF(ISNUMBER(SEARCH("亿",$A$2)),100000000,IF(ISNUMBER(SEARCH("万",$A$2)),10000,1))</f>
        <v/>
      </c>
      <c r="C108" s="226">
        <f>ROUND(HLOOKUP($C$3,bs!$C$1:$AB$110,MATCH(TRIM(A108),TRIM(bs!$B$1:$B$110),0),FALSE),0)/IF(ISNUMBER(SEARCH("亿",$A$2)),100000000,IF(ISNUMBER(SEARCH("万",$A$2)),10000,1))</f>
        <v/>
      </c>
      <c r="D108" s="226">
        <f>ROUND(HLOOKUP($D$3,bs!$C$1:$AB$110,MATCH(TRIM(A108),TRIM(bs!$B$1:$B$110),0),FALSE),0)/IF(ISNUMBER(SEARCH("亿",$A$2)),100000000,IF(ISNUMBER(SEARCH("万",$A$2)),10000,1))</f>
        <v/>
      </c>
      <c r="E108" s="226">
        <f>ROUND(HLOOKUP($E$3,bs!$C$1:$AB$110,MATCH(TRIM(A108),TRIM(bs!$B$1:$B$110),0),FALSE),0)/IF(ISNUMBER(SEARCH("亿",$A$2)),100000000,IF(ISNUMBER(SEARCH("万",$A$2)),10000,1))</f>
        <v/>
      </c>
      <c r="F108">
        <f>LEFT(A108,5)</f>
        <v/>
      </c>
      <c r="G108">
        <f>MATCH(TRIM(LEFT(A108,5)),TRIM(bs!$B$1:$B$110),0)</f>
        <v/>
      </c>
      <c r="H108" s="209">
        <f>B108+C108+D108+E108</f>
        <v/>
      </c>
      <c r="I108">
        <f>A108</f>
        <v/>
      </c>
      <c r="J108">
        <f>_xlfn.CONCAT(TEXT($E$3,"YYYY"),"年-",TEXT($C$3,"YYYY"),"年及",TEXT($B$3,"YYYY年MM月"),"，","拟承租人",I108,"分别为",TEXT(E108/10000,"0.00"),"亿元、",TEXT(D108/10000,"0.00"),"亿元、",TEXT(C108/10000,"0.00"),"亿元及",TEXT(B108/10000,"0.00"),"亿元。")</f>
        <v/>
      </c>
      <c r="M108" s="103">
        <f>(C108-D108)/D108</f>
        <v/>
      </c>
      <c r="N108" s="103">
        <f>(D108-E108)/E108</f>
        <v/>
      </c>
    </row>
    <row r="109" ht="15.75" customHeight="1">
      <c r="A109" s="138" t="inlineStr">
        <is>
          <t>利润表</t>
        </is>
      </c>
      <c r="B109" s="139" t="n"/>
      <c r="C109" s="139" t="n"/>
      <c r="D109" s="139" t="n"/>
      <c r="E109" s="140" t="n"/>
      <c r="H109" s="209" t="n"/>
      <c r="I109">
        <f>A109</f>
        <v/>
      </c>
      <c r="J109">
        <f>_xlfn.CONCAT(TEXT($E$3,"YYYY"),"年-",TEXT($C$3,"YYYY"),"年及",TEXT($B$3,"YYYY年MM月"),"，","拟承租人",I109,"分别为",TEXT(E109/10000,"0.00"),"亿元、",TEXT(D109/10000,"0.00"),"亿元、",TEXT(C109/10000,"0.00"),"亿元及",TEXT(B109/10000,"0.00"),"亿元。")</f>
        <v/>
      </c>
      <c r="M109" s="103" t="n"/>
      <c r="N109" s="103" t="n"/>
    </row>
    <row r="110" ht="15.75" customHeight="1">
      <c r="A110" s="138">
        <f>$A$3</f>
        <v/>
      </c>
      <c r="B110" s="227">
        <f>TEXT(B$3,"YYYY年MM月")</f>
        <v/>
      </c>
      <c r="C110" s="227">
        <f>TEXT(C$3,"YYYY年MM月")</f>
        <v/>
      </c>
      <c r="D110" s="227">
        <f>TEXT(D$3,"YYYY年MM月")</f>
        <v/>
      </c>
      <c r="E110" s="227">
        <f>TEXT(E$3,"YYYY年MM月")</f>
        <v/>
      </c>
      <c r="H110" s="209" t="n"/>
      <c r="I110">
        <f>A110</f>
        <v/>
      </c>
      <c r="M110" s="103" t="n"/>
      <c r="N110" s="103" t="n"/>
    </row>
    <row r="111" ht="18.75" customHeight="1">
      <c r="A111" s="141" t="inlineStr">
        <is>
          <t>营业总收入</t>
        </is>
      </c>
      <c r="B111" s="226">
        <f>ROUND(HLOOKUP($B$3,pl!$C$1:$W$71,MATCH(TRIM(A111),TRIM(pl!$B$1:$B$110),0),FALSE),0)/IF(ISNUMBER(SEARCH("亿",$A$2)),100000000,IF(ISNUMBER(SEARCH("万",$A$2)),10000,1))</f>
        <v/>
      </c>
      <c r="C111" s="226">
        <f>ROUND(HLOOKUP($C$3,pl!$C$1:$W$71,MATCH(TRIM(A111),TRIM(pl!$B$1:$B$110),0),FALSE),0)/IF(ISNUMBER(SEARCH("亿",$A$2)),100000000,IF(ISNUMBER(SEARCH("万",$A$2)),10000,1))</f>
        <v/>
      </c>
      <c r="D111" s="226">
        <f>ROUND(HLOOKUP($D$3,pl!$C$1:$W$71,MATCH(TRIM(A111),TRIM(pl!$B$1:$B$110),0),FALSE),0)/IF(ISNUMBER(SEARCH("亿",$A$2)),100000000,IF(ISNUMBER(SEARCH("万",$A$2)),10000,1))</f>
        <v/>
      </c>
      <c r="E111" s="226">
        <f>ROUND(HLOOKUP($E$3,pl!$C$1:$W$71,MATCH(TRIM(A111),TRIM(pl!$B$1:$B$110),0),FALSE),0)/IF(ISNUMBER(SEARCH("亿",$A$2)),100000000,IF(ISNUMBER(SEARCH("万",$A$2)),10000,1))</f>
        <v/>
      </c>
      <c r="F111">
        <f>MATCH(TRIM(A111),TRIM(pl!$B$1:$B$110),0)</f>
        <v/>
      </c>
      <c r="G111">
        <f>HLOOKUP($E$3,pl!$C$1:$W$71,3,FALSE)</f>
        <v/>
      </c>
      <c r="H111" s="209" t="n"/>
      <c r="I111">
        <f>A111</f>
        <v/>
      </c>
      <c r="J111">
        <f>_xlfn.CONCAT(TEXT($E$3,"YYYY"),"年-",TEXT($C$3,"YYYY"),"年及",TEXT($B$3,"YYYY年MM月"),"，","拟承租人",I111,"分别为",TEXT(E111/10000,"0.00"),"亿元、",TEXT(D111/10000,"0.00"),"亿元、",TEXT(C111/10000,"0.00"),"亿元及",TEXT(B111/10000,"0.00"),"亿元。")</f>
        <v/>
      </c>
      <c r="K111" s="20" t="inlineStr">
        <is>
          <t>同比增长</t>
        </is>
      </c>
      <c r="L111" s="103">
        <f>(C111-D111)/D111</f>
        <v/>
      </c>
      <c r="M111" s="103">
        <f>(C111-D111)/D111</f>
        <v/>
      </c>
      <c r="N111" s="103">
        <f>(D111-E111)/E111</f>
        <v/>
      </c>
    </row>
    <row r="112" ht="18.75" customHeight="1">
      <c r="A112" s="141" t="inlineStr">
        <is>
          <t>营业成本</t>
        </is>
      </c>
      <c r="B112" s="226">
        <f>ROUND(HLOOKUP($B$3,pl!$C$1:$W$71,MATCH(TRIM(A112),TRIM(pl!$B$1:$B$110),0),FALSE),0)/IF(ISNUMBER(SEARCH("亿",$A$2)),100000000,IF(ISNUMBER(SEARCH("万",$A$2)),10000,1))</f>
        <v/>
      </c>
      <c r="C112" s="226">
        <f>ROUND(HLOOKUP($C$3,pl!$C$1:$W$71,MATCH(TRIM(A112),TRIM(pl!$B$1:$B$110),0),FALSE),0)/IF(ISNUMBER(SEARCH("亿",$A$2)),100000000,IF(ISNUMBER(SEARCH("万",$A$2)),10000,1))</f>
        <v/>
      </c>
      <c r="D112" s="226">
        <f>ROUND(HLOOKUP($D$3,pl!$C$1:$W$71,MATCH(TRIM(A112),TRIM(pl!$B$1:$B$110),0),FALSE),0)/IF(ISNUMBER(SEARCH("亿",$A$2)),100000000,IF(ISNUMBER(SEARCH("万",$A$2)),10000,1))</f>
        <v/>
      </c>
      <c r="E112" s="226">
        <f>ROUND(HLOOKUP($E$3,pl!$C$1:$W$71,MATCH(TRIM(A112),TRIM(pl!$B$1:$B$110),0),FALSE),0)/IF(ISNUMBER(SEARCH("亿",$A$2)),100000000,IF(ISNUMBER(SEARCH("万",$A$2)),10000,1))</f>
        <v/>
      </c>
      <c r="H112" s="209">
        <f>B112+C112+D112+E112</f>
        <v/>
      </c>
      <c r="I112">
        <f>A112</f>
        <v/>
      </c>
      <c r="J112">
        <f>_xlfn.CONCAT(TEXT($E$3,"YYYY"),"年-",TEXT($C$3,"YYYY"),"年及",TEXT($B$3,"YYYY年MM月"),"，","拟承租人",I112,"分别为",TEXT(E112/10000,"0.00"),"亿元、",TEXT(D112/10000,"0.00"),"亿元、",TEXT(C112/10000,"0.00"),"亿元及",TEXT(B112/10000,"0.00"),"亿元。")</f>
        <v/>
      </c>
      <c r="M112" s="103">
        <f>(C112-D112)/D112</f>
        <v/>
      </c>
      <c r="N112" s="103">
        <f>(D112-E112)/E112</f>
        <v/>
      </c>
    </row>
    <row r="113" ht="18.75" customHeight="1">
      <c r="A113" s="141" t="inlineStr">
        <is>
          <t>税金及附加</t>
        </is>
      </c>
      <c r="B113" s="226">
        <f>ROUND(HLOOKUP($B$3,pl!$C$1:$W$71,MATCH(TRIM(A113),TRIM(pl!$B$1:$B$110),0),FALSE),0)/IF(ISNUMBER(SEARCH("亿",$A$2)),100000000,IF(ISNUMBER(SEARCH("万",$A$2)),10000,1))</f>
        <v/>
      </c>
      <c r="C113" s="226">
        <f>ROUND(HLOOKUP($C$3,pl!$C$1:$W$71,MATCH(TRIM(A113),TRIM(pl!$B$1:$B$110),0),FALSE),0)/IF(ISNUMBER(SEARCH("亿",$A$2)),100000000,IF(ISNUMBER(SEARCH("万",$A$2)),10000,1))</f>
        <v/>
      </c>
      <c r="D113" s="226">
        <f>ROUND(HLOOKUP($D$3,pl!$C$1:$W$71,MATCH(TRIM(A113),TRIM(pl!$B$1:$B$110),0),FALSE),0)/IF(ISNUMBER(SEARCH("亿",$A$2)),100000000,IF(ISNUMBER(SEARCH("万",$A$2)),10000,1))</f>
        <v/>
      </c>
      <c r="E113" s="226">
        <f>ROUND(HLOOKUP($E$3,pl!$C$1:$W$71,MATCH(TRIM(A113),TRIM(pl!$B$1:$B$110),0),FALSE),0)/IF(ISNUMBER(SEARCH("亿",$A$2)),100000000,IF(ISNUMBER(SEARCH("万",$A$2)),10000,1))</f>
        <v/>
      </c>
      <c r="H113" s="209">
        <f>B113+C113+D113+E113</f>
        <v/>
      </c>
      <c r="I113">
        <f>A113</f>
        <v/>
      </c>
      <c r="J113">
        <f>_xlfn.CONCAT(TEXT($E$3,"YYYY"),"年-",TEXT($C$3,"YYYY"),"年及",TEXT($B$3,"YYYY年MM月"),"，","拟承租人",I113,"分别为",TEXT(E113/10000,"0.00"),"亿元、",TEXT(D113/10000,"0.00"),"亿元、",TEXT(C113/10000,"0.00"),"亿元及",TEXT(B113/10000,"0.00"),"亿元。")</f>
        <v/>
      </c>
      <c r="M113" s="103">
        <f>(C113-D113)/D113</f>
        <v/>
      </c>
      <c r="N113" s="103">
        <f>(D113-E113)/E113</f>
        <v/>
      </c>
    </row>
    <row r="114" ht="18.75" customHeight="1">
      <c r="A114" s="141" t="inlineStr">
        <is>
          <t>销售费用</t>
        </is>
      </c>
      <c r="B114" s="226">
        <f>ROUND(HLOOKUP($B$3,pl!$C$1:$W$71,MATCH(TRIM(A114),TRIM(pl!$B$1:$B$110),0),FALSE),0)/IF(ISNUMBER(SEARCH("亿",$A$2)),100000000,IF(ISNUMBER(SEARCH("万",$A$2)),10000,1))</f>
        <v/>
      </c>
      <c r="C114" s="226">
        <f>ROUND(HLOOKUP($C$3,pl!$C$1:$W$71,MATCH(TRIM(A114),TRIM(pl!$B$1:$B$110),0),FALSE),0)/IF(ISNUMBER(SEARCH("亿",$A$2)),100000000,IF(ISNUMBER(SEARCH("万",$A$2)),10000,1))</f>
        <v/>
      </c>
      <c r="D114" s="226">
        <f>ROUND(HLOOKUP($D$3,pl!$C$1:$W$71,MATCH(TRIM(A114),TRIM(pl!$B$1:$B$110),0),FALSE),0)/IF(ISNUMBER(SEARCH("亿",$A$2)),100000000,IF(ISNUMBER(SEARCH("万",$A$2)),10000,1))</f>
        <v/>
      </c>
      <c r="E114" s="226">
        <f>ROUND(HLOOKUP($E$3,pl!$C$1:$W$71,MATCH(TRIM(A114),TRIM(pl!$B$1:$B$110),0),FALSE),0)/IF(ISNUMBER(SEARCH("亿",$A$2)),100000000,IF(ISNUMBER(SEARCH("万",$A$2)),10000,1))</f>
        <v/>
      </c>
      <c r="H114" s="209">
        <f>B114+C114+D114+E114</f>
        <v/>
      </c>
      <c r="I114">
        <f>A114</f>
        <v/>
      </c>
      <c r="J114">
        <f>_xlfn.CONCAT(TEXT($E$3,"YYYY"),"年-",TEXT($C$3,"YYYY"),"年及",TEXT($B$3,"YYYY年MM月"),"，","拟承租人",I114,"分别为",TEXT(E114/10000,"0.00"),"亿元、",TEXT(D114/10000,"0.00"),"亿元、",TEXT(C114/10000,"0.00"),"亿元及",TEXT(B114/10000,"0.00"),"亿元。")</f>
        <v/>
      </c>
      <c r="M114" s="103">
        <f>(C114-D114)/D114</f>
        <v/>
      </c>
      <c r="N114" s="103">
        <f>(D114-E114)/E114</f>
        <v/>
      </c>
    </row>
    <row r="115" ht="18.75" customHeight="1">
      <c r="A115" s="141" t="inlineStr">
        <is>
          <t>管理费用</t>
        </is>
      </c>
      <c r="B115" s="226">
        <f>ROUND(HLOOKUP($B$3,pl!$C$1:$W$71,MATCH(TRIM(A115),TRIM(pl!$B$1:$B$110),0),FALSE),0)/IF(ISNUMBER(SEARCH("亿",$A$2)),100000000,IF(ISNUMBER(SEARCH("万",$A$2)),10000,1))</f>
        <v/>
      </c>
      <c r="C115" s="226">
        <f>ROUND(HLOOKUP($C$3,pl!$C$1:$W$71,MATCH(TRIM(A115),TRIM(pl!$B$1:$B$110),0),FALSE),0)/IF(ISNUMBER(SEARCH("亿",$A$2)),100000000,IF(ISNUMBER(SEARCH("万",$A$2)),10000,1))</f>
        <v/>
      </c>
      <c r="D115" s="226">
        <f>ROUND(HLOOKUP($D$3,pl!$C$1:$W$71,MATCH(TRIM(A115),TRIM(pl!$B$1:$B$110),0),FALSE),0)/IF(ISNUMBER(SEARCH("亿",$A$2)),100000000,IF(ISNUMBER(SEARCH("万",$A$2)),10000,1))</f>
        <v/>
      </c>
      <c r="E115" s="226">
        <f>ROUND(HLOOKUP($E$3,pl!$C$1:$W$71,MATCH(TRIM(A115),TRIM(pl!$B$1:$B$110),0),FALSE),0)/IF(ISNUMBER(SEARCH("亿",$A$2)),100000000,IF(ISNUMBER(SEARCH("万",$A$2)),10000,1))</f>
        <v/>
      </c>
      <c r="H115" s="209">
        <f>B115+C115+D115+E115</f>
        <v/>
      </c>
      <c r="I115">
        <f>A115</f>
        <v/>
      </c>
      <c r="J115">
        <f>_xlfn.CONCAT(TEXT($E$3,"YYYY"),"年-",TEXT($C$3,"YYYY"),"年及",TEXT($B$3,"YYYY年MM月"),"，","拟承租人",I115,"分别为",TEXT(E115/10000,"0.00"),"亿元、",TEXT(D115/10000,"0.00"),"亿元、",TEXT(C115/10000,"0.00"),"亿元及",TEXT(B115/10000,"0.00"),"亿元。")</f>
        <v/>
      </c>
      <c r="M115" s="103">
        <f>(C115-D115)/D115</f>
        <v/>
      </c>
      <c r="N115" s="103">
        <f>(D115-E115)/E115</f>
        <v/>
      </c>
    </row>
    <row r="116" ht="18.75" customHeight="1">
      <c r="A116" s="141" t="inlineStr">
        <is>
          <t>研发费用</t>
        </is>
      </c>
      <c r="B116" s="226">
        <f>ROUND(HLOOKUP($B$3,pl!$C$1:$W$71,MATCH(TRIM(A116),TRIM(pl!$B$1:$B$110),0),FALSE),0)/IF(ISNUMBER(SEARCH("亿",$A$2)),100000000,IF(ISNUMBER(SEARCH("万",$A$2)),10000,1))</f>
        <v/>
      </c>
      <c r="C116" s="226">
        <f>ROUND(HLOOKUP($C$3,pl!$C$1:$W$71,MATCH(TRIM(A116),TRIM(pl!$B$1:$B$110),0),FALSE),0)/IF(ISNUMBER(SEARCH("亿",$A$2)),100000000,IF(ISNUMBER(SEARCH("万",$A$2)),10000,1))</f>
        <v/>
      </c>
      <c r="D116" s="226">
        <f>ROUND(HLOOKUP($D$3,pl!$C$1:$W$71,MATCH(TRIM(A116),TRIM(pl!$B$1:$B$110),0),FALSE),0)/IF(ISNUMBER(SEARCH("亿",$A$2)),100000000,IF(ISNUMBER(SEARCH("万",$A$2)),10000,1))</f>
        <v/>
      </c>
      <c r="E116" s="226">
        <f>ROUND(HLOOKUP($E$3,pl!$C$1:$W$71,MATCH(TRIM(A116),TRIM(pl!$B$1:$B$110),0),FALSE),0)/IF(ISNUMBER(SEARCH("亿",$A$2)),100000000,IF(ISNUMBER(SEARCH("万",$A$2)),10000,1))</f>
        <v/>
      </c>
      <c r="H116" s="209">
        <f>B116+C116+D116+E116</f>
        <v/>
      </c>
      <c r="I116">
        <f>A116</f>
        <v/>
      </c>
      <c r="J116">
        <f>_xlfn.CONCAT(TEXT($E$3,"YYYY"),"年-",TEXT($C$3,"YYYY"),"年及",TEXT($B$3,"YYYY年MM月"),"，","拟承租人",I116,"分别为",TEXT(E116/10000,"0.00"),"亿元、",TEXT(D116/10000,"0.00"),"亿元、",TEXT(C116/10000,"0.00"),"亿元及",TEXT(B116/10000,"0.00"),"亿元。")</f>
        <v/>
      </c>
      <c r="M116" s="103">
        <f>(C116-D116)/D116</f>
        <v/>
      </c>
      <c r="N116" s="103">
        <f>(D116-E116)/E116</f>
        <v/>
      </c>
    </row>
    <row r="117" ht="18.75" customHeight="1">
      <c r="A117" s="141" t="inlineStr">
        <is>
          <t>财务费用</t>
        </is>
      </c>
      <c r="B117" s="226">
        <f>ROUND(HLOOKUP($B$3,pl!$C$1:$W$71,MATCH(TRIM(A117),TRIM(pl!$B$1:$B$110),0),FALSE),0)/IF(ISNUMBER(SEARCH("亿",$A$2)),100000000,IF(ISNUMBER(SEARCH("万",$A$2)),10000,1))</f>
        <v/>
      </c>
      <c r="C117" s="226">
        <f>ROUND(HLOOKUP($C$3,pl!$C$1:$W$71,MATCH(TRIM(A117),TRIM(pl!$B$1:$B$110),0),FALSE),0)/IF(ISNUMBER(SEARCH("亿",$A$2)),100000000,IF(ISNUMBER(SEARCH("万",$A$2)),10000,1))</f>
        <v/>
      </c>
      <c r="D117" s="226">
        <f>ROUND(HLOOKUP($D$3,pl!$C$1:$W$71,MATCH(TRIM(A117),TRIM(pl!$B$1:$B$110),0),FALSE),0)/IF(ISNUMBER(SEARCH("亿",$A$2)),100000000,IF(ISNUMBER(SEARCH("万",$A$2)),10000,1))</f>
        <v/>
      </c>
      <c r="E117" s="226">
        <f>ROUND(HLOOKUP($E$3,pl!$C$1:$W$71,MATCH(TRIM(A117),TRIM(pl!$B$1:$B$110),0),FALSE),0)/IF(ISNUMBER(SEARCH("亿",$A$2)),100000000,IF(ISNUMBER(SEARCH("万",$A$2)),10000,1))</f>
        <v/>
      </c>
      <c r="H117" s="209">
        <f>B117+C117+D117+E117</f>
        <v/>
      </c>
      <c r="I117">
        <f>A117</f>
        <v/>
      </c>
      <c r="J117">
        <f>_xlfn.CONCAT(TEXT($E$3,"YYYY"),"年-",TEXT($C$3,"YYYY"),"年及",TEXT($B$3,"YYYY年MM月"),"，","拟承租人",I117,"分别为",TEXT(E117/10000,"0.00"),"亿元、",TEXT(D117/10000,"0.00"),"亿元、",TEXT(C117/10000,"0.00"),"亿元及",TEXT(B117/10000,"0.00"),"亿元。")</f>
        <v/>
      </c>
      <c r="M117" s="103">
        <f>(C117-D117)/D117</f>
        <v/>
      </c>
      <c r="N117" s="103">
        <f>(D117-E117)/E117</f>
        <v/>
      </c>
    </row>
    <row r="118" ht="18.75" customHeight="1">
      <c r="A118" s="141" t="inlineStr">
        <is>
          <t>其他收益</t>
        </is>
      </c>
      <c r="B118" s="226">
        <f>ROUND(HLOOKUP($B$3,pl!$C$1:$W$71,MATCH(TRIM(A118),TRIM(pl!$B$1:$B$110),0),FALSE),0)/IF(ISNUMBER(SEARCH("亿",$A$2)),100000000,IF(ISNUMBER(SEARCH("万",$A$2)),10000,1))</f>
        <v/>
      </c>
      <c r="C118" s="226">
        <f>ROUND(HLOOKUP($C$3,pl!$C$1:$W$71,MATCH(TRIM(A118),TRIM(pl!$B$1:$B$110),0),FALSE),0)/IF(ISNUMBER(SEARCH("亿",$A$2)),100000000,IF(ISNUMBER(SEARCH("万",$A$2)),10000,1))</f>
        <v/>
      </c>
      <c r="D118" s="226">
        <f>ROUND(HLOOKUP($D$3,pl!$C$1:$W$71,MATCH(TRIM(A118),TRIM(pl!$B$1:$B$110),0),FALSE),0)/IF(ISNUMBER(SEARCH("亿",$A$2)),100000000,IF(ISNUMBER(SEARCH("万",$A$2)),10000,1))</f>
        <v/>
      </c>
      <c r="E118" s="226">
        <f>ROUND(HLOOKUP($E$3,pl!$C$1:$W$71,MATCH(TRIM(A118),TRIM(pl!$B$1:$B$110),0),FALSE),0)/IF(ISNUMBER(SEARCH("亿",$A$2)),100000000,IF(ISNUMBER(SEARCH("万",$A$2)),10000,1))</f>
        <v/>
      </c>
      <c r="H118" s="209">
        <f>B118+C118+D118+E118</f>
        <v/>
      </c>
      <c r="I118">
        <f>A118</f>
        <v/>
      </c>
      <c r="J118">
        <f>_xlfn.CONCAT(TEXT($E$3,"YYYY"),"年-",TEXT($C$3,"YYYY"),"年及",TEXT($B$3,"YYYY年MM月"),"，","拟承租人",I118,"分别为",TEXT(E118/10000,"0.00"),"亿元、",TEXT(D118/10000,"0.00"),"亿元、",TEXT(C118/10000,"0.00"),"亿元及",TEXT(B118/10000,"0.00"),"亿元。")</f>
        <v/>
      </c>
      <c r="M118" s="103">
        <f>(C118-D118)/D118</f>
        <v/>
      </c>
      <c r="N118" s="103">
        <f>(D118-E118)/E118</f>
        <v/>
      </c>
    </row>
    <row r="119" ht="18.75" customHeight="1">
      <c r="A119" s="141" t="inlineStr">
        <is>
          <t>投资收益</t>
        </is>
      </c>
      <c r="B119" s="226">
        <f>ROUND(HLOOKUP($B$3,pl!$C$1:$W$71,MATCH(TRIM(A119),TRIM(pl!$B$1:$B$110),0),FALSE),0)/IF(ISNUMBER(SEARCH("亿",$A$2)),100000000,IF(ISNUMBER(SEARCH("万",$A$2)),10000,1))</f>
        <v/>
      </c>
      <c r="C119" s="226">
        <f>ROUND(HLOOKUP($C$3,pl!$C$1:$W$71,MATCH(TRIM(A119),TRIM(pl!$B$1:$B$110),0),FALSE),0)/IF(ISNUMBER(SEARCH("亿",$A$2)),100000000,IF(ISNUMBER(SEARCH("万",$A$2)),10000,1))</f>
        <v/>
      </c>
      <c r="D119" s="226">
        <f>ROUND(HLOOKUP($D$3,pl!$C$1:$W$71,MATCH(TRIM(A119),TRIM(pl!$B$1:$B$110),0),FALSE),0)/IF(ISNUMBER(SEARCH("亿",$A$2)),100000000,IF(ISNUMBER(SEARCH("万",$A$2)),10000,1))</f>
        <v/>
      </c>
      <c r="E119" s="226">
        <f>ROUND(HLOOKUP($E$3,pl!$C$1:$W$71,MATCH(TRIM(A119),TRIM(pl!$B$1:$B$110),0),FALSE),0)/IF(ISNUMBER(SEARCH("亿",$A$2)),100000000,IF(ISNUMBER(SEARCH("万",$A$2)),10000,1))</f>
        <v/>
      </c>
      <c r="H119" s="209">
        <f>B119+C119+D119+E119</f>
        <v/>
      </c>
      <c r="I119">
        <f>A119</f>
        <v/>
      </c>
      <c r="J119">
        <f>_xlfn.CONCAT(TEXT($E$3,"YYYY"),"年-",TEXT($C$3,"YYYY"),"年及",TEXT($B$3,"YYYY年MM月"),"，","拟承租人",I119,"分别为",TEXT(E119/10000,"0.00"),"亿元、",TEXT(D119/10000,"0.00"),"亿元、",TEXT(C119/10000,"0.00"),"亿元及",TEXT(B119/10000,"0.00"),"亿元。")</f>
        <v/>
      </c>
      <c r="M119" s="103">
        <f>(C119-D119)/D119</f>
        <v/>
      </c>
      <c r="N119" s="103">
        <f>(D119-E119)/E119</f>
        <v/>
      </c>
    </row>
    <row r="120" ht="18.75" customHeight="1">
      <c r="A120" s="144" t="inlineStr">
        <is>
          <t>营业利润</t>
        </is>
      </c>
      <c r="B120" s="226">
        <f>ROUND(HLOOKUP($B$3,pl!$C$1:$W$71,MATCH(TRIM(A120),TRIM(pl!$B$1:$B$110),0),FALSE),0)/IF(ISNUMBER(SEARCH("亿",$A$2)),100000000,IF(ISNUMBER(SEARCH("万",$A$2)),10000,1))</f>
        <v/>
      </c>
      <c r="C120" s="226">
        <f>ROUND(HLOOKUP($C$3,pl!$C$1:$W$71,MATCH(TRIM(A120),TRIM(pl!$B$1:$B$110),0),FALSE),0)/IF(ISNUMBER(SEARCH("亿",$A$2)),100000000,IF(ISNUMBER(SEARCH("万",$A$2)),10000,1))</f>
        <v/>
      </c>
      <c r="D120" s="226">
        <f>ROUND(HLOOKUP($D$3,pl!$C$1:$W$71,MATCH(TRIM(A120),TRIM(pl!$B$1:$B$110),0),FALSE),0)/IF(ISNUMBER(SEARCH("亿",$A$2)),100000000,IF(ISNUMBER(SEARCH("万",$A$2)),10000,1))</f>
        <v/>
      </c>
      <c r="E120" s="226">
        <f>ROUND(HLOOKUP($E$3,pl!$C$1:$W$71,MATCH(TRIM(A120),TRIM(pl!$B$1:$B$110),0),FALSE),0)/IF(ISNUMBER(SEARCH("亿",$A$2)),100000000,IF(ISNUMBER(SEARCH("万",$A$2)),10000,1))</f>
        <v/>
      </c>
      <c r="H120" s="209">
        <f>B120+C120+D120+E120</f>
        <v/>
      </c>
      <c r="I120">
        <f>A120</f>
        <v/>
      </c>
      <c r="J120">
        <f>_xlfn.CONCAT(TEXT($E$3,"YYYY"),"年-",TEXT($C$3,"YYYY"),"年及",TEXT($B$3,"YYYY年MM月"),"，","拟承租人",I120,"分别为",TEXT(E120/10000,"0.00"),"亿元、",TEXT(D120/10000,"0.00"),"亿元、",TEXT(C120/10000,"0.00"),"亿元及",TEXT(B120/10000,"0.00"),"亿元。")</f>
        <v/>
      </c>
      <c r="M120" s="103">
        <f>(C120-D120)/D120</f>
        <v/>
      </c>
      <c r="N120" s="103">
        <f>(D120-E120)/E120</f>
        <v/>
      </c>
    </row>
    <row r="121" ht="18.75" customHeight="1">
      <c r="A121" s="144" t="inlineStr">
        <is>
          <t>利润总额</t>
        </is>
      </c>
      <c r="B121" s="226">
        <f>ROUND(HLOOKUP($B$3,pl!$C$1:$W$71,MATCH(TRIM(A121),TRIM(pl!$B$1:$B$110),0),FALSE),0)/IF(ISNUMBER(SEARCH("亿",$A$2)),100000000,IF(ISNUMBER(SEARCH("万",$A$2)),10000,1))</f>
        <v/>
      </c>
      <c r="C121" s="226">
        <f>ROUND(HLOOKUP($C$3,pl!$C$1:$W$71,MATCH(TRIM(A121),TRIM(pl!$B$1:$B$110),0),FALSE),0)/IF(ISNUMBER(SEARCH("亿",$A$2)),100000000,IF(ISNUMBER(SEARCH("万",$A$2)),10000,1))</f>
        <v/>
      </c>
      <c r="D121" s="226">
        <f>ROUND(HLOOKUP($D$3,pl!$C$1:$W$71,MATCH(TRIM(A121),TRIM(pl!$B$1:$B$110),0),FALSE),0)/IF(ISNUMBER(SEARCH("亿",$A$2)),100000000,IF(ISNUMBER(SEARCH("万",$A$2)),10000,1))</f>
        <v/>
      </c>
      <c r="E121" s="226">
        <f>ROUND(HLOOKUP($E$3,pl!$C$1:$W$71,MATCH(TRIM(A121),TRIM(pl!$B$1:$B$110),0),FALSE),0)/IF(ISNUMBER(SEARCH("亿",$A$2)),100000000,IF(ISNUMBER(SEARCH("万",$A$2)),10000,1))</f>
        <v/>
      </c>
      <c r="H121" s="209">
        <f>B121+C121+D121+E121</f>
        <v/>
      </c>
      <c r="I121">
        <f>A121</f>
        <v/>
      </c>
      <c r="J121">
        <f>_xlfn.CONCAT(TEXT($E$3,"YYYY"),"年-",TEXT($C$3,"YYYY"),"年及",TEXT($B$3,"YYYY年MM月"),"，","拟承租人",I121,"分别为",TEXT(E121/10000,"0.00"),"亿元、",TEXT(D121/10000,"0.00"),"亿元、",TEXT(C121/10000,"0.00"),"亿元及",TEXT(B121/10000,"0.00"),"亿元。")</f>
        <v/>
      </c>
      <c r="M121" s="103">
        <f>(C121-D121)/D121</f>
        <v/>
      </c>
      <c r="N121" s="103">
        <f>(D121-E121)/E121</f>
        <v/>
      </c>
    </row>
    <row r="122" ht="18.75" customHeight="1">
      <c r="A122" s="141" t="inlineStr">
        <is>
          <t>所得税费用</t>
        </is>
      </c>
      <c r="B122" s="226">
        <f>ROUND(HLOOKUP($B$3,pl!$C$1:$W$71,MATCH(TRIM(A122),TRIM(pl!$B$1:$B$110),0),FALSE),0)/IF(ISNUMBER(SEARCH("亿",$A$2)),100000000,IF(ISNUMBER(SEARCH("万",$A$2)),10000,1))</f>
        <v/>
      </c>
      <c r="C122" s="226">
        <f>ROUND(HLOOKUP($C$3,pl!$C$1:$W$71,MATCH(TRIM(A122),TRIM(pl!$B$1:$B$110),0),FALSE),0)/IF(ISNUMBER(SEARCH("亿",$A$2)),100000000,IF(ISNUMBER(SEARCH("万",$A$2)),10000,1))</f>
        <v/>
      </c>
      <c r="D122" s="226">
        <f>ROUND(HLOOKUP($D$3,pl!$C$1:$W$71,MATCH(TRIM(A122),TRIM(pl!$B$1:$B$110),0),FALSE),0)/IF(ISNUMBER(SEARCH("亿",$A$2)),100000000,IF(ISNUMBER(SEARCH("万",$A$2)),10000,1))</f>
        <v/>
      </c>
      <c r="E122" s="226">
        <f>ROUND(HLOOKUP($E$3,pl!$C$1:$W$71,MATCH(TRIM(A122),TRIM(pl!$B$1:$B$110),0),FALSE),0)/IF(ISNUMBER(SEARCH("亿",$A$2)),100000000,IF(ISNUMBER(SEARCH("万",$A$2)),10000,1))</f>
        <v/>
      </c>
      <c r="H122" s="209">
        <f>B122+C122+D122+E122</f>
        <v/>
      </c>
      <c r="I122">
        <f>A122</f>
        <v/>
      </c>
      <c r="J122">
        <f>_xlfn.CONCAT(TEXT($E$3,"YYYY"),"年-",TEXT($C$3,"YYYY"),"年及",TEXT($B$3,"YYYY年MM月"),"，","拟承租人",I122,"分别为",TEXT(E122/10000,"0.00"),"亿元、",TEXT(D122/10000,"0.00"),"亿元、",TEXT(C122/10000,"0.00"),"亿元及",TEXT(B122/10000,"0.00"),"亿元。")</f>
        <v/>
      </c>
      <c r="M122" s="103">
        <f>(C122-D122)/D122</f>
        <v/>
      </c>
      <c r="N122" s="103">
        <f>(D122-E122)/E122</f>
        <v/>
      </c>
    </row>
    <row r="123" ht="18.75" customHeight="1">
      <c r="A123" s="144" t="inlineStr">
        <is>
          <t>净利润</t>
        </is>
      </c>
      <c r="B123" s="226">
        <f>ROUND(HLOOKUP($B$3,pl!$C$1:$W$71,MATCH(TRIM(A123),TRIM(pl!$B$1:$B$110),0),FALSE),0)/IF(ISNUMBER(SEARCH("亿",$A$2)),100000000,IF(ISNUMBER(SEARCH("万",$A$2)),10000,1))</f>
        <v/>
      </c>
      <c r="C123" s="226">
        <f>ROUND(HLOOKUP($C$3,pl!$C$1:$W$71,MATCH(TRIM(A123),TRIM(pl!$B$1:$B$110),0),FALSE),0)/IF(ISNUMBER(SEARCH("亿",$A$2)),100000000,IF(ISNUMBER(SEARCH("万",$A$2)),10000,1))</f>
        <v/>
      </c>
      <c r="D123" s="226">
        <f>ROUND(HLOOKUP($D$3,pl!$C$1:$W$71,MATCH(TRIM(A123),TRIM(pl!$B$1:$B$110),0),FALSE),0)/IF(ISNUMBER(SEARCH("亿",$A$2)),100000000,IF(ISNUMBER(SEARCH("万",$A$2)),10000,1))</f>
        <v/>
      </c>
      <c r="E123" s="226">
        <f>ROUND(HLOOKUP($E$3,pl!$C$1:$W$71,MATCH(TRIM(A123),TRIM(pl!$B$1:$B$110),0),FALSE),0)/IF(ISNUMBER(SEARCH("亿",$A$2)),100000000,IF(ISNUMBER(SEARCH("万",$A$2)),10000,1))</f>
        <v/>
      </c>
      <c r="H123" s="209">
        <f>B123+C123+D123+E123</f>
        <v/>
      </c>
      <c r="I123">
        <f>A123</f>
        <v/>
      </c>
      <c r="J123">
        <f>_xlfn.CONCAT(TEXT($E$3,"YYYY"),"年-",TEXT($C$3,"YYYY"),"年及",TEXT($B$3,"YYYY年MM月"),"，","拟承租人",I123,"分别为",TEXT(E123/10000,"0.00"),"亿元、",TEXT(D123/10000,"0.00"),"亿元、",TEXT(C123/10000,"0.00"),"亿元及",TEXT(B123/10000,"0.00"),"亿元。")</f>
        <v/>
      </c>
      <c r="M123" s="103">
        <f>(C123-D123)/D123</f>
        <v/>
      </c>
      <c r="N123" s="103">
        <f>(D123-E123)/E123</f>
        <v/>
      </c>
    </row>
    <row r="124" ht="44.25" customHeight="1">
      <c r="A124" s="144" t="inlineStr">
        <is>
          <t>盈利情况简要分析</t>
        </is>
      </c>
      <c r="B124" s="146" t="n"/>
      <c r="C124" s="139" t="n"/>
      <c r="D124" s="139" t="n"/>
      <c r="E124" s="140" t="n"/>
      <c r="H124" s="209">
        <f>B124+C124+D124+E124</f>
        <v/>
      </c>
      <c r="I124">
        <f>A124</f>
        <v/>
      </c>
    </row>
    <row r="125" ht="15.75" customHeight="1">
      <c r="A125" s="147" t="inlineStr">
        <is>
          <t>现金流量表</t>
        </is>
      </c>
      <c r="B125" s="139" t="n"/>
      <c r="C125" s="139" t="n"/>
      <c r="D125" s="139" t="n"/>
      <c r="E125" s="148" t="n"/>
      <c r="H125" s="209" t="n"/>
      <c r="I125">
        <f>A125</f>
        <v/>
      </c>
      <c r="J125">
        <f>_xlfn.CONCAT(TEXT($E$3,"YYYY"),"年-",TEXT($C$3,"YYYY"),"年及",TEXT($B$3,"YYYY年MM月"),"，","拟承租人",I125,"分别为",TEXT(E125/10000,"0.00"),"亿元、",TEXT(D125/10000,"0.00"),"亿元、",TEXT(C125/10000,"0.00"),"亿元及",TEXT(B125/10000,"0.00"),"亿元。")</f>
        <v/>
      </c>
      <c r="M125" s="103" t="n"/>
      <c r="N125" s="103" t="n"/>
    </row>
    <row r="126" ht="15.75" customHeight="1">
      <c r="A126" s="138">
        <f>$A$3</f>
        <v/>
      </c>
      <c r="B126" s="227">
        <f>TEXT(B$3,"YYYY年MM月")</f>
        <v/>
      </c>
      <c r="C126" s="227">
        <f>TEXT(C$3,"YYYY年MM月")</f>
        <v/>
      </c>
      <c r="D126" s="227">
        <f>TEXT(D$3,"YYYY年MM月")</f>
        <v/>
      </c>
      <c r="E126" s="227">
        <f>TEXT(E$3,"YYYY年MM月")</f>
        <v/>
      </c>
      <c r="H126" s="209" t="n"/>
      <c r="I126">
        <f>A126</f>
        <v/>
      </c>
      <c r="M126" s="103" t="n"/>
      <c r="N126" s="103" t="n"/>
    </row>
    <row r="127" ht="31.7" customHeight="1">
      <c r="A127" s="144" t="inlineStr">
        <is>
          <t>销售商品、提供劳务收到的现金</t>
        </is>
      </c>
      <c r="B127" s="226">
        <f>ROUND(HLOOKUP($B$3,cf!$C$1:$Z$68,MATCH(TRIM(A127),TRIM(cf!$B$1:$B$110),0),FALSE),0)/IF(ISNUMBER(SEARCH("亿",$A$2)),100000000,IF(ISNUMBER(SEARCH("万",$A$2)),10000,1))</f>
        <v/>
      </c>
      <c r="C127" s="226">
        <f>ROUND(HLOOKUP($C$3,cf!$C$1:$Z$68,MATCH(TRIM(A127),TRIM(cf!$B$1:$B$110),0),FALSE),0)/IF(ISNUMBER(SEARCH("亿",$A$2)),100000000,IF(ISNUMBER(SEARCH("万",$A$2)),10000,1))</f>
        <v/>
      </c>
      <c r="D127" s="226">
        <f>ROUND(HLOOKUP($D$3,cf!$C$1:$Z$68,MATCH(TRIM(A127),TRIM(cf!$B$1:$B$110),0),FALSE),0)/IF(ISNUMBER(SEARCH("亿",$A$2)),100000000,IF(ISNUMBER(SEARCH("万",$A$2)),10000,1))</f>
        <v/>
      </c>
      <c r="E127" s="226">
        <f>ROUND(HLOOKUP($E$3,cf!$C$1:$Z$68,MATCH(TRIM(A127),TRIM(cf!$B$1:$B$110),0),FALSE),0)/IF(ISNUMBER(SEARCH("亿",$A$2)),100000000,IF(ISNUMBER(SEARCH("万",$A$2)),10000,1))</f>
        <v/>
      </c>
      <c r="F127">
        <f>MATCH(TRIM(A127),TRIM(cf!$B$1:$B$110),0)</f>
        <v/>
      </c>
      <c r="G127">
        <f>HLOOKUP($B$3,cf!$C$1:$Z$68,F127,FALSE)</f>
        <v/>
      </c>
      <c r="H127" s="209">
        <f>B127+C127+D127+E127</f>
        <v/>
      </c>
      <c r="I127">
        <f>A127</f>
        <v/>
      </c>
      <c r="J127">
        <f>_xlfn.CONCAT(TEXT($E$3,"YYYY"),"年-",TEXT($C$3,"YYYY"),"年及",TEXT($B$3,"YYYY年MM月"),"，","拟承租人",I127,"分别为",TEXT(E127/10000,"0.00"),"亿元、",TEXT(D127/10000,"0.00"),"亿元、",TEXT(C127/10000,"0.00"),"亿元及",TEXT(B127/10000,"0.00"),"亿元。")</f>
        <v/>
      </c>
      <c r="M127" s="103">
        <f>(C127-D127)/D127</f>
        <v/>
      </c>
      <c r="N127" s="103">
        <f>(D127-E127)/E127</f>
        <v/>
      </c>
    </row>
    <row r="128" ht="18.75" customHeight="1">
      <c r="A128" s="141" t="inlineStr">
        <is>
          <t>经营活动现金流入小计</t>
        </is>
      </c>
      <c r="B128" s="226">
        <f>ROUND(HLOOKUP($B$3,cf!$C$1:$Z$68,MATCH(TRIM(A128),TRIM(cf!$B$1:$B$110),0),FALSE),0)/IF(ISNUMBER(SEARCH("亿",$A$2)),100000000,IF(ISNUMBER(SEARCH("万",$A$2)),10000,1))</f>
        <v/>
      </c>
      <c r="C128" s="226">
        <f>ROUND(HLOOKUP($C$3,cf!$C$1:$Z$68,MATCH(TRIM(A128),TRIM(cf!$B$1:$B$110),0),FALSE),0)/IF(ISNUMBER(SEARCH("亿",$A$2)),100000000,IF(ISNUMBER(SEARCH("万",$A$2)),10000,1))</f>
        <v/>
      </c>
      <c r="D128" s="226">
        <f>ROUND(HLOOKUP($D$3,cf!$C$1:$Z$68,MATCH(TRIM(A128),TRIM(cf!$B$1:$B$110),0),FALSE),0)/IF(ISNUMBER(SEARCH("亿",$A$2)),100000000,IF(ISNUMBER(SEARCH("万",$A$2)),10000,1))</f>
        <v/>
      </c>
      <c r="E128" s="226">
        <f>ROUND(HLOOKUP($E$3,cf!$C$1:$Z$68,MATCH(TRIM(A128),TRIM(cf!$B$1:$B$110),0),FALSE),0)/IF(ISNUMBER(SEARCH("亿",$A$2)),100000000,IF(ISNUMBER(SEARCH("万",$A$2)),10000,1))</f>
        <v/>
      </c>
      <c r="H128" s="209">
        <f>B128+C128+D128+E128</f>
        <v/>
      </c>
      <c r="I128">
        <f>A128</f>
        <v/>
      </c>
      <c r="J128">
        <f>_xlfn.CONCAT(TEXT($E$3,"YYYY"),"年-",TEXT($C$3,"YYYY"),"年及",TEXT($B$3,"YYYY年MM月"),"，","拟承租人",I128,"分别为",TEXT(E128/10000,"0.00"),"亿元、",TEXT(D128/10000,"0.00"),"亿元、",TEXT(C128/10000,"0.00"),"亿元及",TEXT(B128/10000,"0.00"),"亿元。")</f>
        <v/>
      </c>
      <c r="M128" s="103">
        <f>(C128-D128)/D128</f>
        <v/>
      </c>
      <c r="N128" s="103">
        <f>(D128-E128)/E128</f>
        <v/>
      </c>
    </row>
    <row r="129" ht="18.75" customHeight="1">
      <c r="A129" s="141" t="inlineStr">
        <is>
          <t>经营活动现金流出小计</t>
        </is>
      </c>
      <c r="B129" s="226">
        <f>ROUND(HLOOKUP($B$3,cf!$C$1:$Z$68,MATCH(TRIM(A129),TRIM(cf!$B$1:$B$110),0),FALSE),0)/IF(ISNUMBER(SEARCH("亿",$A$2)),100000000,IF(ISNUMBER(SEARCH("万",$A$2)),10000,1))</f>
        <v/>
      </c>
      <c r="C129" s="226">
        <f>ROUND(HLOOKUP($C$3,cf!$C$1:$Z$68,MATCH(TRIM(A129),TRIM(cf!$B$1:$B$110),0),FALSE),0)/IF(ISNUMBER(SEARCH("亿",$A$2)),100000000,IF(ISNUMBER(SEARCH("万",$A$2)),10000,1))</f>
        <v/>
      </c>
      <c r="D129" s="226">
        <f>ROUND(HLOOKUP($D$3,cf!$C$1:$Z$68,MATCH(TRIM(A129),TRIM(cf!$B$1:$B$110),0),FALSE),0)/IF(ISNUMBER(SEARCH("亿",$A$2)),100000000,IF(ISNUMBER(SEARCH("万",$A$2)),10000,1))</f>
        <v/>
      </c>
      <c r="E129" s="226">
        <f>ROUND(HLOOKUP($E$3,cf!$C$1:$Z$68,MATCH(TRIM(A129),TRIM(cf!$B$1:$B$110),0),FALSE),0)/IF(ISNUMBER(SEARCH("亿",$A$2)),100000000,IF(ISNUMBER(SEARCH("万",$A$2)),10000,1))</f>
        <v/>
      </c>
      <c r="H129" s="209">
        <f>B129+C129+D129+E129</f>
        <v/>
      </c>
      <c r="I129">
        <f>A129</f>
        <v/>
      </c>
      <c r="J129">
        <f>_xlfn.CONCAT(TEXT($E$3,"YYYY"),"年-",TEXT($C$3,"YYYY"),"年及",TEXT($B$3,"YYYY年MM月"),"，","拟承租人",I129,"分别为",TEXT(E129/10000,"0.00"),"亿元、",TEXT(D129/10000,"0.00"),"亿元、",TEXT(C129/10000,"0.00"),"亿元及",TEXT(B129/10000,"0.00"),"亿元。")</f>
        <v/>
      </c>
      <c r="M129" s="103">
        <f>(C129-D129)/D129</f>
        <v/>
      </c>
      <c r="N129" s="103">
        <f>(D129-E129)/E129</f>
        <v/>
      </c>
    </row>
    <row r="130" ht="18.75" customHeight="1">
      <c r="A130" s="144" t="inlineStr">
        <is>
          <t>经营活动产生的现金流量净额</t>
        </is>
      </c>
      <c r="B130" s="226">
        <f>ROUND(HLOOKUP($B$3,cf!$C$1:$Z$68,MATCH(TRIM(A130),TRIM(cf!$B$1:$B$110),0),FALSE),0)/IF(ISNUMBER(SEARCH("亿",$A$2)),100000000,IF(ISNUMBER(SEARCH("万",$A$2)),10000,1))</f>
        <v/>
      </c>
      <c r="C130" s="226">
        <f>ROUND(HLOOKUP($C$3,cf!$C$1:$Z$68,MATCH(TRIM(A130),TRIM(cf!$B$1:$B$110),0),FALSE),0)/IF(ISNUMBER(SEARCH("亿",$A$2)),100000000,IF(ISNUMBER(SEARCH("万",$A$2)),10000,1))</f>
        <v/>
      </c>
      <c r="D130" s="226">
        <f>ROUND(HLOOKUP($D$3,cf!$C$1:$Z$68,MATCH(TRIM(A130),TRIM(cf!$B$1:$B$110),0),FALSE),0)/IF(ISNUMBER(SEARCH("亿",$A$2)),100000000,IF(ISNUMBER(SEARCH("万",$A$2)),10000,1))</f>
        <v/>
      </c>
      <c r="E130" s="226">
        <f>ROUND(HLOOKUP($E$3,cf!$C$1:$Z$68,MATCH(TRIM(A130),TRIM(cf!$B$1:$B$110),0),FALSE),0)/IF(ISNUMBER(SEARCH("亿",$A$2)),100000000,IF(ISNUMBER(SEARCH("万",$A$2)),10000,1))</f>
        <v/>
      </c>
      <c r="H130" s="209">
        <f>B130+C130+D130+E130</f>
        <v/>
      </c>
      <c r="I130">
        <f>A130</f>
        <v/>
      </c>
      <c r="J130">
        <f>_xlfn.CONCAT(TEXT($E$3,"YYYY"),"年-",TEXT($C$3,"YYYY"),"年及",TEXT($B$3,"YYYY年MM月"),"，","拟承租人",I130,"分别为",TEXT(E130/10000,"0.00"),"亿元、",TEXT(D130/10000,"0.00"),"亿元、",TEXT(C130/10000,"0.00"),"亿元及",TEXT(B130/10000,"0.00"),"亿元。")</f>
        <v/>
      </c>
      <c r="M130" s="103">
        <f>(C130-D130)/D130</f>
        <v/>
      </c>
      <c r="N130" s="103">
        <f>(D130-E130)/E130</f>
        <v/>
      </c>
    </row>
    <row r="131" ht="18.75" customHeight="1">
      <c r="A131" s="141" t="inlineStr">
        <is>
          <t>投资活动现金流入小计</t>
        </is>
      </c>
      <c r="B131" s="226">
        <f>ROUND(HLOOKUP($B$3,cf!$C$1:$Z$68,MATCH(TRIM(A131),TRIM(cf!$B$1:$B$110),0),FALSE),0)/IF(ISNUMBER(SEARCH("亿",$A$2)),100000000,IF(ISNUMBER(SEARCH("万",$A$2)),10000,1))</f>
        <v/>
      </c>
      <c r="C131" s="226">
        <f>ROUND(HLOOKUP($C$3,cf!$C$1:$Z$68,MATCH(TRIM(A131),TRIM(cf!$B$1:$B$110),0),FALSE),0)/IF(ISNUMBER(SEARCH("亿",$A$2)),100000000,IF(ISNUMBER(SEARCH("万",$A$2)),10000,1))</f>
        <v/>
      </c>
      <c r="D131" s="226">
        <f>ROUND(HLOOKUP($D$3,cf!$C$1:$Z$68,MATCH(TRIM(A131),TRIM(cf!$B$1:$B$110),0),FALSE),0)/IF(ISNUMBER(SEARCH("亿",$A$2)),100000000,IF(ISNUMBER(SEARCH("万",$A$2)),10000,1))</f>
        <v/>
      </c>
      <c r="E131" s="226">
        <f>ROUND(HLOOKUP($E$3,cf!$C$1:$Z$68,MATCH(TRIM(A131),TRIM(cf!$B$1:$B$110),0),FALSE),0)/IF(ISNUMBER(SEARCH("亿",$A$2)),100000000,IF(ISNUMBER(SEARCH("万",$A$2)),10000,1))</f>
        <v/>
      </c>
      <c r="H131" s="209">
        <f>B131+C131+D131+E131</f>
        <v/>
      </c>
      <c r="I131">
        <f>A131</f>
        <v/>
      </c>
      <c r="J131">
        <f>_xlfn.CONCAT(TEXT($E$3,"YYYY"),"年-",TEXT($C$3,"YYYY"),"年及",TEXT($B$3,"YYYY年MM月"),"，","拟承租人",I131,"分别为",TEXT(E131/10000,"0.00"),"亿元、",TEXT(D131/10000,"0.00"),"亿元、",TEXT(C131/10000,"0.00"),"亿元及",TEXT(B131/10000,"0.00"),"亿元。")</f>
        <v/>
      </c>
      <c r="M131" s="103">
        <f>(C131-D131)/D131</f>
        <v/>
      </c>
      <c r="N131" s="103">
        <f>(D131-E131)/E131</f>
        <v/>
      </c>
    </row>
    <row r="132" ht="18.75" customHeight="1">
      <c r="A132" s="141" t="inlineStr">
        <is>
          <t>投资活动现金流出小计</t>
        </is>
      </c>
      <c r="B132" s="226">
        <f>ROUND(HLOOKUP($B$3,cf!$C$1:$Z$68,MATCH(TRIM(A132),TRIM(cf!$B$1:$B$110),0),FALSE),0)/IF(ISNUMBER(SEARCH("亿",$A$2)),100000000,IF(ISNUMBER(SEARCH("万",$A$2)),10000,1))</f>
        <v/>
      </c>
      <c r="C132" s="226">
        <f>ROUND(HLOOKUP($C$3,cf!$C$1:$Z$68,MATCH(TRIM(A132),TRIM(cf!$B$1:$B$110),0),FALSE),0)/IF(ISNUMBER(SEARCH("亿",$A$2)),100000000,IF(ISNUMBER(SEARCH("万",$A$2)),10000,1))</f>
        <v/>
      </c>
      <c r="D132" s="226">
        <f>ROUND(HLOOKUP($D$3,cf!$C$1:$Z$68,MATCH(TRIM(A132),TRIM(cf!$B$1:$B$110),0),FALSE),0)/IF(ISNUMBER(SEARCH("亿",$A$2)),100000000,IF(ISNUMBER(SEARCH("万",$A$2)),10000,1))</f>
        <v/>
      </c>
      <c r="E132" s="226">
        <f>ROUND(HLOOKUP($E$3,cf!$C$1:$Z$68,MATCH(TRIM(A132),TRIM(cf!$B$1:$B$110),0),FALSE),0)/IF(ISNUMBER(SEARCH("亿",$A$2)),100000000,IF(ISNUMBER(SEARCH("万",$A$2)),10000,1))</f>
        <v/>
      </c>
      <c r="H132" s="209">
        <f>B132+C132+D132+E132</f>
        <v/>
      </c>
      <c r="I132">
        <f>A132</f>
        <v/>
      </c>
      <c r="J132">
        <f>_xlfn.CONCAT(TEXT($E$3,"YYYY"),"年-",TEXT($C$3,"YYYY"),"年及",TEXT($B$3,"YYYY年MM月"),"，","拟承租人",I132,"分别为",TEXT(E132/10000,"0.00"),"亿元、",TEXT(D132/10000,"0.00"),"亿元、",TEXT(C132/10000,"0.00"),"亿元及",TEXT(B132/10000,"0.00"),"亿元。")</f>
        <v/>
      </c>
      <c r="M132" s="103">
        <f>(C132-D132)/D132</f>
        <v/>
      </c>
      <c r="N132" s="103">
        <f>(D132-E132)/E132</f>
        <v/>
      </c>
    </row>
    <row r="133" ht="18.75" customHeight="1">
      <c r="A133" s="144" t="inlineStr">
        <is>
          <t>投资活动产生的现金流量净额</t>
        </is>
      </c>
      <c r="B133" s="226">
        <f>ROUND(HLOOKUP($B$3,cf!$C$1:$Z$68,MATCH(TRIM(A133),TRIM(cf!$B$1:$B$110),0),FALSE),0)/IF(ISNUMBER(SEARCH("亿",$A$2)),100000000,IF(ISNUMBER(SEARCH("万",$A$2)),10000,1))</f>
        <v/>
      </c>
      <c r="C133" s="226">
        <f>ROUND(HLOOKUP($C$3,cf!$C$1:$Z$68,MATCH(TRIM(A133),TRIM(cf!$B$1:$B$110),0),FALSE),0)/IF(ISNUMBER(SEARCH("亿",$A$2)),100000000,IF(ISNUMBER(SEARCH("万",$A$2)),10000,1))</f>
        <v/>
      </c>
      <c r="D133" s="226">
        <f>ROUND(HLOOKUP($D$3,cf!$C$1:$Z$68,MATCH(TRIM(A133),TRIM(cf!$B$1:$B$110),0),FALSE),0)/IF(ISNUMBER(SEARCH("亿",$A$2)),100000000,IF(ISNUMBER(SEARCH("万",$A$2)),10000,1))</f>
        <v/>
      </c>
      <c r="E133" s="226">
        <f>ROUND(HLOOKUP($E$3,cf!$C$1:$Z$68,MATCH(TRIM(A133),TRIM(cf!$B$1:$B$110),0),FALSE),0)/IF(ISNUMBER(SEARCH("亿",$A$2)),100000000,IF(ISNUMBER(SEARCH("万",$A$2)),10000,1))</f>
        <v/>
      </c>
      <c r="H133" s="209">
        <f>B133+C133+D133+E133</f>
        <v/>
      </c>
      <c r="I133">
        <f>A133</f>
        <v/>
      </c>
      <c r="J133">
        <f>_xlfn.CONCAT(TEXT($E$3,"YYYY"),"年-",TEXT($C$3,"YYYY"),"年及",TEXT($B$3,"YYYY年MM月"),"，","拟承租人",I133,"分别为",TEXT(E133/10000,"0.00"),"亿元、",TEXT(D133/10000,"0.00"),"亿元、",TEXT(C133/10000,"0.00"),"亿元及",TEXT(B133/10000,"0.00"),"亿元。")</f>
        <v/>
      </c>
      <c r="M133" s="103">
        <f>(C133-D133)/D133</f>
        <v/>
      </c>
      <c r="N133" s="103">
        <f>(D133-E133)/E133</f>
        <v/>
      </c>
    </row>
    <row r="134" ht="18.75" customHeight="1">
      <c r="A134" s="141" t="inlineStr">
        <is>
          <t>筹资活动现金流入小计</t>
        </is>
      </c>
      <c r="B134" s="226">
        <f>ROUND(HLOOKUP($B$3,cf!$C$1:$Z$68,MATCH(TRIM(A134),TRIM(cf!$B$1:$B$110),0),FALSE),0)/IF(ISNUMBER(SEARCH("亿",$A$2)),100000000,IF(ISNUMBER(SEARCH("万",$A$2)),10000,1))</f>
        <v/>
      </c>
      <c r="C134" s="226">
        <f>ROUND(HLOOKUP($C$3,cf!$C$1:$Z$68,MATCH(TRIM(A134),TRIM(cf!$B$1:$B$110),0),FALSE),0)/IF(ISNUMBER(SEARCH("亿",$A$2)),100000000,IF(ISNUMBER(SEARCH("万",$A$2)),10000,1))</f>
        <v/>
      </c>
      <c r="D134" s="226">
        <f>ROUND(HLOOKUP($D$3,cf!$C$1:$Z$68,MATCH(TRIM(A134),TRIM(cf!$B$1:$B$110),0),FALSE),0)/IF(ISNUMBER(SEARCH("亿",$A$2)),100000000,IF(ISNUMBER(SEARCH("万",$A$2)),10000,1))</f>
        <v/>
      </c>
      <c r="E134" s="226">
        <f>ROUND(HLOOKUP($E$3,cf!$C$1:$Z$68,MATCH(TRIM(A134),TRIM(cf!$B$1:$B$110),0),FALSE),0)/IF(ISNUMBER(SEARCH("亿",$A$2)),100000000,IF(ISNUMBER(SEARCH("万",$A$2)),10000,1))</f>
        <v/>
      </c>
      <c r="H134" s="209">
        <f>B134+C134+D134+E134</f>
        <v/>
      </c>
      <c r="I134">
        <f>A134</f>
        <v/>
      </c>
      <c r="J134">
        <f>_xlfn.CONCAT(TEXT($E$3,"YYYY"),"年-",TEXT($C$3,"YYYY"),"年及",TEXT($B$3,"YYYY年MM月"),"，","拟承租人",I134,"分别为",TEXT(E134/10000,"0.00"),"亿元、",TEXT(D134/10000,"0.00"),"亿元、",TEXT(C134/10000,"0.00"),"亿元及",TEXT(B134/10000,"0.00"),"亿元。")</f>
        <v/>
      </c>
      <c r="M134" s="103">
        <f>(C134-D134)/D134</f>
        <v/>
      </c>
      <c r="N134" s="103">
        <f>(D134-E134)/E134</f>
        <v/>
      </c>
    </row>
    <row r="135" ht="18.75" customHeight="1">
      <c r="A135" s="141" t="inlineStr">
        <is>
          <t>筹资活动现金流出小计</t>
        </is>
      </c>
      <c r="B135" s="226">
        <f>ROUND(HLOOKUP($B$3,cf!$C$1:$Z$68,MATCH(TRIM(A135),TRIM(cf!$B$1:$B$110),0),FALSE),0)/IF(ISNUMBER(SEARCH("亿",$A$2)),100000000,IF(ISNUMBER(SEARCH("万",$A$2)),10000,1))</f>
        <v/>
      </c>
      <c r="C135" s="226">
        <f>ROUND(HLOOKUP($C$3,cf!$C$1:$Z$68,MATCH(TRIM(A135),TRIM(cf!$B$1:$B$110),0),FALSE),0)/IF(ISNUMBER(SEARCH("亿",$A$2)),100000000,IF(ISNUMBER(SEARCH("万",$A$2)),10000,1))</f>
        <v/>
      </c>
      <c r="D135" s="226">
        <f>ROUND(HLOOKUP($D$3,cf!$C$1:$Z$68,MATCH(TRIM(A135),TRIM(cf!$B$1:$B$110),0),FALSE),0)/IF(ISNUMBER(SEARCH("亿",$A$2)),100000000,IF(ISNUMBER(SEARCH("万",$A$2)),10000,1))</f>
        <v/>
      </c>
      <c r="E135" s="226">
        <f>ROUND(HLOOKUP($E$3,cf!$C$1:$Z$68,MATCH(TRIM(A135),TRIM(cf!$B$1:$B$110),0),FALSE),0)/IF(ISNUMBER(SEARCH("亿",$A$2)),100000000,IF(ISNUMBER(SEARCH("万",$A$2)),10000,1))</f>
        <v/>
      </c>
      <c r="H135" s="209">
        <f>B135+C135+D135+E135</f>
        <v/>
      </c>
      <c r="I135">
        <f>A135</f>
        <v/>
      </c>
      <c r="J135">
        <f>_xlfn.CONCAT(TEXT($E$3,"YYYY"),"年-",TEXT($C$3,"YYYY"),"年及",TEXT($B$3,"YYYY年MM月"),"，","拟承租人",I135,"分别为",TEXT(E135/10000,"0.00"),"亿元、",TEXT(D135/10000,"0.00"),"亿元、",TEXT(C135/10000,"0.00"),"亿元及",TEXT(B135/10000,"0.00"),"亿元。")</f>
        <v/>
      </c>
      <c r="M135" s="103">
        <f>(C135-D135)/D135</f>
        <v/>
      </c>
      <c r="N135" s="103">
        <f>(D135-E135)/E135</f>
        <v/>
      </c>
    </row>
    <row r="136" ht="18.75" customHeight="1">
      <c r="A136" s="144" t="inlineStr">
        <is>
          <t>筹资活动产生的现金流量净额</t>
        </is>
      </c>
      <c r="B136" s="226">
        <f>ROUND(HLOOKUP($B$3,cf!$C$1:$Z$68,MATCH(TRIM(A136),TRIM(cf!$B$1:$B$110),0),FALSE),0)/IF(ISNUMBER(SEARCH("亿",$A$2)),100000000,IF(ISNUMBER(SEARCH("万",$A$2)),10000,1))</f>
        <v/>
      </c>
      <c r="C136" s="226">
        <f>ROUND(HLOOKUP($C$3,cf!$C$1:$Z$68,MATCH(TRIM(A136),TRIM(cf!$B$1:$B$110),0),FALSE),0)/IF(ISNUMBER(SEARCH("亿",$A$2)),100000000,IF(ISNUMBER(SEARCH("万",$A$2)),10000,1))</f>
        <v/>
      </c>
      <c r="D136" s="226">
        <f>ROUND(HLOOKUP($D$3,cf!$C$1:$Z$68,MATCH(TRIM(A136),TRIM(cf!$B$1:$B$110),0),FALSE),0)/IF(ISNUMBER(SEARCH("亿",$A$2)),100000000,IF(ISNUMBER(SEARCH("万",$A$2)),10000,1))</f>
        <v/>
      </c>
      <c r="E136" s="226">
        <f>ROUND(HLOOKUP($E$3,cf!$C$1:$Z$68,MATCH(TRIM(A136),TRIM(cf!$B$1:$B$110),0),FALSE),0)/IF(ISNUMBER(SEARCH("亿",$A$2)),100000000,IF(ISNUMBER(SEARCH("万",$A$2)),10000,1))</f>
        <v/>
      </c>
      <c r="H136" s="209">
        <f>B136+C136+D136+E136</f>
        <v/>
      </c>
      <c r="I136">
        <f>A136</f>
        <v/>
      </c>
      <c r="J136">
        <f>_xlfn.CONCAT(TEXT($E$3,"YYYY"),"年-",TEXT($C$3,"YYYY"),"年及",TEXT($B$3,"YYYY年MM月"),"，","拟承租人",I136,"分别为",TEXT(E136/10000,"0.00"),"亿元、",TEXT(D136/10000,"0.00"),"亿元、",TEXT(C136/10000,"0.00"),"亿元及",TEXT(B136/10000,"0.00"),"亿元。")</f>
        <v/>
      </c>
      <c r="M136" s="103">
        <f>(C136-D136)/D136</f>
        <v/>
      </c>
      <c r="N136" s="103">
        <f>(D136-E136)/E136</f>
        <v/>
      </c>
    </row>
    <row r="137" ht="18.75" customHeight="1">
      <c r="A137" s="144" t="inlineStr">
        <is>
          <t>现金及现金等价物净增加额</t>
        </is>
      </c>
      <c r="B137" s="226">
        <f>ROUND(HLOOKUP($B$3,cf!$C$1:$Z$68,MATCH(TRIM(A137),TRIM(cf!$B$1:$B$110),0),FALSE),0)/IF(ISNUMBER(SEARCH("亿",$A$2)),100000000,IF(ISNUMBER(SEARCH("万",$A$2)),10000,1))</f>
        <v/>
      </c>
      <c r="C137" s="226">
        <f>ROUND(HLOOKUP($C$3,cf!$C$1:$Z$68,MATCH(TRIM(A137),TRIM(cf!$B$1:$B$110),0),FALSE),0)/IF(ISNUMBER(SEARCH("亿",$A$2)),100000000,IF(ISNUMBER(SEARCH("万",$A$2)),10000,1))</f>
        <v/>
      </c>
      <c r="D137" s="226">
        <f>ROUND(HLOOKUP($D$3,cf!$C$1:$Z$68,MATCH(TRIM(A137),TRIM(cf!$B$1:$B$110),0),FALSE),0)/IF(ISNUMBER(SEARCH("亿",$A$2)),100000000,IF(ISNUMBER(SEARCH("万",$A$2)),10000,1))</f>
        <v/>
      </c>
      <c r="E137" s="226">
        <f>ROUND(HLOOKUP($E$3,cf!$C$1:$Z$68,MATCH(TRIM(A137),TRIM(cf!$B$1:$B$110),0),FALSE),0)/IF(ISNUMBER(SEARCH("亿",$A$2)),100000000,IF(ISNUMBER(SEARCH("万",$A$2)),10000,1))</f>
        <v/>
      </c>
      <c r="H137" s="209">
        <f>B137+C137+D137+E137</f>
        <v/>
      </c>
      <c r="I137">
        <f>A137</f>
        <v/>
      </c>
      <c r="J137">
        <f>_xlfn.CONCAT(TEXT($E$3,"YYYY"),"年-",TEXT($C$3,"YYYY"),"年及",TEXT($B$3,"YYYY年MM月"),"，","拟承租人",I137,"分别为",TEXT(E137/10000,"0.00"),"亿元、",TEXT(D137/10000,"0.00"),"亿元、",TEXT(C137/10000,"0.00"),"亿元及",TEXT(B137/10000,"0.00"),"亿元。")</f>
        <v/>
      </c>
      <c r="M137" s="103">
        <f>(C137-D137)/D137</f>
        <v/>
      </c>
      <c r="N137" s="103">
        <f>(D137-E137)/E137</f>
        <v/>
      </c>
    </row>
    <row r="138" ht="44.25" customHeight="1">
      <c r="A138" s="144" t="inlineStr">
        <is>
          <t>现金流情况简要分析</t>
        </is>
      </c>
      <c r="B138" s="149" t="n"/>
      <c r="C138" s="139" t="n"/>
      <c r="D138" s="139" t="n"/>
      <c r="E138" s="140" t="n"/>
      <c r="H138" s="209">
        <f>B138+C138+D138+E138</f>
        <v/>
      </c>
      <c r="I138">
        <f>A138</f>
        <v/>
      </c>
    </row>
    <row r="139" ht="15.75" customHeight="1">
      <c r="A139" s="138" t="inlineStr">
        <is>
          <t>偿债能力分析</t>
        </is>
      </c>
      <c r="B139" s="139" t="n"/>
      <c r="C139" s="139" t="n"/>
      <c r="D139" s="139" t="n"/>
      <c r="E139" s="140" t="n"/>
      <c r="H139" s="209" t="n"/>
      <c r="I139">
        <f>A139</f>
        <v/>
      </c>
      <c r="J139">
        <f>_xlfn.CONCAT(TEXT($E$3,"YYYY"),"年-",TEXT($C$3,"YYYY"),"年及",TEXT($B$3,"YYYY年MM月"),"，","拟承租人",I139,"分别为",TEXT(E139/10000,"0.00"),"亿元、",TEXT(D139/10000,"0.00"),"亿元、",TEXT(C139/10000,"0.00"),"亿元及",TEXT(B139/10000,"0.00"),"亿元。")</f>
        <v/>
      </c>
      <c r="M139" s="103" t="n"/>
      <c r="N139" s="103" t="n"/>
    </row>
    <row r="140" ht="15.75" customHeight="1">
      <c r="A140" s="138">
        <f>$A$3</f>
        <v/>
      </c>
      <c r="B140" s="227">
        <f>TEXT(B$3,"YYYY年MM月")</f>
        <v/>
      </c>
      <c r="C140" s="227">
        <f>TEXT(C$3,"YYYY年MM月")</f>
        <v/>
      </c>
      <c r="D140" s="227">
        <f>TEXT(D$3,"YYYY年MM月")</f>
        <v/>
      </c>
      <c r="E140" s="227">
        <f>TEXT(E$3,"YYYY年MM月")</f>
        <v/>
      </c>
      <c r="H140" s="209" t="n"/>
      <c r="I140">
        <f>A140</f>
        <v/>
      </c>
      <c r="M140" s="103">
        <f>(C140-D140)/D140</f>
        <v/>
      </c>
      <c r="N140" s="103">
        <f>(D140-E140)/E140</f>
        <v/>
      </c>
    </row>
    <row r="141" ht="18.35" customHeight="1">
      <c r="A141" s="150" t="inlineStr">
        <is>
          <t>流动比率</t>
        </is>
      </c>
      <c r="B141" s="228">
        <f>B27/B79</f>
        <v/>
      </c>
      <c r="C141" s="228">
        <f>C27/C79</f>
        <v/>
      </c>
      <c r="D141" s="228">
        <f>D27/D79</f>
        <v/>
      </c>
      <c r="E141" s="228">
        <f>E27/E79</f>
        <v/>
      </c>
      <c r="G141">
        <f>CONCATENATE("从短期偿债能力指标看，近三年及一期，拟承租人",A141,"分别为",ROUND(E141,2),"、",ROUND(D141,2),"、",ROUND(C141,2),"和",ROUND(B141,2),"。")</f>
        <v/>
      </c>
      <c r="H141" s="209">
        <f>B141+C141+D141+E141</f>
        <v/>
      </c>
      <c r="I141">
        <f>A141</f>
        <v/>
      </c>
      <c r="J141">
        <f>_xlfn.CONCAT(TEXT($E$3,"YYYY"),"年-",TEXT($C$3,"YYYY"),"年及",TEXT($B$3,"YYYY年MM月"),"，","拟承租人",I141,"分别为",ROUND(E141,2),"、",ROUND(D141,2),"、",ROUND(C141,2),"和",ROUND(B141,2),"。")</f>
        <v/>
      </c>
      <c r="M141" s="103">
        <f>(C141-D141)/D141</f>
        <v/>
      </c>
      <c r="N141" s="103">
        <f>(D141-E141)/E141</f>
        <v/>
      </c>
    </row>
    <row r="142" ht="18.35" customHeight="1">
      <c r="A142" s="150" t="inlineStr">
        <is>
          <t>速动比率</t>
        </is>
      </c>
      <c r="B142" s="226">
        <f>(B27-B22)/B79</f>
        <v/>
      </c>
      <c r="C142" s="226">
        <f>(C27-C22)/C79</f>
        <v/>
      </c>
      <c r="D142" s="226">
        <f>(D27-D22)/D79</f>
        <v/>
      </c>
      <c r="E142" s="226">
        <f>(E27-E22)/E79</f>
        <v/>
      </c>
      <c r="G142">
        <f>CONCATENATE("从短期偿债能力指标看，近三年及一期，拟承租人",A142,"分别为",ROUND(E142,2),"、",ROUND(D142,2),"、",ROUND(C142,2),"和",ROUND(B142,2),"。")</f>
        <v/>
      </c>
      <c r="H142" s="209">
        <f>B142+C142+D142+E142</f>
        <v/>
      </c>
      <c r="I142">
        <f>A142</f>
        <v/>
      </c>
      <c r="J142">
        <f>_xlfn.CONCAT(TEXT($E$3,"YYYY"),"年-",TEXT($C$3,"YYYY"),"年及",TEXT($B$3,"YYYY年MM月"),"，","拟承租人",I142,"分别为",ROUND(E142,2),"、",ROUND(D142,2),"、",ROUND(C142,2),"和",ROUND(B142,2),"。")</f>
        <v/>
      </c>
      <c r="M142" s="103">
        <f>(C142-D142)/D142</f>
        <v/>
      </c>
      <c r="N142" s="103">
        <f>(D142-E142)/E142</f>
        <v/>
      </c>
    </row>
    <row r="143" ht="18.35" customHeight="1">
      <c r="A143" s="150" t="inlineStr">
        <is>
          <t>资产负债率(%)</t>
        </is>
      </c>
      <c r="B143" s="152">
        <f>B94/B55</f>
        <v/>
      </c>
      <c r="C143" s="152">
        <f>C94/C55</f>
        <v/>
      </c>
      <c r="D143" s="152">
        <f>D94/D55</f>
        <v/>
      </c>
      <c r="E143" s="152">
        <f>E94/E55</f>
        <v/>
      </c>
      <c r="G143">
        <f>CONCATENATE("近三年及一期，拟承租人",A143,"分别为",TEXT(E143,"0.00%"),"、",TEXT(D143,"0.00%"),"、",TEXT(C143,"0.00%"),"和",TEXT(B143,"0.00%"),"。")</f>
        <v/>
      </c>
      <c r="H143" s="209">
        <f>B143+C143+D143+E143</f>
        <v/>
      </c>
      <c r="I143">
        <f>A143</f>
        <v/>
      </c>
      <c r="J143">
        <f>_xlfn.CONCAT(TEXT($E$3,"YYYY"),"年-",TEXT($C$3,"YYYY"),"年及",TEXT($B$3,"YYYY年MM月"),"，","拟承租人",LEFT(I143,5),"分别为",TEXT(E143,"0.00%"),"、",TEXT(D143,"0.00%"),"、",TEXT(C143,"0.00%"),"和",TEXT(B143,"0.00%"),"。")</f>
        <v/>
      </c>
      <c r="M143" s="103">
        <f>(C143-D143)/D143</f>
        <v/>
      </c>
      <c r="N143" s="103">
        <f>(D143-E143)/E143</f>
        <v/>
      </c>
    </row>
    <row r="144" ht="18.35" customHeight="1">
      <c r="A144" s="150" t="inlineStr">
        <is>
          <t>调整后的资产负债率（%）</t>
        </is>
      </c>
      <c r="B144" s="153" t="n"/>
      <c r="C144" s="153" t="n"/>
      <c r="D144" s="153" t="n"/>
      <c r="E144" s="153" t="n"/>
      <c r="G144">
        <f>CONCATENATE("近三年及一期，拟承租人",A144,"分别为",TEXT(E144,"0.00%"),"、",TEXT(D144,"0.00%"),"、",TEXT(C144,"0.00%"),"和",TEXT(B144,"0.00%"),"。")</f>
        <v/>
      </c>
      <c r="H144" s="209">
        <f>B144+C144+D144+E144</f>
        <v/>
      </c>
      <c r="I144">
        <f>A144</f>
        <v/>
      </c>
    </row>
    <row r="145" ht="18.35" customHeight="1">
      <c r="A145" s="150" t="inlineStr">
        <is>
          <t>流动负债率(%)</t>
        </is>
      </c>
      <c r="B145" s="152">
        <f>B79/B94</f>
        <v/>
      </c>
      <c r="C145" s="152">
        <f>C79/C94</f>
        <v/>
      </c>
      <c r="D145" s="152">
        <f>D79/D94</f>
        <v/>
      </c>
      <c r="E145" s="152">
        <f>E79/E94</f>
        <v/>
      </c>
      <c r="G145">
        <f>CONCATENATE("近三年及一期，拟承租人",A145,"分别为",TEXT(E145,"0.00%"),"、",TEXT(D145,"0.00%"),"、",TEXT(C145,"0.00%"),"和",TEXT(B145,"0.00%"),"。")</f>
        <v/>
      </c>
      <c r="H145" s="209">
        <f>B145+C145+D145+E145</f>
        <v/>
      </c>
      <c r="I145">
        <f>A145</f>
        <v/>
      </c>
      <c r="J145">
        <f>_xlfn.CONCAT(TEXT($E$3,"YYYY"),"年-",TEXT($C$3,"YYYY"),"年及",TEXT($B$3,"YYYY年MM月"),"，","拟承租人",LEFT(I145,5),"分别为",TEXT(E145,"0.00%"),"、",TEXT(D145,"0.00%"),"、",TEXT(C145,"0.00%"),"和",TEXT(B145,"0.00%"),"。")</f>
        <v/>
      </c>
      <c r="M145" s="103">
        <f>(C145-D145)/D145</f>
        <v/>
      </c>
      <c r="N145" s="103">
        <f>(D145-E145)/E145</f>
        <v/>
      </c>
    </row>
    <row r="146" ht="15.75" customHeight="1">
      <c r="A146" s="154" t="inlineStr">
        <is>
          <t>经营效率分析</t>
        </is>
      </c>
      <c r="B146" s="139" t="n"/>
      <c r="C146" s="139" t="n"/>
      <c r="D146" s="139" t="n"/>
      <c r="E146" s="140" t="n"/>
      <c r="H146" s="209" t="n"/>
      <c r="I146">
        <f>A146</f>
        <v/>
      </c>
      <c r="M146" s="103" t="n"/>
      <c r="N146" s="103" t="n"/>
    </row>
    <row r="147" ht="15.75" customHeight="1">
      <c r="A147" s="138">
        <f>$A$3</f>
        <v/>
      </c>
      <c r="B147" s="227">
        <f>TEXT(B$3,"YYYY年MM月")</f>
        <v/>
      </c>
      <c r="C147" s="227">
        <f>TEXT(C$3,"YYYY年MM月")</f>
        <v/>
      </c>
      <c r="D147" s="227">
        <f>TEXT(D$3,"YYYY年MM月")</f>
        <v/>
      </c>
      <c r="E147" s="227">
        <f>TEXT(E$3,"YYYY年MM月")</f>
        <v/>
      </c>
      <c r="H147" s="209" t="n"/>
      <c r="I147">
        <f>A147</f>
        <v/>
      </c>
      <c r="M147" s="103">
        <f>(C147-D147)/D147</f>
        <v/>
      </c>
      <c r="N147" s="103">
        <f>(D147-E147)/E147</f>
        <v/>
      </c>
    </row>
    <row r="148" ht="18.35" customHeight="1">
      <c r="A148" s="150" t="inlineStr">
        <is>
          <t>存货周转率(倍)</t>
        </is>
      </c>
      <c r="B148" s="229">
        <f>0+(B112/(B22+C22)*2)</f>
        <v/>
      </c>
      <c r="C148" s="229">
        <f>0+(C112/(C22+D22)*2)</f>
        <v/>
      </c>
      <c r="D148" s="229">
        <f>0+(D112/(D22+E22)*2)</f>
        <v/>
      </c>
      <c r="E148" s="229">
        <f>E112/E22</f>
        <v/>
      </c>
      <c r="H148" s="209">
        <f>B148+C148+D148+E148</f>
        <v/>
      </c>
      <c r="I148">
        <f>A148</f>
        <v/>
      </c>
      <c r="J148">
        <f>_xlfn.CONCAT(TEXT($E$3,"YYYY"),"年-",TEXT($C$3,"YYYY"),"年及",TEXT($B$3,"YYYY年MM月"),"，","拟承租人",I148,"分别为",TEXT(E148/10000,"0.00"),"亿元、",TEXT(D148/10000,"0.00"),"亿元、",TEXT(C148/10000,"0.00"),"亿元及",TEXT(B148/10000,"0.00"),"亿元。")</f>
        <v/>
      </c>
      <c r="M148" s="103">
        <f>(C148-D148)/D148</f>
        <v/>
      </c>
      <c r="N148" s="103">
        <f>(D148-E148)/E148</f>
        <v/>
      </c>
    </row>
    <row r="149" ht="18.35" customHeight="1">
      <c r="A149" s="150" t="inlineStr">
        <is>
          <t>总资产周转率(倍)</t>
        </is>
      </c>
      <c r="B149" s="226">
        <f>0+(B111/(B55+C55)*2)</f>
        <v/>
      </c>
      <c r="C149" s="226">
        <f>0+(C111/(C55+D55)*2)</f>
        <v/>
      </c>
      <c r="D149" s="226">
        <f>0+(D111/(D55+E55)*2)</f>
        <v/>
      </c>
      <c r="E149" s="226">
        <f>E111/E55</f>
        <v/>
      </c>
      <c r="H149" s="209">
        <f>B149+C149+D149+E149</f>
        <v/>
      </c>
      <c r="I149">
        <f>A149</f>
        <v/>
      </c>
      <c r="J149">
        <f>_xlfn.CONCAT(TEXT($E$3,"YYYY"),"年-",TEXT($C$3,"YYYY"),"年及",TEXT($B$3,"YYYY年MM月"),"，","拟承租人",I149,"分别为",TEXT(E149/10000,"0.00"),"亿元、",TEXT(D149/10000,"0.00"),"亿元、",TEXT(C149/10000,"0.00"),"亿元及",TEXT(B149/10000,"0.00"),"亿元。")</f>
        <v/>
      </c>
      <c r="M149" s="103">
        <f>(C149-D149)/D149</f>
        <v/>
      </c>
      <c r="N149" s="103">
        <f>(D149-E149)/E149</f>
        <v/>
      </c>
    </row>
    <row r="150" ht="18.35" customHeight="1">
      <c r="A150" s="150" t="inlineStr">
        <is>
          <t>应收账款周转率(倍)</t>
        </is>
      </c>
      <c r="B150" s="226">
        <f>0+(B111/(B12+C12)*2)</f>
        <v/>
      </c>
      <c r="C150" s="226">
        <f>C111/(C12+D12)*2</f>
        <v/>
      </c>
      <c r="D150" s="226">
        <f>D111/(D12+E12)*2</f>
        <v/>
      </c>
      <c r="E150" s="226">
        <f>E111/E12</f>
        <v/>
      </c>
      <c r="H150" s="209">
        <f>B150+C150+D150+E150</f>
        <v/>
      </c>
      <c r="I150">
        <f>A150</f>
        <v/>
      </c>
      <c r="J150">
        <f>_xlfn.CONCAT(TEXT($E$3,"YYYY"),"年-",TEXT($C$3,"YYYY"),"年及",TEXT($B$3,"YYYY年MM月"),"，","拟承租人",I150,"分别为",TEXT(E150/10000,"0.00"),"亿元、",TEXT(D150/10000,"0.00"),"亿元、",TEXT(C150/10000,"0.00"),"亿元及",TEXT(B150/10000,"0.00"),"亿元。")</f>
        <v/>
      </c>
      <c r="M150" s="103">
        <f>(C150-D150)/D150</f>
        <v/>
      </c>
      <c r="N150" s="103">
        <f>(D150-E150)/E150</f>
        <v/>
      </c>
    </row>
    <row r="151" ht="18.35" customHeight="1">
      <c r="A151" s="150" t="inlineStr">
        <is>
          <t>主营成本比例(%)</t>
        </is>
      </c>
      <c r="B151" s="152">
        <f>0+(B112/B111)</f>
        <v/>
      </c>
      <c r="C151" s="152">
        <f>C112/C111</f>
        <v/>
      </c>
      <c r="D151" s="152">
        <f>D112/D111</f>
        <v/>
      </c>
      <c r="E151" s="152">
        <f>E112/E111</f>
        <v/>
      </c>
      <c r="H151" s="209">
        <f>B151+C151+D151+E151</f>
        <v/>
      </c>
      <c r="I151">
        <f>A151</f>
        <v/>
      </c>
      <c r="J151">
        <f>_xlfn.CONCAT(TEXT($E$3,"YYYY"),"年-",TEXT($C$3,"YYYY"),"年及",TEXT($B$3,"YYYY年MM月"),"，","拟承租人",I151,"分别为",TEXT(E151/10000,"0.00"),"亿元、",TEXT(D151/10000,"0.00"),"亿元、",TEXT(C151/10000,"0.00"),"亿元及",TEXT(B151/10000,"0.00"),"亿元。")</f>
        <v/>
      </c>
      <c r="M151" s="103">
        <f>(C151-D151)/D151</f>
        <v/>
      </c>
      <c r="N151" s="103">
        <f>(D151-E151)/E151</f>
        <v/>
      </c>
    </row>
    <row r="152" ht="18.35" customHeight="1">
      <c r="A152" s="150" t="inlineStr">
        <is>
          <t>营业费用比例(%)</t>
        </is>
      </c>
      <c r="B152" s="152">
        <f>0+(B114/B111)</f>
        <v/>
      </c>
      <c r="C152" s="152">
        <f>C114/C111</f>
        <v/>
      </c>
      <c r="D152" s="152">
        <f>D114/D111</f>
        <v/>
      </c>
      <c r="E152" s="152">
        <f>E114/E111</f>
        <v/>
      </c>
      <c r="H152" s="209">
        <f>B152+C152+D152+E152</f>
        <v/>
      </c>
      <c r="I152">
        <f>A152</f>
        <v/>
      </c>
      <c r="J152">
        <f>_xlfn.CONCAT(TEXT($E$3,"YYYY"),"年-",TEXT($C$3,"YYYY"),"年及",TEXT($B$3,"YYYY年MM月"),"，","拟承租人",I152,"分别为",TEXT(E152/10000,"0.00"),"亿元、",TEXT(D152/10000,"0.00"),"亿元、",TEXT(C152/10000,"0.00"),"亿元及",TEXT(B152/10000,"0.00"),"亿元。")</f>
        <v/>
      </c>
      <c r="M152" s="103">
        <f>(C152-D152)/D152</f>
        <v/>
      </c>
      <c r="N152" s="103">
        <f>(D152-E152)/E152</f>
        <v/>
      </c>
    </row>
    <row r="153" ht="18.35" customHeight="1">
      <c r="A153" s="150" t="inlineStr">
        <is>
          <t>管理费用比例(%)</t>
        </is>
      </c>
      <c r="B153" s="152">
        <f>0+(B115/B111)</f>
        <v/>
      </c>
      <c r="C153" s="152">
        <f>C115/C111</f>
        <v/>
      </c>
      <c r="D153" s="152">
        <f>D115/D111</f>
        <v/>
      </c>
      <c r="E153" s="152">
        <f>E115/E111</f>
        <v/>
      </c>
      <c r="H153" s="209">
        <f>B153+C153+D153+E153</f>
        <v/>
      </c>
      <c r="I153">
        <f>A153</f>
        <v/>
      </c>
      <c r="J153">
        <f>_xlfn.CONCAT(TEXT($E$3,"YYYY"),"年-",TEXT($C$3,"YYYY"),"年及",TEXT($B$3,"YYYY年MM月"),"，","拟承租人",I153,"分别为",TEXT(E153/10000,"0.00"),"亿元、",TEXT(D153/10000,"0.00"),"亿元、",TEXT(C153/10000,"0.00"),"亿元及",TEXT(B153/10000,"0.00"),"亿元。")</f>
        <v/>
      </c>
      <c r="M153" s="103">
        <f>(C153-D153)/D153</f>
        <v/>
      </c>
      <c r="N153" s="103">
        <f>(D153-E153)/E153</f>
        <v/>
      </c>
    </row>
    <row r="154" ht="18.35" customHeight="1">
      <c r="A154" s="150" t="inlineStr">
        <is>
          <t>财务费用比例(%)</t>
        </is>
      </c>
      <c r="B154" s="152">
        <f>0+(B117/B111)</f>
        <v/>
      </c>
      <c r="C154" s="152">
        <f>C117/C111</f>
        <v/>
      </c>
      <c r="D154" s="152">
        <f>D117/D111</f>
        <v/>
      </c>
      <c r="E154" s="152">
        <f>E117/E111</f>
        <v/>
      </c>
      <c r="H154" s="209">
        <f>B154+C154+D154+E154</f>
        <v/>
      </c>
      <c r="I154">
        <f>A154</f>
        <v/>
      </c>
      <c r="J154">
        <f>_xlfn.CONCAT(TEXT($E$3,"YYYY"),"年-",TEXT($C$3,"YYYY"),"年及",TEXT($B$3,"YYYY年MM月"),"，","拟承租人",I154,"分别为",TEXT(E154/10000,"0.00"),"亿元、",TEXT(D154/10000,"0.00"),"亿元、",TEXT(C154/10000,"0.00"),"亿元及",TEXT(B154/10000,"0.00"),"亿元。")</f>
        <v/>
      </c>
      <c r="M154" s="103">
        <f>(C154-D154)/D154</f>
        <v/>
      </c>
      <c r="N154" s="103">
        <f>(D154-E154)/E154</f>
        <v/>
      </c>
    </row>
    <row r="155" ht="15.75" customHeight="1">
      <c r="A155" s="138" t="inlineStr">
        <is>
          <t>盈利能力分析</t>
        </is>
      </c>
      <c r="B155" s="139" t="n"/>
      <c r="C155" s="139" t="n"/>
      <c r="D155" s="139" t="n"/>
      <c r="E155" s="140" t="n"/>
      <c r="H155" s="209" t="n"/>
      <c r="I155">
        <f>A155</f>
        <v/>
      </c>
      <c r="M155" s="103" t="n"/>
      <c r="N155" s="103" t="n"/>
    </row>
    <row r="156" ht="15.75" customHeight="1">
      <c r="A156" s="138">
        <f>$A$3</f>
        <v/>
      </c>
      <c r="B156" s="227">
        <f>TEXT(B$3,"YYYY年MM月")</f>
        <v/>
      </c>
      <c r="C156" s="227">
        <f>TEXT(C$3,"YYYY年MM月")</f>
        <v/>
      </c>
      <c r="D156" s="227">
        <f>TEXT(D$3,"YYYY年MM月")</f>
        <v/>
      </c>
      <c r="E156" s="227">
        <f>TEXT(E$3,"YYYY年MM月")</f>
        <v/>
      </c>
      <c r="H156" s="209" t="n"/>
      <c r="I156">
        <f>A156</f>
        <v/>
      </c>
      <c r="M156" s="103">
        <f>(C156-D156)/D156</f>
        <v/>
      </c>
      <c r="N156" s="103">
        <f>(D156-E156)/E156</f>
        <v/>
      </c>
    </row>
    <row r="157" ht="15.75" customHeight="1">
      <c r="A157" s="156">
        <f>A111</f>
        <v/>
      </c>
      <c r="B157" s="230">
        <f>B111</f>
        <v/>
      </c>
      <c r="C157" s="230">
        <f>C111</f>
        <v/>
      </c>
      <c r="D157" s="230">
        <f>D111</f>
        <v/>
      </c>
      <c r="E157" s="230">
        <f>E111</f>
        <v/>
      </c>
      <c r="H157" s="209" t="n"/>
      <c r="I157">
        <f>A157</f>
        <v/>
      </c>
      <c r="J157">
        <f>_xlfn.CONCAT(TEXT($E$3,"YYYY"),"年-",TEXT($C$3,"YYYY"),"年及",TEXT($B$3,"YYYY年MM月"),"，","拟承租人",I157,"分别为",TEXT(E157/10000,"0.00"),"亿元、",TEXT(D157/10000,"0.00"),"亿元、",TEXT(C157/10000,"0.00"),"亿元及",TEXT(B157/10000,"0.00"),"亿元。")</f>
        <v/>
      </c>
      <c r="M157" s="103">
        <f>(C157-D157)/D157</f>
        <v/>
      </c>
      <c r="N157" s="103">
        <f>(D157-E157)/E157</f>
        <v/>
      </c>
    </row>
    <row r="158" ht="15.75" customHeight="1">
      <c r="A158" s="156">
        <f>A112</f>
        <v/>
      </c>
      <c r="B158" s="230">
        <f>B112</f>
        <v/>
      </c>
      <c r="C158" s="230">
        <f>C112</f>
        <v/>
      </c>
      <c r="D158" s="230">
        <f>D112</f>
        <v/>
      </c>
      <c r="E158" s="230">
        <f>E112</f>
        <v/>
      </c>
      <c r="H158" s="209" t="n"/>
      <c r="I158">
        <f>A158</f>
        <v/>
      </c>
      <c r="J158">
        <f>_xlfn.CONCAT(TEXT($E$3,"YYYY"),"年-",TEXT($C$3,"YYYY"),"年及",TEXT($B$3,"YYYY年MM月"),"，","拟承租人",I158,"分别为",TEXT(E158/10000,"0.00"),"亿元、",TEXT(D158/10000,"0.00"),"亿元、",TEXT(C158/10000,"0.00"),"亿元及",TEXT(B158/10000,"0.00"),"亿元。")</f>
        <v/>
      </c>
      <c r="M158" s="103">
        <f>(C158-D158)/D158</f>
        <v/>
      </c>
      <c r="N158" s="103">
        <f>(D158-E158)/E158</f>
        <v/>
      </c>
    </row>
    <row r="159" ht="15.75" customHeight="1">
      <c r="A159" s="156">
        <f>A121</f>
        <v/>
      </c>
      <c r="B159" s="230">
        <f>B121</f>
        <v/>
      </c>
      <c r="C159" s="230">
        <f>C121</f>
        <v/>
      </c>
      <c r="D159" s="230">
        <f>D121</f>
        <v/>
      </c>
      <c r="E159" s="230">
        <f>E121</f>
        <v/>
      </c>
      <c r="H159" s="209" t="n"/>
      <c r="I159">
        <f>A159</f>
        <v/>
      </c>
      <c r="J159">
        <f>_xlfn.CONCAT(TEXT($E$3,"YYYY"),"年-",TEXT($C$3,"YYYY"),"年及",TEXT($B$3,"YYYY年MM月"),"，","拟承租人",I159,"分别为",TEXT(E159/10000,"0.00"),"亿元、",TEXT(D159/10000,"0.00"),"亿元、",TEXT(C159/10000,"0.00"),"亿元及",TEXT(B159/10000,"0.00"),"亿元。")</f>
        <v/>
      </c>
      <c r="M159" s="103">
        <f>(C159-D159)/D159</f>
        <v/>
      </c>
      <c r="N159" s="103">
        <f>(D159-E159)/E159</f>
        <v/>
      </c>
    </row>
    <row r="160" ht="18.35" customHeight="1">
      <c r="A160" s="150" t="inlineStr">
        <is>
          <t>净利润率(%)</t>
        </is>
      </c>
      <c r="B160" s="152">
        <f>B123/B111</f>
        <v/>
      </c>
      <c r="C160" s="152">
        <f>C123/C111</f>
        <v/>
      </c>
      <c r="D160" s="152">
        <f>D123/D111</f>
        <v/>
      </c>
      <c r="E160" s="152">
        <f>E123/E111</f>
        <v/>
      </c>
      <c r="H160" s="209">
        <f>B160+C160+D160+E160</f>
        <v/>
      </c>
      <c r="I160">
        <f>A160</f>
        <v/>
      </c>
      <c r="J160">
        <f>_xlfn.CONCAT(TEXT($E$3,"YYYY"),"年-",TEXT($C$3,"YYYY"),"年及",TEXT($B$3,"YYYY年MM月"),"，","拟承租人",I160,"分别为",TEXT(E160/10000,"0.00"),"亿元、",TEXT(D160/10000,"0.00"),"亿元、",TEXT(C160/10000,"0.00"),"亿元及",TEXT(B160/10000,"0.00"),"亿元。")</f>
        <v/>
      </c>
      <c r="M160" s="103">
        <f>(C160-D160)/D160</f>
        <v/>
      </c>
      <c r="N160" s="103">
        <f>(D160-E160)/E160</f>
        <v/>
      </c>
    </row>
    <row r="161" ht="18.35" customHeight="1">
      <c r="A161" s="150" t="inlineStr">
        <is>
          <t>营业毛利率(%)</t>
        </is>
      </c>
      <c r="B161" s="152">
        <f>(B111-B112)/B111</f>
        <v/>
      </c>
      <c r="C161" s="152">
        <f>(C111-C112)/C111</f>
        <v/>
      </c>
      <c r="D161" s="152">
        <f>(D111-D112)/D111</f>
        <v/>
      </c>
      <c r="E161" s="152">
        <f>(E111-E112)/E111</f>
        <v/>
      </c>
      <c r="G161" s="20">
        <f>CONCATENATE("近三年及一期，拟承租人营业毛利率分别为",TEXT(E161,"0.00%"),"、",TEXT(D161,"0.00%"),"、",TEXT(C161,"0.00%"),"及",TEXT(B161,"0.00%"),"。")</f>
        <v/>
      </c>
      <c r="H161" s="209">
        <f>B161+C161+D161+E161</f>
        <v/>
      </c>
      <c r="I161">
        <f>A161</f>
        <v/>
      </c>
      <c r="J161">
        <f>_xlfn.CONCAT(TEXT($E$3,"YYYY"),"年-",TEXT($C$3,"YYYY"),"年及",TEXT($B$3,"YYYY年MM月"),"，","拟承租人",I161,"分别为",TEXT(E161/10000,"0.00"),"亿元、",TEXT(D161/10000,"0.00"),"亿元、",TEXT(C161/10000,"0.00"),"亿元及",TEXT(B161/10000,"0.00"),"亿元。")</f>
        <v/>
      </c>
      <c r="M161" s="103">
        <f>(C161-D161)/D161</f>
        <v/>
      </c>
      <c r="N161" s="103">
        <f>(D161-E161)/E161</f>
        <v/>
      </c>
    </row>
    <row r="162" ht="18.35" customHeight="1">
      <c r="A162" s="150" t="inlineStr">
        <is>
          <t>资产利润率(%)</t>
        </is>
      </c>
      <c r="B162" s="152">
        <f>B120/(B55+C55)*2</f>
        <v/>
      </c>
      <c r="C162" s="152">
        <f>C120/(C55+D55)*2</f>
        <v/>
      </c>
      <c r="D162" s="152">
        <f>D120/(D55+E55)*2</f>
        <v/>
      </c>
      <c r="E162" s="152">
        <f>E120/E55</f>
        <v/>
      </c>
      <c r="H162" s="209">
        <f>B162+C162+D162+E162</f>
        <v/>
      </c>
      <c r="I162">
        <f>A162</f>
        <v/>
      </c>
      <c r="J162">
        <f>_xlfn.CONCAT(TEXT($E$3,"YYYY"),"年-",TEXT($C$3,"YYYY"),"年及",TEXT($B$3,"YYYY年MM月"),"，","拟承租人",I162,"分别为",TEXT(E162/10000,"0.00"),"亿元、",TEXT(D162/10000,"0.00"),"亿元、",TEXT(C162/10000,"0.00"),"亿元及",TEXT(B162/10000,"0.00"),"亿元。")</f>
        <v/>
      </c>
      <c r="M162" s="103">
        <f>(C162-D162)/D162</f>
        <v/>
      </c>
      <c r="N162" s="103">
        <f>(D162-E162)/E162</f>
        <v/>
      </c>
    </row>
    <row r="163" ht="18.35" customHeight="1">
      <c r="A163" s="150" t="inlineStr">
        <is>
          <t>资产净利润率(%)</t>
        </is>
      </c>
      <c r="B163" s="152">
        <f>B123/(B55+C55)*2</f>
        <v/>
      </c>
      <c r="C163" s="152">
        <f>C123/(C55+D55)*2</f>
        <v/>
      </c>
      <c r="D163" s="152">
        <f>D123/(D55+E55)*2</f>
        <v/>
      </c>
      <c r="E163" s="152">
        <f>E123/E55</f>
        <v/>
      </c>
      <c r="H163" s="209">
        <f>B163+C163+D163+E163</f>
        <v/>
      </c>
      <c r="I163">
        <f>A163</f>
        <v/>
      </c>
      <c r="J163">
        <f>_xlfn.CONCAT(TEXT($E$3,"YYYY"),"年-",TEXT($C$3,"YYYY"),"年及",TEXT($B$3,"YYYY年MM月"),"，","拟承租人",I163,"分别为",TEXT(E163/10000,"0.00"),"亿元、",TEXT(D163/10000,"0.00"),"亿元、",TEXT(C163/10000,"0.00"),"亿元及",TEXT(B163/10000,"0.00"),"亿元。")</f>
        <v/>
      </c>
      <c r="M163" s="103">
        <f>(C163-D163)/D163</f>
        <v/>
      </c>
      <c r="N163" s="103">
        <f>(D163-E163)/E163</f>
        <v/>
      </c>
    </row>
    <row r="164" ht="18.35" customHeight="1">
      <c r="A164" s="150" t="inlineStr">
        <is>
          <t>净资产收益率(%)</t>
        </is>
      </c>
      <c r="B164" s="152">
        <f>B123/(B108+C108)*2</f>
        <v/>
      </c>
      <c r="C164" s="152">
        <f>C123/(C108+D108)*2</f>
        <v/>
      </c>
      <c r="D164" s="152">
        <f>D123/(D108+E108)*2</f>
        <v/>
      </c>
      <c r="E164" s="152">
        <f>E123/E108</f>
        <v/>
      </c>
      <c r="H164" s="209">
        <f>B164+C164+D164+E164</f>
        <v/>
      </c>
      <c r="I164">
        <f>A164</f>
        <v/>
      </c>
      <c r="J164">
        <f>_xlfn.CONCAT(TEXT($E$3,"YYYY"),"年-",TEXT($C$3,"YYYY"),"年及",TEXT($B$3,"YYYY年MM月"),"，","拟承租人",I164,"分别为",TEXT(E164/10000,"0.00"),"亿元、",TEXT(D164/10000,"0.00"),"亿元、",TEXT(C164/10000,"0.00"),"亿元及",TEXT(B164/10000,"0.00"),"亿元。")</f>
        <v/>
      </c>
      <c r="M164" s="103">
        <f>(C164-D164)/D164</f>
        <v/>
      </c>
      <c r="N164" s="103">
        <f>(D164-E164)/E164</f>
        <v/>
      </c>
    </row>
    <row r="165" ht="15.75" customHeight="1">
      <c r="A165" s="138" t="inlineStr">
        <is>
          <t>财务结构分析</t>
        </is>
      </c>
      <c r="B165" s="139" t="n"/>
      <c r="C165" s="139" t="n"/>
      <c r="D165" s="139" t="n"/>
      <c r="E165" s="140" t="n"/>
      <c r="H165" s="209" t="n"/>
      <c r="I165">
        <f>A165</f>
        <v/>
      </c>
      <c r="J165">
        <f>_xlfn.CONCAT(TEXT($E$3,"YYYY"),"年-",TEXT($C$3,"YYYY"),"年及",TEXT($B$3,"YYYY年MM月"),"，","拟承租人",I165,"分别为",TEXT(E165/10000,"0.00"),"亿元、",TEXT(D165/10000,"0.00"),"亿元、",TEXT(C165/10000,"0.00"),"亿元及",TEXT(B165/10000,"0.00"),"亿元。")</f>
        <v/>
      </c>
      <c r="M165" s="103" t="n"/>
      <c r="N165" s="103" t="n"/>
    </row>
    <row r="166" ht="15.75" customHeight="1">
      <c r="A166" s="138">
        <f>$A$3</f>
        <v/>
      </c>
      <c r="B166" s="227">
        <f>TEXT(B$3,"YYYY年MM月")</f>
        <v/>
      </c>
      <c r="C166" s="227">
        <f>TEXT(C$3,"YYYY年MM月")</f>
        <v/>
      </c>
      <c r="D166" s="227">
        <f>TEXT(D$3,"YYYY年MM月")</f>
        <v/>
      </c>
      <c r="E166" s="227">
        <f>TEXT(E$3,"YYYY年MM月")</f>
        <v/>
      </c>
      <c r="H166" s="209" t="n"/>
      <c r="I166">
        <f>A166</f>
        <v/>
      </c>
      <c r="M166" s="103">
        <f>(C166-D166)/D166</f>
        <v/>
      </c>
      <c r="N166" s="103">
        <f>(D166-E166)/E166</f>
        <v/>
      </c>
    </row>
    <row r="167" ht="18.35" customHeight="1">
      <c r="A167" s="150" t="inlineStr">
        <is>
          <t>股东权益比(%)</t>
        </is>
      </c>
      <c r="B167" s="152">
        <f>B108/B55</f>
        <v/>
      </c>
      <c r="C167" s="152">
        <f>C108/C55</f>
        <v/>
      </c>
      <c r="D167" s="152">
        <f>D108/D55</f>
        <v/>
      </c>
      <c r="E167" s="152">
        <f>E108/E55</f>
        <v/>
      </c>
      <c r="H167" s="209">
        <f>B167+C167+D167+E167</f>
        <v/>
      </c>
      <c r="I167">
        <f>A167</f>
        <v/>
      </c>
      <c r="J167">
        <f>_xlfn.CONCAT(TEXT($E$3,"YYYY"),"年-",TEXT($C$3,"YYYY"),"年及",TEXT($B$3,"YYYY年MM月"),"，","拟承租人",I167,"分别为",TEXT(E167/10000,"0.00"),"亿元、",TEXT(D167/10000,"0.00"),"亿元、",TEXT(C167/10000,"0.00"),"亿元及",TEXT(B167/10000,"0.00"),"亿元。")</f>
        <v/>
      </c>
      <c r="M167" s="103">
        <f>(C167-D167)/D167</f>
        <v/>
      </c>
      <c r="N167" s="103">
        <f>(D167-E167)/E167</f>
        <v/>
      </c>
    </row>
    <row r="168" ht="18.35" customHeight="1">
      <c r="A168" s="150" t="inlineStr">
        <is>
          <t>长期负债资产比(%)</t>
        </is>
      </c>
      <c r="B168" s="152">
        <f>B93/B55</f>
        <v/>
      </c>
      <c r="C168" s="152">
        <f>C93/C55</f>
        <v/>
      </c>
      <c r="D168" s="152">
        <f>D93/D55</f>
        <v/>
      </c>
      <c r="E168" s="152">
        <f>E93/E55</f>
        <v/>
      </c>
      <c r="H168" s="209">
        <f>B168+C168+D168+E168</f>
        <v/>
      </c>
      <c r="I168">
        <f>A168</f>
        <v/>
      </c>
      <c r="J168">
        <f>_xlfn.CONCAT(TEXT($E$3,"YYYY"),"年-",TEXT($C$3,"YYYY"),"年及",TEXT($B$3,"YYYY年MM月"),"，","拟承租人",I168,"分别为",TEXT(E168/10000,"0.00"),"亿元、",TEXT(D168/10000,"0.00"),"亿元、",TEXT(C168/10000,"0.00"),"亿元及",TEXT(B168/10000,"0.00"),"亿元。")</f>
        <v/>
      </c>
      <c r="M168" s="103">
        <f>(C168-D168)/D168</f>
        <v/>
      </c>
      <c r="N168" s="103">
        <f>(D168-E168)/E168</f>
        <v/>
      </c>
    </row>
    <row r="169" ht="15.75" customHeight="1">
      <c r="A169" s="138" t="inlineStr">
        <is>
          <t>现金流量分析</t>
        </is>
      </c>
      <c r="B169" s="139" t="n"/>
      <c r="C169" s="139" t="n"/>
      <c r="D169" s="139" t="n"/>
      <c r="E169" s="140" t="n"/>
      <c r="H169" s="209" t="n"/>
      <c r="I169">
        <f>A169</f>
        <v/>
      </c>
      <c r="J169">
        <f>_xlfn.CONCAT(TEXT($E$3,"YYYY"),"年-",TEXT($C$3,"YYYY"),"年及",TEXT($B$3,"YYYY年MM月"),"，","拟承租人",I169,"分别为",TEXT(E169/10000,"0.00"),"亿元、",TEXT(D169/10000,"0.00"),"亿元、",TEXT(C169/10000,"0.00"),"亿元及",TEXT(B169/10000,"0.00"),"亿元。")</f>
        <v/>
      </c>
      <c r="M169" s="103" t="n"/>
      <c r="N169" s="103" t="n"/>
    </row>
    <row r="170" ht="15.75" customHeight="1">
      <c r="A170" s="138">
        <f>$A$3</f>
        <v/>
      </c>
      <c r="B170" s="227">
        <f>TEXT(B$3,"YYYY年MM月")</f>
        <v/>
      </c>
      <c r="C170" s="227">
        <f>TEXT(C$3,"YYYY年MM月")</f>
        <v/>
      </c>
      <c r="D170" s="227">
        <f>TEXT(D$3,"YYYY年MM月")</f>
        <v/>
      </c>
      <c r="E170" s="227">
        <f>TEXT(E$3,"YYYY年MM月")</f>
        <v/>
      </c>
      <c r="H170" s="209" t="n"/>
      <c r="I170">
        <f>A170</f>
        <v/>
      </c>
      <c r="M170" s="103">
        <f>(C170-D170)/D170</f>
        <v/>
      </c>
      <c r="N170" s="103">
        <f>(D170-E170)/E170</f>
        <v/>
      </c>
    </row>
    <row r="171" ht="36.75" customHeight="1">
      <c r="A171" s="158" t="inlineStr">
        <is>
          <t>销售商品收到的现金与主营业务比</t>
        </is>
      </c>
      <c r="B171" s="226">
        <f>B127/B111</f>
        <v/>
      </c>
      <c r="C171" s="226">
        <f>C127/C111</f>
        <v/>
      </c>
      <c r="D171" s="226">
        <f>D127/D111</f>
        <v/>
      </c>
      <c r="E171" s="226">
        <f>E127/E111</f>
        <v/>
      </c>
      <c r="H171" s="209">
        <f>B171+C171+D171+E171</f>
        <v/>
      </c>
      <c r="I171">
        <f>A171</f>
        <v/>
      </c>
      <c r="J171">
        <f>_xlfn.CONCAT(TEXT($E$3,"YYYY"),"年-",TEXT($C$3,"YYYY"),"年及",TEXT($B$3,"YYYY年MM月"),"，","拟承租人",I171,"分别为",TEXT(E171/10000,"0.00"),"亿元、",TEXT(D171/10000,"0.00"),"亿元、",TEXT(C171/10000,"0.00"),"亿元及",TEXT(B171/10000,"0.00"),"亿元。")</f>
        <v/>
      </c>
      <c r="M171" s="103">
        <f>(C171-D171)/D171</f>
        <v/>
      </c>
      <c r="N171" s="103">
        <f>(D171-E171)/E171</f>
        <v/>
      </c>
    </row>
    <row r="172" ht="18.75" customHeight="1">
      <c r="A172" s="158" t="inlineStr">
        <is>
          <t>经营活动现金流量与总利润比例</t>
        </is>
      </c>
      <c r="B172" s="226">
        <f>B130/B121</f>
        <v/>
      </c>
      <c r="C172" s="226">
        <f>C130/C121</f>
        <v/>
      </c>
      <c r="D172" s="226">
        <f>D130/D121</f>
        <v/>
      </c>
      <c r="E172" s="226">
        <f>E130/E121</f>
        <v/>
      </c>
      <c r="H172" s="209">
        <f>B172+C172+D172+E172</f>
        <v/>
      </c>
      <c r="I172">
        <f>A172</f>
        <v/>
      </c>
      <c r="J172">
        <f>_xlfn.CONCAT(TEXT($E$3,"YYYY"),"年-",TEXT($C$3,"YYYY"),"年及",TEXT($B$3,"YYYY年MM月"),"，","拟承租人",I172,"分别为",TEXT(E172/10000,"0.00"),"亿元、",TEXT(D172/10000,"0.00"),"亿元、",TEXT(C172/10000,"0.00"),"亿元及",TEXT(B172/10000,"0.00"),"亿元。")</f>
        <v/>
      </c>
      <c r="M172" s="103">
        <f>(C172-D172)/D172</f>
        <v/>
      </c>
      <c r="N172" s="103">
        <f>(D172-E172)/E172</f>
        <v/>
      </c>
    </row>
    <row r="173" ht="18.75" customHeight="1">
      <c r="A173" s="158" t="inlineStr">
        <is>
          <t>现金净流量与总利润比</t>
        </is>
      </c>
      <c r="B173" s="226">
        <f>B137/B121</f>
        <v/>
      </c>
      <c r="C173" s="226">
        <f>C137/C121</f>
        <v/>
      </c>
      <c r="D173" s="226">
        <f>D137/D121</f>
        <v/>
      </c>
      <c r="E173" s="226">
        <f>E137/E121</f>
        <v/>
      </c>
      <c r="H173" s="209">
        <f>B173+C173+D173+E173</f>
        <v/>
      </c>
      <c r="I173">
        <f>A173</f>
        <v/>
      </c>
      <c r="J173">
        <f>_xlfn.CONCAT(TEXT($E$3,"YYYY"),"年-",TEXT($C$3,"YYYY"),"年及",TEXT($B$3,"YYYY年MM月"),"，","拟承租人",I173,"分别为",TEXT(E173/10000,"0.00"),"亿元、",TEXT(D173/10000,"0.00"),"亿元、",TEXT(C173/10000,"0.00"),"亿元及",TEXT(B173/10000,"0.00"),"亿元。")</f>
        <v/>
      </c>
      <c r="M173" s="103">
        <f>(C173-D173)/D173</f>
        <v/>
      </c>
      <c r="N173" s="103">
        <f>(D173-E173)/E173</f>
        <v/>
      </c>
    </row>
  </sheetData>
  <autoFilter ref="F5:H173"/>
  <mergeCells count="13">
    <mergeCell ref="A109:E109"/>
    <mergeCell ref="A139:E139"/>
    <mergeCell ref="A125:E125"/>
    <mergeCell ref="A2:E2"/>
    <mergeCell ref="A165:E165"/>
    <mergeCell ref="A3:A4"/>
    <mergeCell ref="B138:E138"/>
    <mergeCell ref="A169:E169"/>
    <mergeCell ref="A1:E1"/>
    <mergeCell ref="B124:E124"/>
    <mergeCell ref="A5:E5"/>
    <mergeCell ref="A155:E155"/>
    <mergeCell ref="A146:E146"/>
  </mergeCells>
  <dataValidations count="1">
    <dataValidation sqref="A2" showDropDown="0" showInputMessage="1" showErrorMessage="1" allowBlank="1" type="list">
      <formula1>"单位：元,单位：万元,单位：亿元"</formula1>
    </dataValidation>
  </dataValidations>
  <pageMargins left="0.75" right="0.75" top="1" bottom="1" header="0.5" footer="0.5"/>
  <pageSetup orientation="portrait" paperSize="9" scale="67" fitToHeight="0"/>
</worksheet>
</file>

<file path=xl/worksheets/sheet8.xml><?xml version="1.0" encoding="utf-8"?>
<worksheet xmlns="http://schemas.openxmlformats.org/spreadsheetml/2006/main">
  <sheetPr codeName="Sheet14">
    <outlinePr summaryBelow="1" summaryRight="1"/>
    <pageSetUpPr/>
  </sheetPr>
  <dimension ref="A1:G75"/>
  <sheetViews>
    <sheetView workbookViewId="0">
      <selection activeCell="A1" sqref="A1"/>
    </sheetView>
  </sheetViews>
  <sheetFormatPr baseColWidth="8" defaultColWidth="10.2857142857143" defaultRowHeight="17.6"/>
  <cols>
    <col width="20.7142857142857" customWidth="1" style="114" min="1" max="1"/>
    <col width="13.5714285714286" customWidth="1" style="115" min="2" max="5"/>
    <col width="10.2857142857143" customWidth="1" style="114" min="6" max="16384"/>
  </cols>
  <sheetData>
    <row r="1">
      <c r="A1" s="116" t="inlineStr">
        <is>
          <t>项目</t>
        </is>
      </c>
      <c r="B1" s="117" t="n">
        <v>43465</v>
      </c>
      <c r="C1" s="117">
        <f>DATE(YEAR(B1)+1,MONTH(B1),DAY(B1))</f>
        <v/>
      </c>
      <c r="D1" s="118">
        <f>DATE(YEAR(B1)+2,MONTH(B1),DAY(B1))</f>
        <v/>
      </c>
      <c r="E1" s="118">
        <f>bs!#REF!</f>
        <v/>
      </c>
    </row>
    <row r="2">
      <c r="A2" s="119" t="inlineStr">
        <is>
          <t>存货净额</t>
        </is>
      </c>
      <c r="B2" s="120">
        <f>ROUND(HLOOKUP(B1,bs!$C$1:$AB$110,ROW(bs!#REF!),FALSE),0)/IF(LEN($G$6)&gt;4,10000,1)</f>
        <v/>
      </c>
      <c r="C2" s="120">
        <f>ROUND(HLOOKUP(C1,bs!$C$1:$AB$110,ROW(bs!#REF!),FALSE),0)/IF(LEN($G$6)&gt;4,10000,1)</f>
        <v/>
      </c>
      <c r="D2" s="120">
        <f>ROUND(HLOOKUP(D1,bs!$C$1:$AB$110,ROW(bs!F7),FALSE),0)/IF(LEN($G$6)&gt;4,10000,1)</f>
        <v/>
      </c>
      <c r="E2" s="120">
        <f>ROUND(HLOOKUP(E1,bs!$C$1:$AB$110,ROW(bs!E7),FALSE),0)/IF(LEN($G$6)&gt;4,10000,1)</f>
        <v/>
      </c>
    </row>
    <row r="3">
      <c r="A3" s="119" t="inlineStr">
        <is>
          <t>应收账款净额</t>
        </is>
      </c>
      <c r="B3" s="120">
        <f>ROUND(HLOOKUP(B1,bs!$C$1:$AB$110,ROW(bs!#REF!),FALSE),0)/IF(LEN($G$6)&gt;4,10000,1)</f>
        <v/>
      </c>
      <c r="C3" s="120">
        <f>ROUND(HLOOKUP(C1,bs!$C$1:$AB$110,ROW(bs!#REF!),FALSE),0)/IF(LEN($G$6)&gt;4,10000,1)</f>
        <v/>
      </c>
      <c r="D3" s="120">
        <f>ROUND(HLOOKUP(D1,bs!$C$1:$AB$110,ROW(bs!F5),FALSE),0)/IF(LEN($G$6)&gt;4,10000,1)</f>
        <v/>
      </c>
      <c r="E3" s="120">
        <f>ROUND(HLOOKUP(E1,bs!$C$1:$AB$110,ROW(bs!E5),FALSE),0)/IF(LEN($G$6)&gt;4,10000,1)</f>
        <v/>
      </c>
    </row>
    <row r="4">
      <c r="A4" s="119" t="inlineStr">
        <is>
          <t>流动资产</t>
        </is>
      </c>
      <c r="B4" s="120">
        <f>ROUND(HLOOKUP(B1,bs!$C$1:$AB$110,ROW(bs!#REF!),FALSE),0)/IF(LEN($G$6)&gt;4,10000,1)</f>
        <v/>
      </c>
      <c r="C4" s="120">
        <f>ROUND(HLOOKUP(C1,bs!$C$1:$AB$110,ROW(bs!#REF!),FALSE),0)/IF(LEN($G$6)&gt;4,10000,1)</f>
        <v/>
      </c>
      <c r="D4" s="120">
        <f>ROUND(HLOOKUP(D1,bs!$C$1:$AB$110,ROW(bs!F24),FALSE),0)/IF(LEN($G$6)&gt;4,10000,1)</f>
        <v/>
      </c>
      <c r="E4" s="120">
        <f>ROUND(HLOOKUP(E1,bs!$C$1:$AB$110,ROW(bs!E24),FALSE),0)/IF(LEN($G$6)&gt;4,10000,1)</f>
        <v/>
      </c>
    </row>
    <row r="5">
      <c r="A5" s="119" t="inlineStr">
        <is>
          <t>固定资产</t>
        </is>
      </c>
      <c r="B5" s="120">
        <f>ROUND(HLOOKUP(B1,bs!$C$1:$AB$110,ROW(bs!#REF!),FALSE),0)/IF(LEN($G$6)&gt;4,10000,1)</f>
        <v/>
      </c>
      <c r="C5" s="120">
        <f>ROUND(HLOOKUP(C1,bs!$C$1:$AB$110,ROW(bs!#REF!),FALSE),0)/IF(LEN($G$6)&gt;4,10000,1)</f>
        <v/>
      </c>
      <c r="D5" s="120">
        <f>ROUND(HLOOKUP(D1,bs!$C$1:$AB$110,ROW(bs!F33),FALSE),0)/IF(LEN($G$6)&gt;4,10000,1)</f>
        <v/>
      </c>
      <c r="E5" s="120">
        <f>ROUND(HLOOKUP(E1,bs!$C$1:$AB$110,ROW(bs!E33),FALSE),0)/IF(LEN($G$6)&gt;4,10000,1)</f>
        <v/>
      </c>
    </row>
    <row r="6">
      <c r="A6" s="119" t="inlineStr">
        <is>
          <t>在建工程</t>
        </is>
      </c>
      <c r="B6" s="120">
        <f>ROUND(HLOOKUP(B1,bs!$C$1:$AB$110,ROW(bs!#REF!),FALSE),0)/IF(LEN($G$6)&gt;4,10000,1)</f>
        <v/>
      </c>
      <c r="C6" s="120">
        <f>ROUND(HLOOKUP(C1,bs!$C$1:$AB$110,ROW(bs!#REF!),FALSE),0)/IF(LEN($G$6)&gt;4,10000,1)</f>
        <v/>
      </c>
      <c r="D6" s="120">
        <f>ROUND(HLOOKUP(D1,bs!$C$1:$AB$110,ROW(bs!F35),FALSE),0)/IF(LEN($G$6)&gt;4,10000,1)</f>
        <v/>
      </c>
      <c r="E6" s="120">
        <f>ROUND(HLOOKUP(E1,bs!$C$1:$AB$110,ROW(bs!E35),FALSE),0)/IF(LEN($G$6)&gt;4,10000,1)</f>
        <v/>
      </c>
      <c r="G6" s="121" t="inlineStr">
        <is>
          <t>单位：万元</t>
        </is>
      </c>
    </row>
    <row r="7">
      <c r="A7" s="119" t="inlineStr">
        <is>
          <t>总资产</t>
        </is>
      </c>
      <c r="B7" s="120">
        <f>ROUND(HLOOKUP(B1,bs!$C$1:$AB$110,ROW(bs!#REF!),FALSE),0)/IF(LEN($G$6)&gt;4,10000,1)</f>
        <v/>
      </c>
      <c r="C7" s="120">
        <f>ROUND(HLOOKUP(C1,bs!$C$1:$AB$110,ROW(bs!#REF!),FALSE),0)/IF(LEN($G$6)&gt;4,10000,1)</f>
        <v/>
      </c>
      <c r="D7" s="120">
        <f>ROUND(HLOOKUP(D1,bs!$C$1:$AB$110,ROW(bs!F53),FALSE),0)/IF(LEN($G$6)&gt;4,10000,1)</f>
        <v/>
      </c>
      <c r="E7" s="120">
        <f>ROUND(HLOOKUP(E1,bs!$C$1:$AB$110,ROW(bs!E53),FALSE),0)/IF(LEN($G$6)&gt;4,10000,1)</f>
        <v/>
      </c>
    </row>
    <row r="8">
      <c r="A8" s="119" t="inlineStr">
        <is>
          <t>短期借款</t>
        </is>
      </c>
      <c r="B8" s="120">
        <f>ROUND(HLOOKUP(B1,bs!$C$1:$AB$110,ROW(bs!#REF!),FALSE),0)/IF(LEN($G$6)&gt;4,10000,1)</f>
        <v/>
      </c>
      <c r="C8" s="120">
        <f>ROUND(HLOOKUP(C1,bs!$C$1:$AB$110,ROW(bs!#REF!),FALSE),0)/IF(LEN($G$6)&gt;4,10000,1)</f>
        <v/>
      </c>
      <c r="D8" s="120">
        <f>ROUND(HLOOKUP(D1,bs!$C$1:$AB$110,ROW(bs!F54),FALSE),0)/IF(LEN($G$6)&gt;4,10000,1)</f>
        <v/>
      </c>
      <c r="E8" s="120">
        <f>ROUND(HLOOKUP(E1,bs!$C$1:$AB$110,ROW(bs!E54),FALSE),0)/IF(LEN($G$6)&gt;4,10000,1)</f>
        <v/>
      </c>
    </row>
    <row r="9">
      <c r="A9" s="119" t="inlineStr">
        <is>
          <t>其他应付款</t>
        </is>
      </c>
      <c r="B9" s="120">
        <f>ROUND(HLOOKUP(B1,bs!$C$1:$AB$110,ROW(bs!#REF!),FALSE),0)/IF(LEN($G$6)&gt;4,10000,1)</f>
        <v/>
      </c>
      <c r="C9" s="120">
        <f>ROUND(HLOOKUP(C1,bs!$C$1:$AB$110,ROW(bs!#REF!),FALSE),0)/IF(LEN($G$6)&gt;4,10000,1)</f>
        <v/>
      </c>
      <c r="D9" s="120">
        <f>ROUND(HLOOKUP(D1,bs!$C$1:$AB$110,ROW(bs!F63),FALSE),0)/IF(LEN($G$6)&gt;4,10000,1)</f>
        <v/>
      </c>
      <c r="E9" s="120">
        <f>ROUND(HLOOKUP(E1,bs!$C$1:$AB$110,ROW(bs!E63),FALSE),0)/IF(LEN($G$6)&gt;4,10000,1)</f>
        <v/>
      </c>
    </row>
    <row r="10">
      <c r="A10" s="119" t="inlineStr">
        <is>
          <t>流动负债</t>
        </is>
      </c>
      <c r="B10" s="120">
        <f>ROUND(HLOOKUP(B1,bs!$C$1:$AB$110,ROW(bs!#REF!),FALSE),0)/IF(LEN($G$6)&gt;4,10000,1)</f>
        <v/>
      </c>
      <c r="C10" s="120">
        <f>ROUND(HLOOKUP(C1,bs!$C$1:$AB$110,ROW(bs!#REF!),FALSE),0)/IF(LEN($G$6)&gt;4,10000,1)</f>
        <v/>
      </c>
      <c r="D10" s="120">
        <f>ROUND(HLOOKUP(D1,bs!$C$1:$AB$110,ROW(bs!F78),FALSE),0)/IF(LEN($G$6)&gt;4,10000,1)</f>
        <v/>
      </c>
      <c r="E10" s="120">
        <f>ROUND(HLOOKUP(E1,bs!$C$1:$AB$110,ROW(bs!E78),FALSE),0)/IF(LEN($G$6)&gt;4,10000,1)</f>
        <v/>
      </c>
    </row>
    <row r="11">
      <c r="A11" s="119" t="inlineStr">
        <is>
          <t>长期借款</t>
        </is>
      </c>
      <c r="B11" s="120">
        <f>ROUND(HLOOKUP(B1,bs!$C$1:$AB$110,ROW(bs!#REF!),FALSE),0)/IF(LEN($G$6)&gt;4,10000,1)</f>
        <v/>
      </c>
      <c r="C11" s="120">
        <f>ROUND(HLOOKUP(C1,bs!$C$1:$AB$110,ROW(bs!#REF!),FALSE),0)/IF(LEN($G$6)&gt;4,10000,1)</f>
        <v/>
      </c>
      <c r="D11" s="120">
        <f>ROUND(HLOOKUP(D1,bs!$C$1:$AB$110,ROW(bs!F79),FALSE),0)/IF(LEN($G$6)&gt;4,10000,1)</f>
        <v/>
      </c>
      <c r="E11" s="120">
        <f>ROUND(HLOOKUP(E1,bs!$C$1:$AB$110,ROW(bs!E79),FALSE),0)/IF(LEN($G$6)&gt;4,10000,1)</f>
        <v/>
      </c>
    </row>
    <row r="12">
      <c r="A12" s="119" t="inlineStr">
        <is>
          <t>长期应付款</t>
        </is>
      </c>
      <c r="B12" s="120">
        <f>ROUND(HLOOKUP(B1,bs!$C$1:$AB$110,ROW(bs!#REF!),FALSE),0)/IF(LEN($G$6)&gt;4,10000,1)</f>
        <v/>
      </c>
      <c r="C12" s="120">
        <f>ROUND(HLOOKUP(C1,bs!$C$1:$AB$110,ROW(bs!#REF!),FALSE),0)/IF(LEN($G$6)&gt;4,10000,1)</f>
        <v/>
      </c>
      <c r="D12" s="120">
        <f>ROUND(HLOOKUP(D1,bs!$C$1:$AB$110,ROW(bs!F81),FALSE),0)/IF(LEN($G$6)&gt;4,10000,1)</f>
        <v/>
      </c>
      <c r="E12" s="120">
        <f>ROUND(HLOOKUP(E1,bs!$C$1:$AB$110,ROW(bs!E81),FALSE),0)/IF(LEN($G$6)&gt;4,10000,1)</f>
        <v/>
      </c>
    </row>
    <row r="13">
      <c r="A13" s="119" t="inlineStr">
        <is>
          <t>长期负债</t>
        </is>
      </c>
      <c r="B13" s="120">
        <f>ROUND(HLOOKUP(B1,bs!$C$1:$AB$110,ROW(bs!#REF!),FALSE),0)/IF(LEN($G$6)&gt;4,10000,1)</f>
        <v/>
      </c>
      <c r="C13" s="120">
        <f>ROUND(HLOOKUP(C1,bs!$C$1:$AB$110,ROW(bs!#REF!),FALSE),0)/IF(LEN($G$6)&gt;4,10000,1)</f>
        <v/>
      </c>
      <c r="D13" s="120">
        <f>ROUND(HLOOKUP(D1,bs!$C$1:$AB$110,ROW(bs!F93),FALSE),0)/IF(LEN($G$6)&gt;4,10000,1)</f>
        <v/>
      </c>
      <c r="E13" s="120">
        <f>ROUND(HLOOKUP(E1,bs!$C$1:$AB$110,ROW(bs!E93),FALSE),0)/IF(LEN($G$6)&gt;4,10000,1)</f>
        <v/>
      </c>
    </row>
    <row r="14">
      <c r="A14" s="119" t="inlineStr">
        <is>
          <t>总负债</t>
        </is>
      </c>
      <c r="B14" s="120">
        <f>ROUND(HLOOKUP(B1,bs!$C$1:$AB$110,ROW(bs!#REF!),FALSE),0)/IF(LEN($G$6)&gt;4,10000,1)</f>
        <v/>
      </c>
      <c r="C14" s="120">
        <f>ROUND(HLOOKUP(C1,bs!$C$1:$AB$110,ROW(bs!#REF!),FALSE),0)/IF(LEN($G$6)&gt;4,10000,1)</f>
        <v/>
      </c>
      <c r="D14" s="120">
        <f>ROUND(HLOOKUP(D1,bs!$C$1:$AB$110,ROW(bs!F94),FALSE),0)/IF(LEN($G$6)&gt;4,10000,1)</f>
        <v/>
      </c>
      <c r="E14" s="120">
        <f>ROUND(HLOOKUP(E1,bs!$C$1:$AB$110,ROW(bs!E94),FALSE),0)/IF(LEN($G$6)&gt;4,10000,1)</f>
        <v/>
      </c>
    </row>
    <row r="15">
      <c r="A15" s="119" t="inlineStr">
        <is>
          <t>股东权益</t>
        </is>
      </c>
      <c r="B15" s="120">
        <f>ROUND(HLOOKUP(B1,bs!$C$1:$AB$110,ROW(bs!#REF!),FALSE),0)/IF(LEN($G$6)&gt;4,10000,1)</f>
        <v/>
      </c>
      <c r="C15" s="120">
        <f>ROUND(HLOOKUP(C1,bs!$C$1:$AB$110,ROW(bs!#REF!),FALSE),0)/IF(LEN($G$6)&gt;4,10000,1)</f>
        <v/>
      </c>
      <c r="D15" s="120">
        <f>ROUND(HLOOKUP(D1,bs!$C$1:$AB$110,ROW(bs!F109),FALSE),0)/IF(LEN($G$6)&gt;4,10000,1)</f>
        <v/>
      </c>
      <c r="E15" s="120">
        <f>ROUND(HLOOKUP(E1,bs!$C$1:$AB$110,ROW(bs!E109),FALSE),0)/IF(LEN($G$6)&gt;4,10000,1)</f>
        <v/>
      </c>
    </row>
    <row r="16">
      <c r="A16" s="119" t="inlineStr">
        <is>
          <t>主营业务收入</t>
        </is>
      </c>
      <c r="B16" s="120">
        <f>ROUND(HLOOKUP(B1,pl!$C$1:$CF$46,ROW(pl!#REF!),FALSE),0)/IF(LEN($G$6)&gt;4,10000,1)</f>
        <v/>
      </c>
      <c r="C16" s="120">
        <f>ROUND(HLOOKUP(C1,pl!$C$1:$CF$46,ROW(pl!#REF!),FALSE),0)/IF(LEN($G$6)&gt;4,10000,1)</f>
        <v/>
      </c>
      <c r="D16" s="120">
        <f>ROUND(HLOOKUP(D1,pl!$C$1:$CF$46,ROW(pl!#REF!),FALSE),0)/IF(LEN($G$6)&gt;4,10000,1)</f>
        <v/>
      </c>
      <c r="E16" s="120">
        <f>ROUND(HLOOKUP(E1,pl!$C$1:$CF$46,ROW(pl!F2),FALSE),0)/IF(LEN($G$6)&gt;4,10000,1)</f>
        <v/>
      </c>
    </row>
    <row r="17">
      <c r="A17" s="119" t="inlineStr">
        <is>
          <t>主营业务成本</t>
        </is>
      </c>
      <c r="B17" s="120">
        <f>ROUND(HLOOKUP(B1,pl!$C$1:$CF$46,ROW(pl!#REF!),FALSE),0)/IF(LEN($G$6)&gt;4,10000,1)</f>
        <v/>
      </c>
      <c r="C17" s="120">
        <f>ROUND(HLOOKUP(C1,pl!$C$1:$CF$46,ROW(pl!#REF!),FALSE),0)/IF(LEN($G$6)&gt;4,10000,1)</f>
        <v/>
      </c>
      <c r="D17" s="120">
        <f>ROUND(HLOOKUP(D1,pl!$C$1:$CF$46,ROW(pl!#REF!),FALSE),0)/IF(LEN($G$6)&gt;4,10000,1)</f>
        <v/>
      </c>
      <c r="E17" s="120">
        <f>ROUND(HLOOKUP(E1,pl!$C$1:$CF$46,ROW(pl!F8),FALSE),0)/IF(LEN($G$6)&gt;4,10000,1)</f>
        <v/>
      </c>
    </row>
    <row r="18">
      <c r="A18" s="119" t="inlineStr">
        <is>
          <t>营业费用</t>
        </is>
      </c>
      <c r="B18" s="120">
        <f>ROUND(HLOOKUP(B1,pl!$C$1:$CF$46,ROW(pl!#REF!),FALSE),0)/IF(LEN($G$6)&gt;4,10000,1)</f>
        <v/>
      </c>
      <c r="C18" s="120">
        <f>ROUND(HLOOKUP(C1,pl!$C$1:$CF$46,ROW(pl!#REF!),FALSE),0)/IF(LEN($G$6)&gt;4,10000,1)</f>
        <v/>
      </c>
      <c r="D18" s="120">
        <f>ROUND(HLOOKUP(D1,pl!$C$1:$CF$46,ROW(pl!#REF!),FALSE),0)/IF(LEN($G$6)&gt;4,10000,1)</f>
        <v/>
      </c>
      <c r="E18" s="120">
        <f>ROUND(HLOOKUP(E1,pl!$C$1:$CF$46,ROW(pl!F12),FALSE),0)/IF(LEN($G$6)&gt;4,10000,1)</f>
        <v/>
      </c>
    </row>
    <row r="19">
      <c r="A19" s="119" t="inlineStr">
        <is>
          <t>管理费用</t>
        </is>
      </c>
      <c r="B19" s="120">
        <f>ROUND(HLOOKUP(B1,pl!$C$1:$CF$46,ROW(pl!#REF!),FALSE),0)/IF(LEN($G$6)&gt;4,10000,1)</f>
        <v/>
      </c>
      <c r="C19" s="120">
        <f>ROUND(HLOOKUP(C1,pl!$C$1:$CF$46,ROW(pl!#REF!),FALSE),0)/IF(LEN($G$6)&gt;4,10000,1)</f>
        <v/>
      </c>
      <c r="D19" s="120">
        <f>ROUND(HLOOKUP(D1,pl!$C$1:$CF$46,ROW(pl!#REF!),FALSE),0)/IF(LEN($G$6)&gt;4,10000,1)</f>
        <v/>
      </c>
      <c r="E19" s="120">
        <f>ROUND(HLOOKUP(E1,pl!$C$1:$CF$46,ROW(pl!F13),FALSE),0)/IF(LEN($G$6)&gt;4,10000,1)</f>
        <v/>
      </c>
    </row>
    <row r="20">
      <c r="A20" s="119" t="inlineStr">
        <is>
          <t>财务费用</t>
        </is>
      </c>
      <c r="B20" s="120">
        <f>ROUND(HLOOKUP(B1,pl!$C$1:$CF$46,ROW(pl!#REF!),FALSE),0)/IF(LEN($G$6)&gt;4,10000,1)</f>
        <v/>
      </c>
      <c r="C20" s="120">
        <f>ROUND(HLOOKUP(C1,pl!$C$1:$CF$46,ROW(pl!#REF!),FALSE),0)/IF(LEN($G$6)&gt;4,10000,1)</f>
        <v/>
      </c>
      <c r="D20" s="120">
        <f>ROUND(HLOOKUP(D1,pl!$C$1:$CF$46,ROW(pl!#REF!),FALSE),0)/IF(LEN($G$6)&gt;4,10000,1)</f>
        <v/>
      </c>
      <c r="E20" s="120">
        <f>ROUND(HLOOKUP(E1,pl!$C$1:$CF$46,ROW(pl!F14),FALSE),0)/IF(LEN($G$6)&gt;4,10000,1)</f>
        <v/>
      </c>
      <c r="F20" s="122" t="n"/>
      <c r="G20" s="122" t="n"/>
    </row>
    <row r="21">
      <c r="A21" s="119" t="inlineStr">
        <is>
          <t>营业利润</t>
        </is>
      </c>
      <c r="B21" s="120">
        <f>ROUND(HLOOKUP(B1,pl!$C$1:$CF$46,ROW(pl!#REF!),FALSE),0)/IF(LEN($G$6)&gt;4,10000,1)</f>
        <v/>
      </c>
      <c r="C21" s="120">
        <f>ROUND(HLOOKUP(C1,pl!$C$1:$CF$46,ROW(pl!#REF!),FALSE),0)/IF(LEN($G$6)&gt;4,10000,1)</f>
        <v/>
      </c>
      <c r="D21" s="120">
        <f>ROUND(HLOOKUP(D1,pl!$C$1:$CF$46,ROW(pl!#REF!),FALSE),0)/IF(LEN($G$6)&gt;4,10000,1)</f>
        <v/>
      </c>
      <c r="E21" s="120">
        <f>ROUND(HLOOKUP(E1,pl!$C$1:$CF$46,ROW(pl!F18),FALSE),0)/IF(LEN($G$6)&gt;4,10000,1)</f>
        <v/>
      </c>
    </row>
    <row r="22">
      <c r="A22" s="119" t="inlineStr">
        <is>
          <t>利润总额</t>
        </is>
      </c>
      <c r="B22" s="120">
        <f>ROUND(HLOOKUP(B1,pl!$C$1:$CF$46,ROW(pl!#REF!),FALSE),0)/IF(LEN($G$6)&gt;4,10000,1)</f>
        <v/>
      </c>
      <c r="C22" s="120">
        <f>ROUND(HLOOKUP(C1,pl!$C$1:$CF$46,ROW(pl!#REF!),FALSE),0)/IF(LEN($G$6)&gt;4,10000,1)</f>
        <v/>
      </c>
      <c r="D22" s="120">
        <f>ROUND(HLOOKUP(D1,pl!$C$1:$CF$46,ROW(pl!#REF!),FALSE),0)/IF(LEN($G$6)&gt;4,10000,1)</f>
        <v/>
      </c>
      <c r="E22" s="120">
        <f>ROUND(HLOOKUP(E1,pl!$C$1:$CF$46,ROW(pl!F21),FALSE),0)/IF(LEN($G$6)&gt;4,10000,1)</f>
        <v/>
      </c>
    </row>
    <row r="23">
      <c r="A23" s="119" t="inlineStr">
        <is>
          <t>净利润</t>
        </is>
      </c>
      <c r="B23" s="120">
        <f>ROUND(HLOOKUP(B1,pl!$C$1:$CF$46,ROW(pl!#REF!),FALSE),0)/IF(LEN($G$6)&gt;4,10000,1)</f>
        <v/>
      </c>
      <c r="C23" s="120">
        <f>ROUND(HLOOKUP(C1,pl!$C$1:$CF$46,ROW(pl!#REF!),FALSE),0)/IF(LEN($G$6)&gt;4,10000,1)</f>
        <v/>
      </c>
      <c r="D23" s="120">
        <f>ROUND(HLOOKUP(D1,pl!$C$1:$CF$46,ROW(pl!#REF!),FALSE),0)/IF(LEN($G$6)&gt;4,10000,1)</f>
        <v/>
      </c>
      <c r="E23" s="120">
        <f>ROUND(HLOOKUP(E1,pl!$C$1:$CF$46,ROW(pl!F23),FALSE),0)/IF(LEN($G$6)&gt;4,10000,1)</f>
        <v/>
      </c>
    </row>
    <row r="24">
      <c r="A24" s="119" t="inlineStr">
        <is>
          <t>筹资性现金流净流量</t>
        </is>
      </c>
      <c r="B24" s="120">
        <f>ROUND(HLOOKUP(B1,cf!$C$1:$CI$39,ROW(pl!#REF!),FALSE),0)/IF(LEN($G$6)&gt;4,10000,1)</f>
        <v/>
      </c>
      <c r="C24" s="120">
        <f>ROUND(HLOOKUP(C1,cf!$C$1:$CI$39,ROW(pl!#REF!),FALSE),0)/IF(LEN($G$6)&gt;4,10000,1)</f>
        <v/>
      </c>
      <c r="D24" s="120">
        <f>ROUND(HLOOKUP(D1,cf!$C$1:$CI$39,ROW(pl!#REF!),FALSE),0)/IF(LEN($G$6)&gt;4,10000,1)</f>
        <v/>
      </c>
      <c r="E24" s="120">
        <f>ROUND(HLOOKUP(E1,cf!$C$1:$CI$39,ROW(pl!#REF!),FALSE),0)/IF(LEN($G$6)&gt;4,10000,1)</f>
        <v/>
      </c>
    </row>
    <row r="25">
      <c r="A25" s="119" t="inlineStr">
        <is>
          <t>经营性现金流净流量</t>
        </is>
      </c>
      <c r="B25" s="120">
        <f>ROUND(HLOOKUP(B1,cf!$C$1:$CI$39,ROW(pl!#REF!),FALSE),0)/IF(LEN($G$6)&gt;4,10000,1)</f>
        <v/>
      </c>
      <c r="C25" s="120">
        <f>ROUND(HLOOKUP(C1,cf!$C$1:$CI$39,ROW(pl!#REF!),FALSE),0)/IF(LEN($G$6)&gt;4,10000,1)</f>
        <v/>
      </c>
      <c r="D25" s="120">
        <f>ROUND(HLOOKUP(D1,cf!$C$1:$CI$39,ROW(pl!#REF!),FALSE),0)/IF(LEN($G$6)&gt;4,10000,1)</f>
        <v/>
      </c>
      <c r="E25" s="120">
        <f>ROUND(HLOOKUP(E1,cf!$C$1:$CI$39,ROW(pl!#REF!),FALSE),0)/IF(LEN($G$6)&gt;4,10000,1)</f>
        <v/>
      </c>
    </row>
    <row r="26">
      <c r="A26" s="123" t="inlineStr">
        <is>
          <t>偿债能力分析</t>
        </is>
      </c>
      <c r="B26" s="93" t="n"/>
      <c r="C26" s="93" t="n"/>
      <c r="D26" s="93" t="n"/>
      <c r="E26" s="93" t="n"/>
    </row>
    <row r="27">
      <c r="A27" s="119" t="inlineStr">
        <is>
          <t>流动比率</t>
        </is>
      </c>
      <c r="B27" s="231">
        <f>B4/B10</f>
        <v/>
      </c>
      <c r="C27" s="231">
        <f>C4/C10</f>
        <v/>
      </c>
      <c r="D27" s="231">
        <f>D4/D10</f>
        <v/>
      </c>
      <c r="E27" s="231">
        <f>E4/E10</f>
        <v/>
      </c>
    </row>
    <row r="28">
      <c r="A28" s="119" t="inlineStr">
        <is>
          <t>速动比率</t>
        </is>
      </c>
      <c r="B28" s="231">
        <f>(B4-B2)/B10</f>
        <v/>
      </c>
      <c r="C28" s="231">
        <f>(C4-C2)/C10</f>
        <v/>
      </c>
      <c r="D28" s="231">
        <f>(D4-D2)/D10</f>
        <v/>
      </c>
      <c r="E28" s="231">
        <f>(E4-E2)/E10</f>
        <v/>
      </c>
    </row>
    <row r="29">
      <c r="A29" s="119" t="inlineStr">
        <is>
          <t>股东权益比(%)</t>
        </is>
      </c>
      <c r="B29" s="125">
        <f>B15/B7</f>
        <v/>
      </c>
      <c r="C29" s="125">
        <f>C15/C7</f>
        <v/>
      </c>
      <c r="D29" s="126">
        <f>D15/D7</f>
        <v/>
      </c>
      <c r="E29" s="126">
        <f>E15/E7</f>
        <v/>
      </c>
    </row>
    <row r="30">
      <c r="A30" s="119" t="inlineStr">
        <is>
          <t>资产负债率(%)</t>
        </is>
      </c>
      <c r="B30" s="125">
        <f>B14/B7</f>
        <v/>
      </c>
      <c r="C30" s="125">
        <f>C14/C7</f>
        <v/>
      </c>
      <c r="D30" s="126">
        <f>D14/D7</f>
        <v/>
      </c>
      <c r="E30" s="126">
        <f>E14/E7</f>
        <v/>
      </c>
    </row>
    <row r="31">
      <c r="A31" s="119" t="inlineStr">
        <is>
          <t>流动负债率(%)</t>
        </is>
      </c>
      <c r="B31" s="125">
        <f>B10/B14</f>
        <v/>
      </c>
      <c r="C31" s="125">
        <f>C10/C14</f>
        <v/>
      </c>
      <c r="D31" s="126">
        <f>D10/D14</f>
        <v/>
      </c>
      <c r="E31" s="126">
        <f>E10/E14</f>
        <v/>
      </c>
    </row>
    <row r="32">
      <c r="A32" s="119" t="inlineStr">
        <is>
          <t>EBITDA利息倍数</t>
        </is>
      </c>
      <c r="B32" s="231">
        <f>(B22+B20)/B20</f>
        <v/>
      </c>
      <c r="C32" s="231">
        <f>(C22+C20)/C20</f>
        <v/>
      </c>
      <c r="D32" s="231">
        <f>(D22+D20)/D20</f>
        <v/>
      </c>
      <c r="E32" s="231">
        <f>(E22+E20)/E20</f>
        <v/>
      </c>
    </row>
    <row r="33">
      <c r="A33" s="127" t="inlineStr">
        <is>
          <t>经营效率分析</t>
        </is>
      </c>
      <c r="B33" s="2" t="n"/>
      <c r="C33" s="2" t="n"/>
      <c r="D33" s="2" t="n"/>
      <c r="E33" s="2" t="n"/>
    </row>
    <row r="34">
      <c r="A34" s="119" t="inlineStr">
        <is>
          <t>存货周转率(倍)</t>
        </is>
      </c>
      <c r="B34" s="231">
        <f>0+(B17/(B2+C2)*2)</f>
        <v/>
      </c>
      <c r="C34" s="231">
        <f>C17/(C2+D2)*2</f>
        <v/>
      </c>
      <c r="D34" s="231">
        <f>D17/(D2+E2)*2</f>
        <v/>
      </c>
      <c r="E34" s="231">
        <f>E17/E2</f>
        <v/>
      </c>
    </row>
    <row r="35">
      <c r="A35" s="119" t="inlineStr">
        <is>
          <t>总资产周转率(倍)</t>
        </is>
      </c>
      <c r="B35" s="231">
        <f>0+(B16/(B7+C7)*2)</f>
        <v/>
      </c>
      <c r="C35" s="231">
        <f>C16/(C7+D7)*2</f>
        <v/>
      </c>
      <c r="D35" s="231">
        <f>D16/(D7+E7)*2</f>
        <v/>
      </c>
      <c r="E35" s="231">
        <f>E16/E7</f>
        <v/>
      </c>
    </row>
    <row r="36">
      <c r="A36" s="119" t="inlineStr">
        <is>
          <t>应收帐款周转率(倍)</t>
        </is>
      </c>
      <c r="B36" s="231">
        <f>0+(B16/(B3+C3)*2)</f>
        <v/>
      </c>
      <c r="C36" s="231">
        <f>C16/(C3+D3)*2</f>
        <v/>
      </c>
      <c r="D36" s="231">
        <f>D16/(D3+E3)*2</f>
        <v/>
      </c>
      <c r="E36" s="231">
        <f>E16/E3</f>
        <v/>
      </c>
    </row>
    <row r="37">
      <c r="A37" s="119" t="inlineStr">
        <is>
          <t>主营成本比例(%)</t>
        </is>
      </c>
      <c r="B37" s="125">
        <f>0+(B17/B16)</f>
        <v/>
      </c>
      <c r="C37" s="125">
        <f>C17/C16</f>
        <v/>
      </c>
      <c r="D37" s="126">
        <f>D17/D16</f>
        <v/>
      </c>
      <c r="E37" s="126">
        <f>E17/E16</f>
        <v/>
      </c>
    </row>
    <row r="38">
      <c r="A38" s="119" t="inlineStr">
        <is>
          <t>营业费用比例(%)</t>
        </is>
      </c>
      <c r="B38" s="125">
        <f>0+(B18/B16)</f>
        <v/>
      </c>
      <c r="C38" s="125">
        <f>C18/C16</f>
        <v/>
      </c>
      <c r="D38" s="126">
        <f>D18/D16</f>
        <v/>
      </c>
      <c r="E38" s="126">
        <f>E18/E16</f>
        <v/>
      </c>
    </row>
    <row r="39">
      <c r="A39" s="119" t="inlineStr">
        <is>
          <t>管理费用比例(%)</t>
        </is>
      </c>
      <c r="B39" s="125">
        <f>0+(B19/B16)</f>
        <v/>
      </c>
      <c r="C39" s="125">
        <f>C19/C16</f>
        <v/>
      </c>
      <c r="D39" s="126">
        <f>D19/D16</f>
        <v/>
      </c>
      <c r="E39" s="126">
        <f>E19/E16</f>
        <v/>
      </c>
    </row>
    <row r="40">
      <c r="A40" s="119" t="inlineStr">
        <is>
          <t>财务费用比例(%)</t>
        </is>
      </c>
      <c r="B40" s="125">
        <f>0+(B20/B16)</f>
        <v/>
      </c>
      <c r="C40" s="125">
        <f>C20/C16</f>
        <v/>
      </c>
      <c r="D40" s="126">
        <f>D20/D16</f>
        <v/>
      </c>
      <c r="E40" s="126">
        <f>E20/E16</f>
        <v/>
      </c>
    </row>
    <row r="41">
      <c r="A41" s="127" t="inlineStr">
        <is>
          <t>盈利能力分析</t>
        </is>
      </c>
      <c r="B41" s="2" t="n"/>
      <c r="C41" s="2" t="n"/>
      <c r="D41" s="2" t="n"/>
      <c r="E41" s="2" t="n"/>
    </row>
    <row r="42">
      <c r="A42" s="119" t="inlineStr">
        <is>
          <t>净利润率(%)</t>
        </is>
      </c>
      <c r="B42" s="125">
        <f>B23/B16</f>
        <v/>
      </c>
      <c r="C42" s="125">
        <f>C23/C16</f>
        <v/>
      </c>
      <c r="D42" s="126">
        <f>D23/D16</f>
        <v/>
      </c>
      <c r="E42" s="126">
        <f>E23/E16</f>
        <v/>
      </c>
    </row>
    <row r="43">
      <c r="A43" s="119" t="inlineStr">
        <is>
          <t>经营毛利率(%)</t>
        </is>
      </c>
      <c r="B43" s="125">
        <f>B21/B16</f>
        <v/>
      </c>
      <c r="C43" s="125">
        <f>C21/C16</f>
        <v/>
      </c>
      <c r="D43" s="126">
        <f>D21/D16</f>
        <v/>
      </c>
      <c r="E43" s="126">
        <f>E21/E16</f>
        <v/>
      </c>
    </row>
    <row r="44">
      <c r="A44" s="119" t="inlineStr">
        <is>
          <t>资产利润率(%)</t>
        </is>
      </c>
      <c r="B44" s="125">
        <f>B22/(B7+C7)*2</f>
        <v/>
      </c>
      <c r="C44" s="125">
        <f>C22/(C7+D7)*2</f>
        <v/>
      </c>
      <c r="D44" s="126">
        <f>D22/(D7+E7)*2</f>
        <v/>
      </c>
      <c r="E44" s="126">
        <f>E22/E7</f>
        <v/>
      </c>
    </row>
    <row r="45">
      <c r="A45" s="119" t="inlineStr">
        <is>
          <t>资产净利润率(%)</t>
        </is>
      </c>
      <c r="B45" s="125">
        <f>B23/(B7+C7)*2</f>
        <v/>
      </c>
      <c r="C45" s="125">
        <f>C23/(C7+D7)*2</f>
        <v/>
      </c>
      <c r="D45" s="126">
        <f>D23/(D7+E7)*2</f>
        <v/>
      </c>
      <c r="E45" s="126">
        <f>E23/E7</f>
        <v/>
      </c>
    </row>
    <row r="46">
      <c r="A46" s="119" t="inlineStr">
        <is>
          <t>净资产收益率(%)</t>
        </is>
      </c>
      <c r="B46" s="125">
        <f>B23/(B15+C15)*2</f>
        <v/>
      </c>
      <c r="C46" s="125">
        <f>C23/(C15+D15)*2</f>
        <v/>
      </c>
      <c r="D46" s="126">
        <f>D23/(D15+E15)*2</f>
        <v/>
      </c>
      <c r="E46" s="126">
        <f>E23/E15</f>
        <v/>
      </c>
    </row>
    <row r="47">
      <c r="A47" s="127" t="inlineStr">
        <is>
          <t>成长能力分析</t>
        </is>
      </c>
      <c r="B47" s="2" t="n"/>
      <c r="C47" s="2" t="n"/>
      <c r="D47" s="2" t="n"/>
      <c r="E47" s="2" t="n"/>
    </row>
    <row r="48">
      <c r="A48" s="119" t="inlineStr">
        <is>
          <t>主营收入增长率(%)</t>
        </is>
      </c>
      <c r="B48" s="125">
        <f>(B16-C16)/C16</f>
        <v/>
      </c>
      <c r="C48" s="126">
        <f>(C16-D16)/D16</f>
        <v/>
      </c>
      <c r="D48" s="126">
        <f>(D16-E16)/E16</f>
        <v/>
      </c>
      <c r="E48" s="126">
        <f>IFERROR((E16-F16)/F16,"-")</f>
        <v/>
      </c>
    </row>
    <row r="49">
      <c r="A49" s="119" t="inlineStr">
        <is>
          <t>净利润增长率(%)</t>
        </is>
      </c>
      <c r="B49" s="125">
        <f>(B23-C23)/C23</f>
        <v/>
      </c>
      <c r="C49" s="126">
        <f>(C23-D23)/D23</f>
        <v/>
      </c>
      <c r="D49" s="126">
        <f>(D23-E23)/E23</f>
        <v/>
      </c>
      <c r="E49" s="126">
        <f>IFERROR((E23-F23)/F23,"-")</f>
        <v/>
      </c>
    </row>
    <row r="50">
      <c r="A50" s="119" t="inlineStr">
        <is>
          <t>总资产增长率(%)</t>
        </is>
      </c>
      <c r="B50" s="125">
        <f>(B7-C7)/C7</f>
        <v/>
      </c>
      <c r="C50" s="126">
        <f>(C7-D7)/D7</f>
        <v/>
      </c>
      <c r="D50" s="126">
        <f>(D7-E7)/E7</f>
        <v/>
      </c>
      <c r="E50" s="126">
        <f>IFERROR((E7-F7)/F7,"-")</f>
        <v/>
      </c>
    </row>
    <row r="51">
      <c r="A51" s="119" t="inlineStr">
        <is>
          <t>股东权益增长率(%)</t>
        </is>
      </c>
      <c r="B51" s="125">
        <f>(B15-C15)/C15</f>
        <v/>
      </c>
      <c r="C51" s="126">
        <f>(C15-D15)/D15</f>
        <v/>
      </c>
      <c r="D51" s="126">
        <f>(D15-E15)/E15</f>
        <v/>
      </c>
      <c r="E51" s="126">
        <f>IFERROR((E15-F15)/F15,"-")</f>
        <v/>
      </c>
    </row>
    <row r="52">
      <c r="A52" s="119" t="inlineStr">
        <is>
          <t>营业利润增长率(%)</t>
        </is>
      </c>
      <c r="B52" s="125">
        <f>(B21-C21)/C21</f>
        <v/>
      </c>
      <c r="C52" s="126">
        <f>(C21-D21)/D21</f>
        <v/>
      </c>
      <c r="D52" s="126">
        <f>(D21-E21)/E21</f>
        <v/>
      </c>
      <c r="E52" s="126">
        <f>IFERROR((E21-F21)/F21,"-")</f>
        <v/>
      </c>
    </row>
    <row r="53">
      <c r="A53" s="119" t="inlineStr">
        <is>
          <t>利润总额增长率(%)</t>
        </is>
      </c>
      <c r="B53" s="125">
        <f>(B22-C22)/C22</f>
        <v/>
      </c>
      <c r="C53" s="126">
        <f>(C22-D22)/D22</f>
        <v/>
      </c>
      <c r="D53" s="126">
        <f>(D22-E22)/E22</f>
        <v/>
      </c>
      <c r="E53" s="126">
        <f>IFERROR((E22-F22)/F22,"-")</f>
        <v/>
      </c>
    </row>
    <row r="54">
      <c r="A54" s="127" t="inlineStr">
        <is>
          <t>财务结构分析</t>
        </is>
      </c>
      <c r="B54" s="2" t="n"/>
      <c r="C54" s="2" t="n"/>
      <c r="D54" s="2" t="n"/>
      <c r="E54" s="2" t="n"/>
    </row>
    <row r="55">
      <c r="A55" s="119" t="inlineStr">
        <is>
          <t>资产负债率(%)</t>
        </is>
      </c>
      <c r="B55" s="125">
        <f>B14/B7</f>
        <v/>
      </c>
      <c r="C55" s="126">
        <f>C14/C7</f>
        <v/>
      </c>
      <c r="D55" s="126">
        <f>D14/D7</f>
        <v/>
      </c>
      <c r="E55" s="126">
        <f>E14/E7</f>
        <v/>
      </c>
    </row>
    <row r="56">
      <c r="A56" s="119" t="inlineStr">
        <is>
          <t>长期负债资产比(%)</t>
        </is>
      </c>
      <c r="B56" s="125">
        <f>B13/B7</f>
        <v/>
      </c>
      <c r="C56" s="126">
        <f>C13/C7</f>
        <v/>
      </c>
      <c r="D56" s="126">
        <f>D13/D7</f>
        <v/>
      </c>
      <c r="E56" s="126">
        <f>E13/E7</f>
        <v/>
      </c>
    </row>
    <row r="57">
      <c r="A57" s="127" t="inlineStr">
        <is>
          <t>现金流量分析</t>
        </is>
      </c>
      <c r="B57" s="2" t="n"/>
      <c r="C57" s="2" t="n"/>
      <c r="D57" s="2" t="n"/>
      <c r="E57" s="2" t="n"/>
    </row>
    <row r="58" ht="32" customHeight="1">
      <c r="A58" s="119" t="inlineStr">
        <is>
          <t>经营活动现金流量与净利润比例</t>
        </is>
      </c>
      <c r="B58" s="231">
        <f>B25/B23</f>
        <v/>
      </c>
      <c r="C58" s="231">
        <f>C25/C23</f>
        <v/>
      </c>
      <c r="D58" s="231">
        <f>D25/D23</f>
        <v/>
      </c>
      <c r="E58" s="231">
        <f>E25/E23</f>
        <v/>
      </c>
    </row>
    <row r="60">
      <c r="A60" s="128">
        <f>A41</f>
        <v/>
      </c>
      <c r="B60" s="93" t="n"/>
      <c r="C60" s="93" t="n"/>
      <c r="D60" s="93" t="n"/>
      <c r="E60" s="93" t="n"/>
    </row>
    <row r="61">
      <c r="A61" s="129">
        <f>A1</f>
        <v/>
      </c>
      <c r="B61" s="130">
        <f>B1</f>
        <v/>
      </c>
      <c r="C61" s="130">
        <f>C1</f>
        <v/>
      </c>
      <c r="D61" s="130">
        <f>D1</f>
        <v/>
      </c>
      <c r="E61" s="130">
        <f>E1</f>
        <v/>
      </c>
    </row>
    <row r="62">
      <c r="A62" s="119" t="inlineStr">
        <is>
          <t>净利润率(%)</t>
        </is>
      </c>
      <c r="B62" s="125">
        <f>B42</f>
        <v/>
      </c>
      <c r="C62" s="125">
        <f>C42</f>
        <v/>
      </c>
      <c r="D62" s="125">
        <f>D42</f>
        <v/>
      </c>
      <c r="E62" s="125">
        <f>E42</f>
        <v/>
      </c>
    </row>
    <row r="63">
      <c r="A63" s="119" t="inlineStr">
        <is>
          <t>经营毛利率(%)</t>
        </is>
      </c>
      <c r="B63" s="125">
        <f>B43</f>
        <v/>
      </c>
      <c r="C63" s="125">
        <f>C43</f>
        <v/>
      </c>
      <c r="D63" s="125">
        <f>D43</f>
        <v/>
      </c>
      <c r="E63" s="125">
        <f>E43</f>
        <v/>
      </c>
    </row>
    <row r="64">
      <c r="A64" s="119" t="inlineStr">
        <is>
          <t>资产利润率(%)</t>
        </is>
      </c>
      <c r="B64" s="125">
        <f>B44</f>
        <v/>
      </c>
      <c r="C64" s="125">
        <f>C44</f>
        <v/>
      </c>
      <c r="D64" s="125">
        <f>D44</f>
        <v/>
      </c>
      <c r="E64" s="125">
        <f>E44</f>
        <v/>
      </c>
    </row>
    <row r="65">
      <c r="A65" s="119" t="inlineStr">
        <is>
          <t>资产净利润率(%)</t>
        </is>
      </c>
      <c r="B65" s="125">
        <f>B45</f>
        <v/>
      </c>
      <c r="C65" s="125">
        <f>C45</f>
        <v/>
      </c>
      <c r="D65" s="125">
        <f>D45</f>
        <v/>
      </c>
      <c r="E65" s="125">
        <f>E45</f>
        <v/>
      </c>
    </row>
    <row r="66">
      <c r="A66" s="119" t="inlineStr">
        <is>
          <t>净资产收益率(%)</t>
        </is>
      </c>
      <c r="B66" s="125">
        <f>B46</f>
        <v/>
      </c>
      <c r="C66" s="125">
        <f>C46</f>
        <v/>
      </c>
      <c r="D66" s="125">
        <f>D46</f>
        <v/>
      </c>
      <c r="E66" s="125">
        <f>E46</f>
        <v/>
      </c>
    </row>
    <row r="68">
      <c r="A68" s="128">
        <f>A26</f>
        <v/>
      </c>
      <c r="B68" s="93" t="n"/>
      <c r="C68" s="93" t="n"/>
      <c r="D68" s="93" t="n"/>
      <c r="E68" s="93" t="n"/>
    </row>
    <row r="69">
      <c r="A69" s="129">
        <f>A1</f>
        <v/>
      </c>
      <c r="B69" s="130">
        <f>B1</f>
        <v/>
      </c>
      <c r="C69" s="130">
        <f>C1</f>
        <v/>
      </c>
      <c r="D69" s="130">
        <f>D1</f>
        <v/>
      </c>
      <c r="E69" s="130">
        <f>E1</f>
        <v/>
      </c>
    </row>
    <row r="70">
      <c r="A70" s="119">
        <f>A27</f>
        <v/>
      </c>
      <c r="B70" s="231">
        <f>B27</f>
        <v/>
      </c>
      <c r="C70" s="231">
        <f>C27</f>
        <v/>
      </c>
      <c r="D70" s="231">
        <f>D27</f>
        <v/>
      </c>
      <c r="E70" s="231">
        <f>E27</f>
        <v/>
      </c>
    </row>
    <row r="71">
      <c r="A71" s="119">
        <f>A28</f>
        <v/>
      </c>
      <c r="B71" s="231">
        <f>B28</f>
        <v/>
      </c>
      <c r="C71" s="231">
        <f>C28</f>
        <v/>
      </c>
      <c r="D71" s="231">
        <f>D28</f>
        <v/>
      </c>
      <c r="E71" s="231">
        <f>E28</f>
        <v/>
      </c>
    </row>
    <row r="72">
      <c r="A72" s="119">
        <f>A29</f>
        <v/>
      </c>
      <c r="B72" s="125">
        <f>B29</f>
        <v/>
      </c>
      <c r="C72" s="125">
        <f>C29</f>
        <v/>
      </c>
      <c r="D72" s="126">
        <f>D29</f>
        <v/>
      </c>
      <c r="E72" s="126">
        <f>E29</f>
        <v/>
      </c>
    </row>
    <row r="73">
      <c r="A73" s="119">
        <f>A30</f>
        <v/>
      </c>
      <c r="B73" s="125">
        <f>B30</f>
        <v/>
      </c>
      <c r="C73" s="125">
        <f>C30</f>
        <v/>
      </c>
      <c r="D73" s="126">
        <f>D30</f>
        <v/>
      </c>
      <c r="E73" s="126">
        <f>E30</f>
        <v/>
      </c>
    </row>
    <row r="74">
      <c r="A74" s="119">
        <f>A31</f>
        <v/>
      </c>
      <c r="B74" s="125">
        <f>B31</f>
        <v/>
      </c>
      <c r="C74" s="125">
        <f>C31</f>
        <v/>
      </c>
      <c r="D74" s="126">
        <f>D31</f>
        <v/>
      </c>
      <c r="E74" s="126">
        <f>E31</f>
        <v/>
      </c>
    </row>
    <row r="75">
      <c r="A75" s="119">
        <f>A32</f>
        <v/>
      </c>
      <c r="B75" s="231">
        <f>B32</f>
        <v/>
      </c>
      <c r="C75" s="231">
        <f>C32</f>
        <v/>
      </c>
      <c r="D75" s="231">
        <f>D32</f>
        <v/>
      </c>
      <c r="E75" s="231">
        <f>E32</f>
        <v/>
      </c>
    </row>
  </sheetData>
  <mergeCells count="8">
    <mergeCell ref="A57:E57"/>
    <mergeCell ref="A26:E26"/>
    <mergeCell ref="A54:E54"/>
    <mergeCell ref="A60:E60"/>
    <mergeCell ref="A41:E41"/>
    <mergeCell ref="A33:E33"/>
    <mergeCell ref="A68:E68"/>
    <mergeCell ref="A47:E47"/>
  </mergeCells>
  <dataValidations count="2">
    <dataValidation sqref="B1" showDropDown="0" showInputMessage="1" showErrorMessage="1" allowBlank="1" type="list">
      <formula1>bs!$C$1:$Q$1</formula1>
    </dataValidation>
    <dataValidation sqref="G6" showDropDown="0" showInputMessage="1" showErrorMessage="1" allowBlank="1" type="list">
      <formula1>"单位：元,单位：万元"</formula1>
    </dataValidation>
  </dataValidations>
  <pageMargins left="0.75" right="0.75" top="1" bottom="1" header="0.5" footer="0.5"/>
  <pageSetup orientation="portrait" paperSize="9"/>
</worksheet>
</file>

<file path=xl/worksheets/sheet9.xml><?xml version="1.0" encoding="utf-8"?>
<worksheet xmlns="http://schemas.openxmlformats.org/spreadsheetml/2006/main">
  <sheetPr codeName="Sheet18">
    <outlinePr summaryBelow="1" summaryRight="1"/>
    <pageSetUpPr/>
  </sheetPr>
  <dimension ref="B1:P98"/>
  <sheetViews>
    <sheetView workbookViewId="0">
      <selection activeCell="I54" sqref="I54"/>
    </sheetView>
  </sheetViews>
  <sheetFormatPr baseColWidth="8" defaultColWidth="9" defaultRowHeight="15.2"/>
  <cols>
    <col width="17" customWidth="1" style="90" min="2" max="2"/>
    <col width="10.2857142857143" customWidth="1" style="91" min="3" max="3"/>
    <col width="8.71428571428571" customWidth="1" style="91" min="4" max="4"/>
    <col width="10.2857142857143" customWidth="1" style="91" min="5" max="5"/>
    <col width="8.71428571428571" customWidth="1" style="91" min="6" max="6"/>
    <col width="10.2857142857143" customWidth="1" style="91" min="7" max="7"/>
    <col width="8.71428571428571" customWidth="1" style="91" min="8" max="8"/>
    <col width="10.2857142857143" customWidth="1" style="91" min="9" max="9"/>
    <col width="8.71428571428571" customWidth="1" style="91" min="10" max="10"/>
    <col width="7.85714285714286" customWidth="1" min="12" max="12"/>
    <col width="16.4285714285714" customWidth="1" min="13" max="13"/>
    <col width="30.7142857142857" customWidth="1" min="14" max="14"/>
  </cols>
  <sheetData>
    <row r="1">
      <c r="B1" s="92" t="inlineStr">
        <is>
          <t>单位：万元</t>
        </is>
      </c>
      <c r="C1" s="93" t="n"/>
      <c r="D1" s="93" t="n"/>
      <c r="E1" s="93" t="n"/>
      <c r="F1" s="93" t="n"/>
      <c r="G1" s="93" t="n"/>
      <c r="H1" s="93" t="n"/>
      <c r="I1" s="93" t="n"/>
      <c r="J1" s="93" t="n"/>
      <c r="N1" s="94" t="inlineStr">
        <is>
          <t>拟承租人</t>
        </is>
      </c>
      <c r="O1" s="20" t="n"/>
    </row>
    <row r="2">
      <c r="B2" s="95" t="inlineStr">
        <is>
          <t>项目</t>
        </is>
      </c>
      <c r="C2" s="96">
        <f>'财务分析（2022）版'!B3</f>
        <v/>
      </c>
      <c r="D2" s="3" t="n"/>
      <c r="E2" s="96">
        <f>DATE(YEAR(C2)-1,12,31)</f>
        <v/>
      </c>
      <c r="F2" s="3" t="n"/>
      <c r="G2" s="96">
        <f>DATE(YEAR(E2)-1,12,31)</f>
        <v/>
      </c>
      <c r="H2" s="3" t="n"/>
      <c r="I2" s="96">
        <f>DATE(YEAR(G2)-1,12,31)</f>
        <v/>
      </c>
      <c r="J2" s="3" t="n"/>
      <c r="L2" s="20" t="inlineStr">
        <is>
          <t>筛选辅助列</t>
        </is>
      </c>
      <c r="M2" s="20" t="n"/>
      <c r="N2" s="97">
        <f>CONCATENATE(TEXT($I$2,"YYYY"),"年-",TEXT($C$2,"YYYY"),"年，")</f>
        <v/>
      </c>
    </row>
    <row r="3">
      <c r="B3" s="57" t="n"/>
      <c r="C3" s="98" t="inlineStr">
        <is>
          <t>金额</t>
        </is>
      </c>
      <c r="D3" s="98" t="inlineStr">
        <is>
          <t>占比</t>
        </is>
      </c>
      <c r="E3" s="98" t="inlineStr">
        <is>
          <t>金额</t>
        </is>
      </c>
      <c r="F3" s="98" t="inlineStr">
        <is>
          <t>占比</t>
        </is>
      </c>
      <c r="G3" s="98" t="inlineStr">
        <is>
          <t>金额</t>
        </is>
      </c>
      <c r="H3" s="98" t="inlineStr">
        <is>
          <t>占比</t>
        </is>
      </c>
      <c r="I3" s="98" t="inlineStr">
        <is>
          <t>金额</t>
        </is>
      </c>
      <c r="J3" s="98" t="inlineStr">
        <is>
          <t>占比</t>
        </is>
      </c>
      <c r="L3" s="20" t="inlineStr">
        <is>
          <t>占比筛选</t>
        </is>
      </c>
      <c r="M3" s="20" t="inlineStr">
        <is>
          <t>科目</t>
        </is>
      </c>
    </row>
    <row r="4">
      <c r="B4" s="99" t="inlineStr">
        <is>
          <t>货币资金</t>
        </is>
      </c>
      <c r="C4" s="232">
        <f>ROUND(HLOOKUP($C$2,bs!$C$1:$AB$110,MATCH(TRIM(B4),TRIM(bs!$B$1:$B$110),0),FALSE),0)/IF(ISNUMBER(SEARCH("亿",$B$1)),100000000,IF(ISNUMBER(SEARCH("万",$B$1)),10000,1))</f>
        <v/>
      </c>
      <c r="D4" s="101">
        <f>C4/$C$45</f>
        <v/>
      </c>
      <c r="E4" s="232">
        <f>ROUND(HLOOKUP($E$2,bs!$C$1:$AB$110,MATCH(TRIM(B4),TRIM(bs!$B$1:$B$110),0),FALSE),0)/IF(ISNUMBER(SEARCH("亿",$B$1)),100000000,IF(ISNUMBER(SEARCH("万",$B$1)),10000,1))</f>
        <v/>
      </c>
      <c r="F4" s="101">
        <f>E4/$E$45</f>
        <v/>
      </c>
      <c r="G4" s="233">
        <f>ROUND(HLOOKUP($G$2,bs!$C$1:$AB$110,MATCH(TRIM(B4),TRIM(bs!$B$1:$B$110),0),FALSE),0)/IF(ISNUMBER(SEARCH("亿",$B$1)),100000000,IF(ISNUMBER(SEARCH("万",$B$1)),10000,1))</f>
        <v/>
      </c>
      <c r="H4" s="101">
        <f>G4/$G$45</f>
        <v/>
      </c>
      <c r="I4" s="233">
        <f>ROUND(HLOOKUP($I$2,bs!$C$1:$AB$110,MATCH(TRIM(B4),TRIM(bs!$B$1:$B$110),0),FALSE),0)/IF(ISNUMBER(SEARCH("亿",$B$1)),100000000,IF(ISNUMBER(SEARCH("万",$B$1)),10000,1))</f>
        <v/>
      </c>
      <c r="J4" s="101">
        <f>I4/$I$45</f>
        <v/>
      </c>
      <c r="L4" s="103">
        <f>D4+F4+H4+J4</f>
        <v/>
      </c>
      <c r="M4" s="103">
        <f>B4</f>
        <v/>
      </c>
      <c r="N4">
        <f>CONCATENATE(M4,":",$N$2,$N$1,B4,"分别为",TEXT(I4,"#,##0.00"),"万元、",TEXT(G4,"#,##0.00"),"万元、",TEXT(E4,"#,##0.00"),"万元及",TEXT(C4,"#,##0.00"),"万元，","占总资产的比重分别为",TEXT(J4,"0.00%"),"、",TEXT(H4,"0.00%"),"、",TEXT(F4,"0.00%"),"和",TEXT(D4,"0.00%"),"。")</f>
        <v/>
      </c>
      <c r="P4" t="n">
        <v>0</v>
      </c>
    </row>
    <row r="5">
      <c r="B5" s="99" t="inlineStr">
        <is>
          <t>交易性金融资产</t>
        </is>
      </c>
      <c r="C5" s="232">
        <f>ROUND(HLOOKUP($C$2,bs!$C$1:$AB$110,MATCH(TRIM(B5),TRIM(bs!$B$1:$B$110),0),FALSE),0)/IF(ISNUMBER(SEARCH("亿",$B$1)),100000000,IF(ISNUMBER(SEARCH("万",$B$1)),10000,1))</f>
        <v/>
      </c>
      <c r="D5" s="101">
        <f>C5/$C$45</f>
        <v/>
      </c>
      <c r="E5" s="232">
        <f>ROUND(HLOOKUP($E$2,bs!$C$1:$AB$110,MATCH(TRIM(B5),TRIM(bs!$B$1:$B$110),0),FALSE),0)/IF(ISNUMBER(SEARCH("亿",$B$1)),100000000,IF(ISNUMBER(SEARCH("万",$B$1)),10000,1))</f>
        <v/>
      </c>
      <c r="F5" s="101">
        <f>E5/$E$45</f>
        <v/>
      </c>
      <c r="G5" s="233">
        <f>ROUND(HLOOKUP($G$2,bs!$C$1:$AB$110,MATCH(TRIM(B5),TRIM(bs!$B$1:$B$110),0),FALSE),0)/IF(ISNUMBER(SEARCH("亿",$B$1)),100000000,IF(ISNUMBER(SEARCH("万",$B$1)),10000,1))</f>
        <v/>
      </c>
      <c r="H5" s="101">
        <f>G5/$G$45</f>
        <v/>
      </c>
      <c r="I5" s="233">
        <f>ROUND(HLOOKUP($I$2,bs!$C$1:$AB$110,MATCH(TRIM(B5),TRIM(bs!$B$1:$B$110),0),FALSE),0)/IF(ISNUMBER(SEARCH("亿",$B$1)),100000000,IF(ISNUMBER(SEARCH("万",$B$1)),10000,1))</f>
        <v/>
      </c>
      <c r="J5" s="101">
        <f>I5/$I$45</f>
        <v/>
      </c>
      <c r="L5" s="103">
        <f>D5+F5+H5+J5</f>
        <v/>
      </c>
      <c r="M5" s="103">
        <f>B5</f>
        <v/>
      </c>
      <c r="N5">
        <f>CONCATENATE(M5,":",$N$2,$N$1,B5,"分别为",TEXT(I5,"#,##0.00"),"万元、",TEXT(G5,"#,##0.00"),"万元、",TEXT(E5,"#,##0.00"),"万元及",TEXT(C5,"#,##0.00"),"万元，","占总资产的比重分别为",TEXT(J5,"0.00%"),"、",TEXT(H5,"0.00%"),"、",TEXT(F5,"0.00%"),"和",TEXT(D5,"0.00%"),"。")</f>
        <v/>
      </c>
    </row>
    <row r="6">
      <c r="B6" s="99" t="inlineStr">
        <is>
          <t>应收票据</t>
        </is>
      </c>
      <c r="C6" s="232">
        <f>ROUND(HLOOKUP($C$2,bs!$C$1:$AB$110,MATCH(TRIM(B6),TRIM(bs!$B$1:$B$110),0),FALSE),0)/IF(ISNUMBER(SEARCH("亿",$B$1)),100000000,IF(ISNUMBER(SEARCH("万",$B$1)),10000,1))</f>
        <v/>
      </c>
      <c r="D6" s="101">
        <f>C6/$C$45</f>
        <v/>
      </c>
      <c r="E6" s="232">
        <f>ROUND(HLOOKUP($E$2,bs!$C$1:$AB$110,MATCH(TRIM(B6),TRIM(bs!$B$1:$B$110),0),FALSE),0)/IF(ISNUMBER(SEARCH("亿",$B$1)),100000000,IF(ISNUMBER(SEARCH("万",$B$1)),10000,1))</f>
        <v/>
      </c>
      <c r="F6" s="101">
        <f>E6/$E$45</f>
        <v/>
      </c>
      <c r="G6" s="233">
        <f>ROUND(HLOOKUP($G$2,bs!$C$1:$AB$110,MATCH(TRIM(B6),TRIM(bs!$B$1:$B$110),0),FALSE),0)/IF(ISNUMBER(SEARCH("亿",$B$1)),100000000,IF(ISNUMBER(SEARCH("万",$B$1)),10000,1))</f>
        <v/>
      </c>
      <c r="H6" s="101">
        <f>G6/$G$45</f>
        <v/>
      </c>
      <c r="I6" s="233">
        <f>ROUND(HLOOKUP($I$2,bs!$C$1:$AB$110,MATCH(TRIM(B6),TRIM(bs!$B$1:$B$110),0),FALSE),0)/IF(ISNUMBER(SEARCH("亿",$B$1)),100000000,IF(ISNUMBER(SEARCH("万",$B$1)),10000,1))</f>
        <v/>
      </c>
      <c r="J6" s="101">
        <f>I6/$I$45</f>
        <v/>
      </c>
      <c r="L6" s="103">
        <f>D6+F6+H6+J6</f>
        <v/>
      </c>
      <c r="M6" s="103">
        <f>B6</f>
        <v/>
      </c>
      <c r="N6">
        <f>CONCATENATE(M6,":",$N$2,$N$1,B6,"分别为",TEXT(I6,"#,##0.00"),"万元、",TEXT(G6,"#,##0.00"),"万元、",TEXT(E6,"#,##0.00"),"万元及",TEXT(C6,"#,##0.00"),"万元，","占总资产的比重分别为",TEXT(J6,"0.00%"),"、",TEXT(H6,"0.00%"),"、",TEXT(F6,"0.00%"),"和",TEXT(D6,"0.00%"),"。")</f>
        <v/>
      </c>
    </row>
    <row r="7">
      <c r="B7" s="99" t="inlineStr">
        <is>
          <t>应收账款</t>
        </is>
      </c>
      <c r="C7" s="232">
        <f>ROUND(HLOOKUP($C$2,bs!$C$1:$AB$110,MATCH(TRIM(B7),TRIM(bs!$B$1:$B$110),0),FALSE),0)/IF(ISNUMBER(SEARCH("亿",$B$1)),100000000,IF(ISNUMBER(SEARCH("万",$B$1)),10000,1))</f>
        <v/>
      </c>
      <c r="D7" s="101">
        <f>C7/$C$45</f>
        <v/>
      </c>
      <c r="E7" s="232">
        <f>ROUND(HLOOKUP($E$2,bs!$C$1:$AB$110,MATCH(TRIM(B7),TRIM(bs!$B$1:$B$110),0),FALSE),0)/IF(ISNUMBER(SEARCH("亿",$B$1)),100000000,IF(ISNUMBER(SEARCH("万",$B$1)),10000,1))</f>
        <v/>
      </c>
      <c r="F7" s="101">
        <f>E7/$E$45</f>
        <v/>
      </c>
      <c r="G7" s="233">
        <f>ROUND(HLOOKUP($G$2,bs!$C$1:$AB$110,MATCH(TRIM(B7),TRIM(bs!$B$1:$B$110),0),FALSE),0)/IF(ISNUMBER(SEARCH("亿",$B$1)),100000000,IF(ISNUMBER(SEARCH("万",$B$1)),10000,1))</f>
        <v/>
      </c>
      <c r="H7" s="101">
        <f>G7/$G$45</f>
        <v/>
      </c>
      <c r="I7" s="233">
        <f>ROUND(HLOOKUP($I$2,bs!$C$1:$AB$110,MATCH(TRIM(B7),TRIM(bs!$B$1:$B$110),0),FALSE),0)/IF(ISNUMBER(SEARCH("亿",$B$1)),100000000,IF(ISNUMBER(SEARCH("万",$B$1)),10000,1))</f>
        <v/>
      </c>
      <c r="J7" s="101">
        <f>I7/$I$45</f>
        <v/>
      </c>
      <c r="L7" s="103">
        <f>D7+F7+H7+J7</f>
        <v/>
      </c>
      <c r="M7" s="103">
        <f>B7</f>
        <v/>
      </c>
      <c r="N7">
        <f>CONCATENATE(M7,":",$N$2,$N$1,B7,"分别为",TEXT(I7,"#,##0.00"),"万元、",TEXT(G7,"#,##0.00"),"万元、",TEXT(E7,"#,##0.00"),"万元及",TEXT(C7,"#,##0.00"),"万元，","占总资产的比重分别为",TEXT(J7,"0.00%"),"、",TEXT(H7,"0.00%"),"、",TEXT(F7,"0.00%"),"和",TEXT(D7,"0.00%"),"。")</f>
        <v/>
      </c>
      <c r="P7" t="n">
        <v>0</v>
      </c>
    </row>
    <row r="8">
      <c r="B8" s="99" t="inlineStr">
        <is>
          <t xml:space="preserve">  应收款项融资 </t>
        </is>
      </c>
      <c r="C8" s="232">
        <f>ROUND(HLOOKUP($C$2,bs!$C$1:$AB$110,MATCH(TRIM(B8),TRIM(bs!$B$1:$B$110),0),FALSE),0)/IF(ISNUMBER(SEARCH("亿",$B$1)),100000000,IF(ISNUMBER(SEARCH("万",$B$1)),10000,1))</f>
        <v/>
      </c>
      <c r="D8" s="101">
        <f>C8/$C$45</f>
        <v/>
      </c>
      <c r="E8" s="232">
        <f>ROUND(HLOOKUP($E$2,bs!$C$1:$AB$110,MATCH(TRIM(B8),TRIM(bs!$B$1:$B$110),0),FALSE),0)/IF(ISNUMBER(SEARCH("亿",$B$1)),100000000,IF(ISNUMBER(SEARCH("万",$B$1)),10000,1))</f>
        <v/>
      </c>
      <c r="F8" s="101">
        <f>E8/$E$45</f>
        <v/>
      </c>
      <c r="G8" s="233">
        <f>ROUND(HLOOKUP($G$2,bs!$C$1:$AB$110,MATCH(TRIM(B8),TRIM(bs!$B$1:$B$110),0),FALSE),0)/IF(ISNUMBER(SEARCH("亿",$B$1)),100000000,IF(ISNUMBER(SEARCH("万",$B$1)),10000,1))</f>
        <v/>
      </c>
      <c r="H8" s="101">
        <f>G8/$G$45</f>
        <v/>
      </c>
      <c r="I8" s="233">
        <f>ROUND(HLOOKUP($I$2,bs!$C$1:$AB$110,MATCH(TRIM(B8),TRIM(bs!$B$1:$B$110),0),FALSE),0)/IF(ISNUMBER(SEARCH("亿",$B$1)),100000000,IF(ISNUMBER(SEARCH("万",$B$1)),10000,1))</f>
        <v/>
      </c>
      <c r="J8" s="101">
        <f>I8/$I$45</f>
        <v/>
      </c>
      <c r="L8" s="103">
        <f>D8+F8+H8+J8</f>
        <v/>
      </c>
      <c r="M8" s="103">
        <f>B8</f>
        <v/>
      </c>
      <c r="N8">
        <f>CONCATENATE(M8,":",$N$2,$N$1,B8,"分别为",TEXT(I8,"#,##0.00"),"万元、",TEXT(G8,"#,##0.00"),"万元、",TEXT(E8,"#,##0.00"),"万元及",TEXT(C8,"#,##0.00"),"万元，","占总资产的比重分别为",TEXT(J8,"0.00%"),"、",TEXT(H8,"0.00%"),"、",TEXT(F8,"0.00%"),"和",TEXT(D8,"0.00%"),"。")</f>
        <v/>
      </c>
    </row>
    <row r="9">
      <c r="B9" s="99" t="inlineStr">
        <is>
          <t>预付款项</t>
        </is>
      </c>
      <c r="C9" s="232">
        <f>ROUND(HLOOKUP($C$2,bs!$C$1:$AB$110,MATCH(TRIM(B9),TRIM(bs!$B$1:$B$110),0),FALSE),0)/IF(ISNUMBER(SEARCH("亿",$B$1)),100000000,IF(ISNUMBER(SEARCH("万",$B$1)),10000,1))</f>
        <v/>
      </c>
      <c r="D9" s="101">
        <f>C9/$C$45</f>
        <v/>
      </c>
      <c r="E9" s="232">
        <f>ROUND(HLOOKUP($E$2,bs!$C$1:$AB$110,MATCH(TRIM(B9),TRIM(bs!$B$1:$B$110),0),FALSE),0)/IF(ISNUMBER(SEARCH("亿",$B$1)),100000000,IF(ISNUMBER(SEARCH("万",$B$1)),10000,1))</f>
        <v/>
      </c>
      <c r="F9" s="101">
        <f>E9/$E$45</f>
        <v/>
      </c>
      <c r="G9" s="233">
        <f>ROUND(HLOOKUP($G$2,bs!$C$1:$AB$110,MATCH(TRIM(B9),TRIM(bs!$B$1:$B$110),0),FALSE),0)/IF(ISNUMBER(SEARCH("亿",$B$1)),100000000,IF(ISNUMBER(SEARCH("万",$B$1)),10000,1))</f>
        <v/>
      </c>
      <c r="H9" s="101">
        <f>G9/$G$45</f>
        <v/>
      </c>
      <c r="I9" s="233">
        <f>ROUND(HLOOKUP($I$2,bs!$C$1:$AB$110,MATCH(TRIM(B9),TRIM(bs!$B$1:$B$110),0),FALSE),0)/IF(ISNUMBER(SEARCH("亿",$B$1)),100000000,IF(ISNUMBER(SEARCH("万",$B$1)),10000,1))</f>
        <v/>
      </c>
      <c r="J9" s="101">
        <f>I9/$I$45</f>
        <v/>
      </c>
      <c r="L9" s="103">
        <f>D9+F9+H9+J9</f>
        <v/>
      </c>
      <c r="M9" s="103">
        <f>B9</f>
        <v/>
      </c>
      <c r="N9">
        <f>CONCATENATE(M9,":",$N$2,$N$1,B9,"分别为",TEXT(I9,"#,##0.00"),"万元、",TEXT(G9,"#,##0.00"),"万元、",TEXT(E9,"#,##0.00"),"万元及",TEXT(C9,"#,##0.00"),"万元，","占总资产的比重分别为",TEXT(J9,"0.00%"),"、",TEXT(H9,"0.00%"),"、",TEXT(F9,"0.00%"),"和",TEXT(D9,"0.00%"),"。")</f>
        <v/>
      </c>
      <c r="P9" t="n">
        <v>0</v>
      </c>
    </row>
    <row r="10">
      <c r="B10" s="99" t="inlineStr">
        <is>
          <t>其他应收款</t>
        </is>
      </c>
      <c r="C10" s="232">
        <f>ROUND(HLOOKUP($C$2,bs!$C$1:$AB$110,MATCH(TRIM(B10),TRIM(bs!$B$1:$B$110),0),FALSE),0)/IF(ISNUMBER(SEARCH("亿",$B$1)),100000000,IF(ISNUMBER(SEARCH("万",$B$1)),10000,1))</f>
        <v/>
      </c>
      <c r="D10" s="101">
        <f>C10/$C$45</f>
        <v/>
      </c>
      <c r="E10" s="232">
        <f>ROUND(HLOOKUP($E$2,bs!$C$1:$AB$110,MATCH(TRIM(B10),TRIM(bs!$B$1:$B$110),0),FALSE),0)/IF(ISNUMBER(SEARCH("亿",$B$1)),100000000,IF(ISNUMBER(SEARCH("万",$B$1)),10000,1))</f>
        <v/>
      </c>
      <c r="F10" s="101">
        <f>E10/$E$45</f>
        <v/>
      </c>
      <c r="G10" s="233">
        <f>ROUND(HLOOKUP($G$2,bs!$C$1:$AB$110,MATCH(TRIM(B10),TRIM(bs!$B$1:$B$110),0),FALSE),0)/IF(ISNUMBER(SEARCH("亿",$B$1)),100000000,IF(ISNUMBER(SEARCH("万",$B$1)),10000,1))</f>
        <v/>
      </c>
      <c r="H10" s="101">
        <f>G10/$G$45</f>
        <v/>
      </c>
      <c r="I10" s="233">
        <f>ROUND(HLOOKUP($I$2,bs!$C$1:$AB$110,MATCH(TRIM(B10),TRIM(bs!$B$1:$B$110),0),FALSE),0)/IF(ISNUMBER(SEARCH("亿",$B$1)),100000000,IF(ISNUMBER(SEARCH("万",$B$1)),10000,1))</f>
        <v/>
      </c>
      <c r="J10" s="101">
        <f>I10/$I$45</f>
        <v/>
      </c>
      <c r="L10" s="103">
        <f>D10+F10+H10+J10</f>
        <v/>
      </c>
      <c r="M10" s="103">
        <f>B10</f>
        <v/>
      </c>
      <c r="N10">
        <f>CONCATENATE(M10,":",$N$2,$N$1,B10,"分别为",TEXT(I10,"#,##0.00"),"万元、",TEXT(G10,"#,##0.00"),"万元、",TEXT(E10,"#,##0.00"),"万元及",TEXT(C10,"#,##0.00"),"万元，","占总资产的比重分别为",TEXT(J10,"0.00%"),"、",TEXT(H10,"0.00%"),"、",TEXT(F10,"0.00%"),"和",TEXT(D10,"0.00%"),"。")</f>
        <v/>
      </c>
      <c r="P10" t="n">
        <v>0</v>
      </c>
    </row>
    <row r="11">
      <c r="B11" s="99" t="inlineStr">
        <is>
          <t xml:space="preserve">    其中：应收利息</t>
        </is>
      </c>
      <c r="C11" s="232">
        <f>ROUND(HLOOKUP($C$2,bs!$C$1:$AB$110,MATCH(TRIM(B11),TRIM(bs!$B$1:$B$110),0),FALSE),0)/IF(ISNUMBER(SEARCH("亿",$B$1)),100000000,IF(ISNUMBER(SEARCH("万",$B$1)),10000,1))</f>
        <v/>
      </c>
      <c r="D11" s="101">
        <f>C11/$C$45</f>
        <v/>
      </c>
      <c r="E11" s="232">
        <f>ROUND(HLOOKUP($E$2,bs!$C$1:$AB$110,MATCH(TRIM(B11),TRIM(bs!$B$1:$B$110),0),FALSE),0)/IF(ISNUMBER(SEARCH("亿",$B$1)),100000000,IF(ISNUMBER(SEARCH("万",$B$1)),10000,1))</f>
        <v/>
      </c>
      <c r="F11" s="101">
        <f>E11/$E$45</f>
        <v/>
      </c>
      <c r="G11" s="233">
        <f>ROUND(HLOOKUP($G$2,bs!$C$1:$AB$110,MATCH(TRIM(B11),TRIM(bs!$B$1:$B$110),0),FALSE),0)/IF(ISNUMBER(SEARCH("亿",$B$1)),100000000,IF(ISNUMBER(SEARCH("万",$B$1)),10000,1))</f>
        <v/>
      </c>
      <c r="H11" s="101">
        <f>G11/$G$45</f>
        <v/>
      </c>
      <c r="I11" s="233">
        <f>ROUND(HLOOKUP($I$2,bs!$C$1:$AB$110,MATCH(TRIM(B11),TRIM(bs!$B$1:$B$110),0),FALSE),0)/IF(ISNUMBER(SEARCH("亿",$B$1)),100000000,IF(ISNUMBER(SEARCH("万",$B$1)),10000,1))</f>
        <v/>
      </c>
      <c r="J11" s="101">
        <f>I11/$I$45</f>
        <v/>
      </c>
      <c r="L11" s="103">
        <f>D11+F11+H11+J11</f>
        <v/>
      </c>
      <c r="M11" s="103">
        <f>B11</f>
        <v/>
      </c>
      <c r="N11">
        <f>CONCATENATE(M11,":",$N$2,$N$1,B11,"分别为",TEXT(I11,"#,##0.00"),"万元、",TEXT(G11,"#,##0.00"),"万元、",TEXT(E11,"#,##0.00"),"万元及",TEXT(C11,"#,##0.00"),"万元，","占总资产的比重分别为",TEXT(J11,"0.00%"),"、",TEXT(H11,"0.00%"),"、",TEXT(F11,"0.00%"),"和",TEXT(D11,"0.00%"),"。")</f>
        <v/>
      </c>
    </row>
    <row r="12">
      <c r="B12" s="99" t="inlineStr">
        <is>
          <t xml:space="preserve">        应收股利</t>
        </is>
      </c>
      <c r="C12" s="232">
        <f>ROUND(HLOOKUP($C$2,bs!$C$1:$AB$110,MATCH(TRIM(B12),TRIM(bs!$B$1:$B$110),0),FALSE),0)/IF(ISNUMBER(SEARCH("亿",$B$1)),100000000,IF(ISNUMBER(SEARCH("万",$B$1)),10000,1))</f>
        <v/>
      </c>
      <c r="D12" s="101">
        <f>C12/$C$45</f>
        <v/>
      </c>
      <c r="E12" s="232">
        <f>ROUND(HLOOKUP($E$2,bs!$C$1:$AB$110,MATCH(TRIM(B12),TRIM(bs!$B$1:$B$110),0),FALSE),0)/IF(ISNUMBER(SEARCH("亿",$B$1)),100000000,IF(ISNUMBER(SEARCH("万",$B$1)),10000,1))</f>
        <v/>
      </c>
      <c r="F12" s="101">
        <f>E12/$E$45</f>
        <v/>
      </c>
      <c r="G12" s="233">
        <f>ROUND(HLOOKUP($G$2,bs!$C$1:$AB$110,MATCH(TRIM(B12),TRIM(bs!$B$1:$B$110),0),FALSE),0)/IF(ISNUMBER(SEARCH("亿",$B$1)),100000000,IF(ISNUMBER(SEARCH("万",$B$1)),10000,1))</f>
        <v/>
      </c>
      <c r="H12" s="101">
        <f>G12/$G$45</f>
        <v/>
      </c>
      <c r="I12" s="233">
        <f>ROUND(HLOOKUP($I$2,bs!$C$1:$AB$110,MATCH(TRIM(B12),TRIM(bs!$B$1:$B$110),0),FALSE),0)/IF(ISNUMBER(SEARCH("亿",$B$1)),100000000,IF(ISNUMBER(SEARCH("万",$B$1)),10000,1))</f>
        <v/>
      </c>
      <c r="J12" s="101">
        <f>I12/$I$45</f>
        <v/>
      </c>
      <c r="L12" s="103">
        <f>D12+F12+H12+J12</f>
        <v/>
      </c>
      <c r="M12" s="103">
        <f>B12</f>
        <v/>
      </c>
      <c r="N12">
        <f>CONCATENATE(M12,":",$N$2,$N$1,B12,"分别为",TEXT(I12,"#,##0.00"),"万元、",TEXT(G12,"#,##0.00"),"万元、",TEXT(E12,"#,##0.00"),"万元及",TEXT(C12,"#,##0.00"),"万元，","占总资产的比重分别为",TEXT(J12,"0.00%"),"、",TEXT(H12,"0.00%"),"、",TEXT(F12,"0.00%"),"和",TEXT(D12,"0.00%"),"。")</f>
        <v/>
      </c>
    </row>
    <row r="13">
      <c r="B13" s="99" t="inlineStr">
        <is>
          <t>存货</t>
        </is>
      </c>
      <c r="C13" s="232">
        <f>ROUND(HLOOKUP($C$2,bs!$C$1:$AB$110,MATCH(TRIM(B13),TRIM(bs!$B$1:$B$110),0),FALSE),0)/IF(ISNUMBER(SEARCH("亿",$B$1)),100000000,IF(ISNUMBER(SEARCH("万",$B$1)),10000,1))</f>
        <v/>
      </c>
      <c r="D13" s="101">
        <f>C13/$C$45</f>
        <v/>
      </c>
      <c r="E13" s="232">
        <f>ROUND(HLOOKUP($E$2,bs!$C$1:$AB$110,MATCH(TRIM(B13),TRIM(bs!$B$1:$B$110),0),FALSE),0)/IF(ISNUMBER(SEARCH("亿",$B$1)),100000000,IF(ISNUMBER(SEARCH("万",$B$1)),10000,1))</f>
        <v/>
      </c>
      <c r="F13" s="101">
        <f>E13/$E$45</f>
        <v/>
      </c>
      <c r="G13" s="233">
        <f>ROUND(HLOOKUP($G$2,bs!$C$1:$AB$110,MATCH(TRIM(B13),TRIM(bs!$B$1:$B$110),0),FALSE),0)/IF(ISNUMBER(SEARCH("亿",$B$1)),100000000,IF(ISNUMBER(SEARCH("万",$B$1)),10000,1))</f>
        <v/>
      </c>
      <c r="H13" s="101">
        <f>G13/$G$45</f>
        <v/>
      </c>
      <c r="I13" s="233">
        <f>ROUND(HLOOKUP($I$2,bs!$C$1:$AB$110,MATCH(TRIM(B13),TRIM(bs!$B$1:$B$110),0),FALSE),0)/IF(ISNUMBER(SEARCH("亿",$B$1)),100000000,IF(ISNUMBER(SEARCH("万",$B$1)),10000,1))</f>
        <v/>
      </c>
      <c r="J13" s="101">
        <f>I13/$I$45</f>
        <v/>
      </c>
      <c r="L13" s="103">
        <f>D13+F13+H13+J13</f>
        <v/>
      </c>
      <c r="M13" s="103">
        <f>B13</f>
        <v/>
      </c>
      <c r="N13">
        <f>CONCATENATE(M13,":",$N$2,$N$1,B13,"分别为",TEXT(I13,"#,##0.00"),"万元、",TEXT(G13,"#,##0.00"),"万元、",TEXT(E13,"#,##0.00"),"万元及",TEXT(C13,"#,##0.00"),"万元，","占总资产的比重分别为",TEXT(J13,"0.00%"),"、",TEXT(H13,"0.00%"),"、",TEXT(F13,"0.00%"),"和",TEXT(D13,"0.00%"),"。")</f>
        <v/>
      </c>
      <c r="P13" t="n">
        <v>0</v>
      </c>
    </row>
    <row r="14">
      <c r="B14" s="99" t="inlineStr">
        <is>
          <t>合同资产</t>
        </is>
      </c>
      <c r="C14" s="232">
        <f>ROUND(HLOOKUP($C$2,bs!$C$1:$AB$110,MATCH(TRIM(B14),TRIM(bs!$B$1:$B$110),0),FALSE),0)/IF(ISNUMBER(SEARCH("亿",$B$1)),100000000,IF(ISNUMBER(SEARCH("万",$B$1)),10000,1))</f>
        <v/>
      </c>
      <c r="D14" s="101">
        <f>C14/$C$45</f>
        <v/>
      </c>
      <c r="E14" s="232">
        <f>ROUND(HLOOKUP($E$2,bs!$C$1:$AB$110,MATCH(TRIM(B14),TRIM(bs!$B$1:$B$110),0),FALSE),0)/IF(ISNUMBER(SEARCH("亿",$B$1)),100000000,IF(ISNUMBER(SEARCH("万",$B$1)),10000,1))</f>
        <v/>
      </c>
      <c r="F14" s="101">
        <f>E14/$E$45</f>
        <v/>
      </c>
      <c r="G14" s="233">
        <f>ROUND(HLOOKUP($G$2,bs!$C$1:$AB$110,MATCH(TRIM(B14),TRIM(bs!$B$1:$B$110),0),FALSE),0)/IF(ISNUMBER(SEARCH("亿",$B$1)),100000000,IF(ISNUMBER(SEARCH("万",$B$1)),10000,1))</f>
        <v/>
      </c>
      <c r="H14" s="101">
        <f>G14/$G$45</f>
        <v/>
      </c>
      <c r="I14" s="233">
        <f>ROUND(HLOOKUP($I$2,bs!$C$1:$AB$110,MATCH(TRIM(B14),TRIM(bs!$B$1:$B$110),0),FALSE),0)/IF(ISNUMBER(SEARCH("亿",$B$1)),100000000,IF(ISNUMBER(SEARCH("万",$B$1)),10000,1))</f>
        <v/>
      </c>
      <c r="J14" s="101">
        <f>I14/$I$45</f>
        <v/>
      </c>
      <c r="L14" s="103">
        <f>D14+F14+H14+J14</f>
        <v/>
      </c>
      <c r="M14" s="103">
        <f>B14</f>
        <v/>
      </c>
      <c r="N14">
        <f>CONCATENATE(M14,":",$N$2,$N$1,B14,"分别为",TEXT(I14,"#,##0.00"),"万元、",TEXT(G14,"#,##0.00"),"万元、",TEXT(E14,"#,##0.00"),"万元及",TEXT(C14,"#,##0.00"),"万元，","占总资产的比重分别为",TEXT(J14,"0.00%"),"、",TEXT(H14,"0.00%"),"、",TEXT(F14,"0.00%"),"和",TEXT(D14,"0.00%"),"。")</f>
        <v/>
      </c>
    </row>
    <row r="15">
      <c r="B15" s="99" t="inlineStr">
        <is>
          <t>持有待售资产</t>
        </is>
      </c>
      <c r="C15" s="232">
        <f>ROUND(HLOOKUP($C$2,bs!$C$1:$AB$110,MATCH(TRIM(B15),TRIM(bs!$B$1:$B$110),0),FALSE),0)/IF(ISNUMBER(SEARCH("亿",$B$1)),100000000,IF(ISNUMBER(SEARCH("万",$B$1)),10000,1))</f>
        <v/>
      </c>
      <c r="D15" s="101">
        <f>C15/$C$45</f>
        <v/>
      </c>
      <c r="E15" s="232">
        <f>ROUND(HLOOKUP($E$2,bs!$C$1:$AB$110,MATCH(TRIM(B15),TRIM(bs!$B$1:$B$110),0),FALSE),0)/IF(ISNUMBER(SEARCH("亿",$B$1)),100000000,IF(ISNUMBER(SEARCH("万",$B$1)),10000,1))</f>
        <v/>
      </c>
      <c r="F15" s="101">
        <f>E15/$E$45</f>
        <v/>
      </c>
      <c r="G15" s="233">
        <f>ROUND(HLOOKUP($G$2,bs!$C$1:$AB$110,MATCH(TRIM(B15),TRIM(bs!$B$1:$B$110),0),FALSE),0)/IF(ISNUMBER(SEARCH("亿",$B$1)),100000000,IF(ISNUMBER(SEARCH("万",$B$1)),10000,1))</f>
        <v/>
      </c>
      <c r="H15" s="101">
        <f>G15/$G$45</f>
        <v/>
      </c>
      <c r="I15" s="233">
        <f>ROUND(HLOOKUP($I$2,bs!$C$1:$AB$110,MATCH(TRIM(B15),TRIM(bs!$B$1:$B$110),0),FALSE),0)/IF(ISNUMBER(SEARCH("亿",$B$1)),100000000,IF(ISNUMBER(SEARCH("万",$B$1)),10000,1))</f>
        <v/>
      </c>
      <c r="J15" s="101">
        <f>I15/$I$45</f>
        <v/>
      </c>
      <c r="L15" s="103">
        <f>D15+F15+H15+J15</f>
        <v/>
      </c>
      <c r="M15" s="103">
        <f>B15</f>
        <v/>
      </c>
      <c r="N15">
        <f>CONCATENATE(M15,":",$N$2,$N$1,B15,"分别为",TEXT(I15,"#,##0.00"),"万元、",TEXT(G15,"#,##0.00"),"万元、",TEXT(E15,"#,##0.00"),"万元及",TEXT(C15,"#,##0.00"),"万元，","占总资产的比重分别为",TEXT(J15,"0.00%"),"、",TEXT(H15,"0.00%"),"、",TEXT(F15,"0.00%"),"和",TEXT(D15,"0.00%"),"。")</f>
        <v/>
      </c>
      <c r="P15" t="n">
        <v>0</v>
      </c>
    </row>
    <row r="16" ht="28" customHeight="1">
      <c r="B16" s="99" t="inlineStr">
        <is>
          <t>一年内到期的非流动资产</t>
        </is>
      </c>
      <c r="C16" s="232">
        <f>ROUND(HLOOKUP($C$2,bs!$C$1:$AB$110,MATCH(TRIM(B16),TRIM(bs!$B$1:$B$110),0),FALSE),0)/IF(ISNUMBER(SEARCH("亿",$B$1)),100000000,IF(ISNUMBER(SEARCH("万",$B$1)),10000,1))</f>
        <v/>
      </c>
      <c r="D16" s="101">
        <f>C16/$C$45</f>
        <v/>
      </c>
      <c r="E16" s="232">
        <f>ROUND(HLOOKUP($E$2,bs!$C$1:$AB$110,MATCH(TRIM(B16),TRIM(bs!$B$1:$B$110),0),FALSE),0)/IF(ISNUMBER(SEARCH("亿",$B$1)),100000000,IF(ISNUMBER(SEARCH("万",$B$1)),10000,1))</f>
        <v/>
      </c>
      <c r="F16" s="101">
        <f>E16/$E$45</f>
        <v/>
      </c>
      <c r="G16" s="233">
        <f>ROUND(HLOOKUP($G$2,bs!$C$1:$AB$110,MATCH(TRIM(B16),TRIM(bs!$B$1:$B$110),0),FALSE),0)/IF(ISNUMBER(SEARCH("亿",$B$1)),100000000,IF(ISNUMBER(SEARCH("万",$B$1)),10000,1))</f>
        <v/>
      </c>
      <c r="H16" s="101">
        <f>G16/$G$45</f>
        <v/>
      </c>
      <c r="I16" s="233">
        <f>ROUND(HLOOKUP($I$2,bs!$C$1:$AB$110,MATCH(TRIM(B16),TRIM(bs!$B$1:$B$110),0),FALSE),0)/IF(ISNUMBER(SEARCH("亿",$B$1)),100000000,IF(ISNUMBER(SEARCH("万",$B$1)),10000,1))</f>
        <v/>
      </c>
      <c r="J16" s="101">
        <f>I16/$I$45</f>
        <v/>
      </c>
      <c r="L16" s="103">
        <f>D16+F16+H16+J16</f>
        <v/>
      </c>
      <c r="M16" s="103">
        <f>B16</f>
        <v/>
      </c>
      <c r="N16">
        <f>CONCATENATE(M16,":",$N$2,$N$1,B16,"分别为",TEXT(I16,"#,##0.00"),"万元、",TEXT(G16,"#,##0.00"),"万元、",TEXT(E16,"#,##0.00"),"万元及",TEXT(C16,"#,##0.00"),"万元，","占总资产的比重分别为",TEXT(J16,"0.00%"),"、",TEXT(H16,"0.00%"),"、",TEXT(F16,"0.00%"),"和",TEXT(D16,"0.00%"),"。")</f>
        <v/>
      </c>
    </row>
    <row r="17">
      <c r="B17" s="99" t="inlineStr">
        <is>
          <t>其他流动资产</t>
        </is>
      </c>
      <c r="C17" s="232">
        <f>ROUND(HLOOKUP($C$2,bs!$C$1:$AB$110,MATCH(TRIM(B17),TRIM(bs!$B$1:$B$110),0),FALSE),0)/IF(ISNUMBER(SEARCH("亿",$B$1)),100000000,IF(ISNUMBER(SEARCH("万",$B$1)),10000,1))</f>
        <v/>
      </c>
      <c r="D17" s="101">
        <f>C17/$C$45</f>
        <v/>
      </c>
      <c r="E17" s="232">
        <f>ROUND(HLOOKUP($E$2,bs!$C$1:$AB$110,MATCH(TRIM(B17),TRIM(bs!$B$1:$B$110),0),FALSE),0)/IF(ISNUMBER(SEARCH("亿",$B$1)),100000000,IF(ISNUMBER(SEARCH("万",$B$1)),10000,1))</f>
        <v/>
      </c>
      <c r="F17" s="101">
        <f>E17/$E$45</f>
        <v/>
      </c>
      <c r="G17" s="233">
        <f>ROUND(HLOOKUP($G$2,bs!$C$1:$AB$110,MATCH(TRIM(B17),TRIM(bs!$B$1:$B$110),0),FALSE),0)/IF(ISNUMBER(SEARCH("亿",$B$1)),100000000,IF(ISNUMBER(SEARCH("万",$B$1)),10000,1))</f>
        <v/>
      </c>
      <c r="H17" s="101">
        <f>G17/$G$45</f>
        <v/>
      </c>
      <c r="I17" s="233">
        <f>ROUND(HLOOKUP($I$2,bs!$C$1:$AB$110,MATCH(TRIM(B17),TRIM(bs!$B$1:$B$110),0),FALSE),0)/IF(ISNUMBER(SEARCH("亿",$B$1)),100000000,IF(ISNUMBER(SEARCH("万",$B$1)),10000,1))</f>
        <v/>
      </c>
      <c r="J17" s="101">
        <f>I17/$I$45</f>
        <v/>
      </c>
      <c r="L17" s="103">
        <f>D17+F17+H17+J17</f>
        <v/>
      </c>
      <c r="M17" s="103">
        <f>B17</f>
        <v/>
      </c>
      <c r="N17">
        <f>CONCATENATE(M17,":",$N$2,$N$1,B17,"分别为",TEXT(I17,"#,##0.00"),"万元、",TEXT(G17,"#,##0.00"),"万元、",TEXT(E17,"#,##0.00"),"万元及",TEXT(C17,"#,##0.00"),"万元，","占总资产的比重分别为",TEXT(J17,"0.00%"),"、",TEXT(H17,"0.00%"),"、",TEXT(F17,"0.00%"),"和",TEXT(D17,"0.00%"),"。")</f>
        <v/>
      </c>
      <c r="P17" t="n">
        <v>0</v>
      </c>
    </row>
    <row r="18">
      <c r="B18" s="104" t="inlineStr">
        <is>
          <t>流动资产合计</t>
        </is>
      </c>
      <c r="C18" s="232">
        <f>ROUND(HLOOKUP($C$2,bs!$C$1:$AB$110,MATCH(TRIM(B18),TRIM(bs!$B$1:$B$110),0),FALSE),0)/IF(ISNUMBER(SEARCH("亿",$B$1)),100000000,IF(ISNUMBER(SEARCH("万",$B$1)),10000,1))</f>
        <v/>
      </c>
      <c r="D18" s="105">
        <f>C18/$C$45</f>
        <v/>
      </c>
      <c r="E18" s="232">
        <f>ROUND(HLOOKUP($E$2,bs!$C$1:$AB$110,MATCH(TRIM(B18),TRIM(bs!$B$1:$B$110),0),FALSE),0)/IF(ISNUMBER(SEARCH("亿",$B$1)),100000000,IF(ISNUMBER(SEARCH("万",$B$1)),10000,1))</f>
        <v/>
      </c>
      <c r="F18" s="105">
        <f>E18/$E$45</f>
        <v/>
      </c>
      <c r="G18" s="233">
        <f>ROUND(HLOOKUP($G$2,bs!$C$1:$AB$110,MATCH(TRIM(B18),TRIM(bs!$B$1:$B$110),0),FALSE),0)/IF(ISNUMBER(SEARCH("亿",$B$1)),100000000,IF(ISNUMBER(SEARCH("万",$B$1)),10000,1))</f>
        <v/>
      </c>
      <c r="H18" s="105">
        <f>G18/$G$45</f>
        <v/>
      </c>
      <c r="I18" s="233">
        <f>ROUND(HLOOKUP($I$2,bs!$C$1:$AB$110,MATCH(TRIM(B18),TRIM(bs!$B$1:$B$110),0),FALSE),0)/IF(ISNUMBER(SEARCH("亿",$B$1)),100000000,IF(ISNUMBER(SEARCH("万",$B$1)),10000,1))</f>
        <v/>
      </c>
      <c r="J18" s="105">
        <f>I18/$I$45</f>
        <v/>
      </c>
      <c r="L18" s="103">
        <f>D18+F18+H18+J18</f>
        <v/>
      </c>
      <c r="M18" s="103">
        <f>B18</f>
        <v/>
      </c>
      <c r="O18">
        <f>CONCATENATE(N2,N1,B18,"分别为",TEXT(I18,"#,##0.00"),"万元、",TEXT(G18,"#,##0.00"),"万元、",TEXT(E18,"#,##0.00"),"万元及",TEXT(C18,"#,##0.00"),"万元，","占总资产的比重分别为",TEXT(J18,"0.00%"),"、",TEXT(H18,"0.00%"),"、",TEXT(F18,"0.00%"),"和",TEXT(D18,"0.00%"),"。")</f>
        <v/>
      </c>
      <c r="P18" t="n">
        <v>0</v>
      </c>
    </row>
    <row r="19">
      <c r="B19" s="99" t="inlineStr">
        <is>
          <t>债权投资</t>
        </is>
      </c>
      <c r="C19" s="232">
        <f>ROUND(HLOOKUP($C$2,bs!$C$1:$AB$110,MATCH(TRIM(B19),TRIM(bs!$B$1:$B$110),0),FALSE),0)/IF(ISNUMBER(SEARCH("亿",$B$1)),100000000,IF(ISNUMBER(SEARCH("万",$B$1)),10000,1))</f>
        <v/>
      </c>
      <c r="D19" s="101">
        <f>C19/$C$45</f>
        <v/>
      </c>
      <c r="E19" s="232">
        <f>ROUND(HLOOKUP($E$2,bs!$C$1:$AB$110,MATCH(TRIM(B19),TRIM(bs!$B$1:$B$110),0),FALSE),0)/IF(ISNUMBER(SEARCH("亿",$B$1)),100000000,IF(ISNUMBER(SEARCH("万",$B$1)),10000,1))</f>
        <v/>
      </c>
      <c r="F19" s="101">
        <f>E19/$E$45</f>
        <v/>
      </c>
      <c r="G19" s="233">
        <f>ROUND(HLOOKUP($G$2,bs!$C$1:$AB$110,MATCH(TRIM(B19),TRIM(bs!$B$1:$B$110),0),FALSE),0)/IF(ISNUMBER(SEARCH("亿",$B$1)),100000000,IF(ISNUMBER(SEARCH("万",$B$1)),10000,1))</f>
        <v/>
      </c>
      <c r="H19" s="101">
        <f>G19/$G$45</f>
        <v/>
      </c>
      <c r="I19" s="233">
        <f>ROUND(HLOOKUP($I$2,bs!$C$1:$AB$110,MATCH(TRIM(B19),TRIM(bs!$B$1:$B$110),0),FALSE),0)/IF(ISNUMBER(SEARCH("亿",$B$1)),100000000,IF(ISNUMBER(SEARCH("万",$B$1)),10000,1))</f>
        <v/>
      </c>
      <c r="J19" s="101">
        <f>I19/$I$45</f>
        <v/>
      </c>
      <c r="L19" s="103">
        <f>D19+F19+H19+J19</f>
        <v/>
      </c>
      <c r="M19" s="103">
        <f>B19</f>
        <v/>
      </c>
      <c r="N19">
        <f>CONCATENATE(M19,":",$N$2,$N$1,B19,"分别为",TEXT(I19,"#,##0.00"),"万元、",TEXT(G19,"#,##0.00"),"万元、",TEXT(E19,"#,##0.00"),"万元及",TEXT(C19,"#,##0.00"),"万元，","占总资产的比重分别为",TEXT(J19,"0.00%"),"、",TEXT(H19,"0.00%"),"、",TEXT(F19,"0.00%"),"和",TEXT(D19,"0.00%"),"。")</f>
        <v/>
      </c>
    </row>
    <row r="20">
      <c r="B20" s="99" t="inlineStr">
        <is>
          <t>其他债权投资</t>
        </is>
      </c>
      <c r="C20" s="232">
        <f>ROUND(HLOOKUP($C$2,bs!$C$1:$AB$110,MATCH(TRIM(B20),TRIM(bs!$B$1:$B$110),0),FALSE),0)/IF(ISNUMBER(SEARCH("亿",$B$1)),100000000,IF(ISNUMBER(SEARCH("万",$B$1)),10000,1))</f>
        <v/>
      </c>
      <c r="D20" s="101">
        <f>C20/$C$45</f>
        <v/>
      </c>
      <c r="E20" s="232">
        <f>ROUND(HLOOKUP($E$2,bs!$C$1:$AB$110,MATCH(TRIM(B20),TRIM(bs!$B$1:$B$110),0),FALSE),0)/IF(ISNUMBER(SEARCH("亿",$B$1)),100000000,IF(ISNUMBER(SEARCH("万",$B$1)),10000,1))</f>
        <v/>
      </c>
      <c r="F20" s="101">
        <f>E20/$E$45</f>
        <v/>
      </c>
      <c r="G20" s="233">
        <f>ROUND(HLOOKUP($G$2,bs!$C$1:$AB$110,MATCH(TRIM(B20),TRIM(bs!$B$1:$B$110),0),FALSE),0)/IF(ISNUMBER(SEARCH("亿",$B$1)),100000000,IF(ISNUMBER(SEARCH("万",$B$1)),10000,1))</f>
        <v/>
      </c>
      <c r="H20" s="101">
        <f>G20/$G$45</f>
        <v/>
      </c>
      <c r="I20" s="233">
        <f>ROUND(HLOOKUP($I$2,bs!$C$1:$AB$110,MATCH(TRIM(B20),TRIM(bs!$B$1:$B$110),0),FALSE),0)/IF(ISNUMBER(SEARCH("亿",$B$1)),100000000,IF(ISNUMBER(SEARCH("万",$B$1)),10000,1))</f>
        <v/>
      </c>
      <c r="J20" s="101">
        <f>I20/$I$45</f>
        <v/>
      </c>
      <c r="L20" s="103">
        <f>D20+F20+H20+J20</f>
        <v/>
      </c>
      <c r="M20" s="103">
        <f>B20</f>
        <v/>
      </c>
      <c r="N20">
        <f>CONCATENATE(M20,":",$N$2,$N$1,B20,"分别为",TEXT(I20,"#,##0.00"),"万元、",TEXT(G20,"#,##0.00"),"万元、",TEXT(E20,"#,##0.00"),"万元及",TEXT(C20,"#,##0.00"),"万元，","占总资产的比重分别为",TEXT(J20,"0.00%"),"、",TEXT(H20,"0.00%"),"、",TEXT(F20,"0.00%"),"和",TEXT(D20,"0.00%"),"。")</f>
        <v/>
      </c>
    </row>
    <row r="21">
      <c r="B21" s="99" t="inlineStr">
        <is>
          <t>长期应收款</t>
        </is>
      </c>
      <c r="C21" s="232">
        <f>ROUND(HLOOKUP($C$2,bs!$C$1:$AB$110,MATCH(TRIM(B21),TRIM(bs!$B$1:$B$110),0),FALSE),0)/IF(ISNUMBER(SEARCH("亿",$B$1)),100000000,IF(ISNUMBER(SEARCH("万",$B$1)),10000,1))</f>
        <v/>
      </c>
      <c r="D21" s="101">
        <f>C21/$C$45</f>
        <v/>
      </c>
      <c r="E21" s="232">
        <f>ROUND(HLOOKUP($E$2,bs!$C$1:$AB$110,MATCH(TRIM(B21),TRIM(bs!$B$1:$B$110),0),FALSE),0)/IF(ISNUMBER(SEARCH("亿",$B$1)),100000000,IF(ISNUMBER(SEARCH("万",$B$1)),10000,1))</f>
        <v/>
      </c>
      <c r="F21" s="101">
        <f>E21/$E$45</f>
        <v/>
      </c>
      <c r="G21" s="233">
        <f>ROUND(HLOOKUP($G$2,bs!$C$1:$AB$110,MATCH(TRIM(B21),TRIM(bs!$B$1:$B$110),0),FALSE),0)/IF(ISNUMBER(SEARCH("亿",$B$1)),100000000,IF(ISNUMBER(SEARCH("万",$B$1)),10000,1))</f>
        <v/>
      </c>
      <c r="H21" s="101">
        <f>G21/$G$45</f>
        <v/>
      </c>
      <c r="I21" s="233">
        <f>ROUND(HLOOKUP($I$2,bs!$C$1:$AB$110,MATCH(TRIM(B21),TRIM(bs!$B$1:$B$110),0),FALSE),0)/IF(ISNUMBER(SEARCH("亿",$B$1)),100000000,IF(ISNUMBER(SEARCH("万",$B$1)),10000,1))</f>
        <v/>
      </c>
      <c r="J21" s="101">
        <f>I21/$I$45</f>
        <v/>
      </c>
      <c r="L21" s="103">
        <f>D21+F21+H21+J21</f>
        <v/>
      </c>
      <c r="M21" s="103">
        <f>B21</f>
        <v/>
      </c>
      <c r="N21">
        <f>CONCATENATE(M21,":",$N$2,$N$1,B21,"分别为",TEXT(I21,"#,##0.00"),"万元、",TEXT(G21,"#,##0.00"),"万元、",TEXT(E21,"#,##0.00"),"万元及",TEXT(C21,"#,##0.00"),"万元，","占总资产的比重分别为",TEXT(J21,"0.00%"),"、",TEXT(H21,"0.00%"),"、",TEXT(F21,"0.00%"),"和",TEXT(D21,"0.00%"),"。")</f>
        <v/>
      </c>
      <c r="P21" t="n">
        <v>0</v>
      </c>
    </row>
    <row r="22">
      <c r="B22" s="99" t="inlineStr">
        <is>
          <t>长期股权投资</t>
        </is>
      </c>
      <c r="C22" s="232">
        <f>ROUND(HLOOKUP($C$2,bs!$C$1:$AB$110,MATCH(TRIM(B22),TRIM(bs!$B$1:$B$110),0),FALSE),0)/IF(ISNUMBER(SEARCH("亿",$B$1)),100000000,IF(ISNUMBER(SEARCH("万",$B$1)),10000,1))</f>
        <v/>
      </c>
      <c r="D22" s="101">
        <f>C22/$C$45</f>
        <v/>
      </c>
      <c r="E22" s="232">
        <f>ROUND(HLOOKUP($E$2,bs!$C$1:$AB$110,MATCH(TRIM(B22),TRIM(bs!$B$1:$B$110),0),FALSE),0)/IF(ISNUMBER(SEARCH("亿",$B$1)),100000000,IF(ISNUMBER(SEARCH("万",$B$1)),10000,1))</f>
        <v/>
      </c>
      <c r="F22" s="101">
        <f>E22/$E$45</f>
        <v/>
      </c>
      <c r="G22" s="233">
        <f>ROUND(HLOOKUP($G$2,bs!$C$1:$AB$110,MATCH(TRIM(B22),TRIM(bs!$B$1:$B$110),0),FALSE),0)/IF(ISNUMBER(SEARCH("亿",$B$1)),100000000,IF(ISNUMBER(SEARCH("万",$B$1)),10000,1))</f>
        <v/>
      </c>
      <c r="H22" s="101">
        <f>G22/$G$45</f>
        <v/>
      </c>
      <c r="I22" s="233">
        <f>ROUND(HLOOKUP($I$2,bs!$C$1:$AB$110,MATCH(TRIM(B22),TRIM(bs!$B$1:$B$110),0),FALSE),0)/IF(ISNUMBER(SEARCH("亿",$B$1)),100000000,IF(ISNUMBER(SEARCH("万",$B$1)),10000,1))</f>
        <v/>
      </c>
      <c r="J22" s="101">
        <f>I22/$I$45</f>
        <v/>
      </c>
      <c r="L22" s="103">
        <f>D22+F22+H22+J22</f>
        <v/>
      </c>
      <c r="M22" s="103">
        <f>B22</f>
        <v/>
      </c>
      <c r="N22">
        <f>CONCATENATE(M22,":",$N$2,$N$1,B22,"分别为",TEXT(I22,"#,##0.00"),"万元、",TEXT(G22,"#,##0.00"),"万元、",TEXT(E22,"#,##0.00"),"万元及",TEXT(C22,"#,##0.00"),"万元，","占总资产的比重分别为",TEXT(J22,"0.00%"),"、",TEXT(H22,"0.00%"),"、",TEXT(F22,"0.00%"),"和",TEXT(D22,"0.00%"),"。")</f>
        <v/>
      </c>
      <c r="P22" t="n">
        <v>0</v>
      </c>
    </row>
    <row r="23">
      <c r="B23" s="99" t="inlineStr">
        <is>
          <t>可供出售金融资产</t>
        </is>
      </c>
      <c r="C23" s="232">
        <f>ROUND(HLOOKUP($C$2,bs!$C$1:$AB$110,MATCH(TRIM(B23),TRIM(bs!$B$1:$B$110),0),FALSE),0)/IF(ISNUMBER(SEARCH("亿",$B$1)),100000000,IF(ISNUMBER(SEARCH("万",$B$1)),10000,1))</f>
        <v/>
      </c>
      <c r="D23" s="101">
        <f>C23/$C$45</f>
        <v/>
      </c>
      <c r="E23" s="232">
        <f>ROUND(HLOOKUP($E$2,bs!$C$1:$AB$110,MATCH(TRIM(B23),TRIM(bs!$B$1:$B$110),0),FALSE),0)/IF(ISNUMBER(SEARCH("亿",$B$1)),100000000,IF(ISNUMBER(SEARCH("万",$B$1)),10000,1))</f>
        <v/>
      </c>
      <c r="F23" s="101">
        <f>E23/$E$45</f>
        <v/>
      </c>
      <c r="G23" s="233">
        <f>ROUND(HLOOKUP($G$2,bs!$C$1:$AB$110,MATCH(TRIM(B23),TRIM(bs!$B$1:$B$110),0),FALSE),0)/IF(ISNUMBER(SEARCH("亿",$B$1)),100000000,IF(ISNUMBER(SEARCH("万",$B$1)),10000,1))</f>
        <v/>
      </c>
      <c r="H23" s="101">
        <f>G23/$G$45</f>
        <v/>
      </c>
      <c r="I23" s="233">
        <f>ROUND(HLOOKUP($I$2,bs!$C$1:$AB$110,MATCH(TRIM(B23),TRIM(bs!$B$1:$B$110),0),FALSE),0)/IF(ISNUMBER(SEARCH("亿",$B$1)),100000000,IF(ISNUMBER(SEARCH("万",$B$1)),10000,1))</f>
        <v/>
      </c>
      <c r="J23" s="101">
        <f>I23/$I$45</f>
        <v/>
      </c>
      <c r="L23" s="103">
        <f>D23+F23+H23+J23</f>
        <v/>
      </c>
      <c r="M23" s="103">
        <f>B23</f>
        <v/>
      </c>
      <c r="N23">
        <f>CONCATENATE(M23,":",$N$2,$N$1,B23,"分别为",TEXT(I23,"#,##0.00"),"万元、",TEXT(G23,"#,##0.00"),"万元、",TEXT(E23,"#,##0.00"),"万元及",TEXT(C23,"#,##0.00"),"万元，","占总资产的比重分别为",TEXT(J23,"0.00%"),"、",TEXT(H23,"0.00%"),"、",TEXT(F23,"0.00%"),"和",TEXT(D23,"0.00%"),"。")</f>
        <v/>
      </c>
    </row>
    <row r="24">
      <c r="B24" s="99" t="inlineStr">
        <is>
          <t>持有至到期投资</t>
        </is>
      </c>
      <c r="C24" s="232">
        <f>ROUND(HLOOKUP($C$2,bs!$C$1:$AB$110,MATCH(TRIM(B24),TRIM(bs!$B$1:$B$110),0),FALSE),0)/IF(ISNUMBER(SEARCH("亿",$B$1)),100000000,IF(ISNUMBER(SEARCH("万",$B$1)),10000,1))</f>
        <v/>
      </c>
      <c r="D24" s="101">
        <f>C24/$C$45</f>
        <v/>
      </c>
      <c r="E24" s="232">
        <f>ROUND(HLOOKUP($E$2,bs!$C$1:$AB$110,MATCH(TRIM(B24),TRIM(bs!$B$1:$B$110),0),FALSE),0)/IF(ISNUMBER(SEARCH("亿",$B$1)),100000000,IF(ISNUMBER(SEARCH("万",$B$1)),10000,1))</f>
        <v/>
      </c>
      <c r="F24" s="101">
        <f>E24/$E$45</f>
        <v/>
      </c>
      <c r="G24" s="233">
        <f>ROUND(HLOOKUP($G$2,bs!$C$1:$AB$110,MATCH(TRIM(B24),TRIM(bs!$B$1:$B$110),0),FALSE),0)/IF(ISNUMBER(SEARCH("亿",$B$1)),100000000,IF(ISNUMBER(SEARCH("万",$B$1)),10000,1))</f>
        <v/>
      </c>
      <c r="H24" s="101">
        <f>G24/$G$45</f>
        <v/>
      </c>
      <c r="I24" s="233">
        <f>ROUND(HLOOKUP($I$2,bs!$C$1:$AB$110,MATCH(TRIM(B24),TRIM(bs!$B$1:$B$110),0),FALSE),0)/IF(ISNUMBER(SEARCH("亿",$B$1)),100000000,IF(ISNUMBER(SEARCH("万",$B$1)),10000,1))</f>
        <v/>
      </c>
      <c r="J24" s="101">
        <f>I24/$I$45</f>
        <v/>
      </c>
      <c r="L24" s="103">
        <f>D24+F24+H24+J24</f>
        <v/>
      </c>
      <c r="M24" s="103">
        <f>B24</f>
        <v/>
      </c>
      <c r="N24">
        <f>CONCATENATE(M24,":",$N$2,$N$1,B24,"分别为",TEXT(I24,"#,##0.00"),"万元、",TEXT(G24,"#,##0.00"),"万元、",TEXT(E24,"#,##0.00"),"万元及",TEXT(C24,"#,##0.00"),"万元，","占总资产的比重分别为",TEXT(J24,"0.00%"),"、",TEXT(H24,"0.00%"),"、",TEXT(F24,"0.00%"),"和",TEXT(D24,"0.00%"),"。")</f>
        <v/>
      </c>
    </row>
    <row r="25">
      <c r="B25" s="99" t="inlineStr">
        <is>
          <t>其他权益工具投资</t>
        </is>
      </c>
      <c r="C25" s="232">
        <f>ROUND(HLOOKUP($C$2,bs!$C$1:$AB$110,MATCH(TRIM(B25),TRIM(bs!$B$1:$B$110),0),FALSE),0)/IF(ISNUMBER(SEARCH("亿",$B$1)),100000000,IF(ISNUMBER(SEARCH("万",$B$1)),10000,1))</f>
        <v/>
      </c>
      <c r="D25" s="101">
        <f>C25/$C$45</f>
        <v/>
      </c>
      <c r="E25" s="232">
        <f>ROUND(HLOOKUP($E$2,bs!$C$1:$AB$110,MATCH(TRIM(B25),TRIM(bs!$B$1:$B$110),0),FALSE),0)/IF(ISNUMBER(SEARCH("亿",$B$1)),100000000,IF(ISNUMBER(SEARCH("万",$B$1)),10000,1))</f>
        <v/>
      </c>
      <c r="F25" s="101">
        <f>E25/$E$45</f>
        <v/>
      </c>
      <c r="G25" s="233">
        <f>ROUND(HLOOKUP($G$2,bs!$C$1:$AB$110,MATCH(TRIM(B25),TRIM(bs!$B$1:$B$110),0),FALSE),0)/IF(ISNUMBER(SEARCH("亿",$B$1)),100000000,IF(ISNUMBER(SEARCH("万",$B$1)),10000,1))</f>
        <v/>
      </c>
      <c r="H25" s="101">
        <f>G25/$G$45</f>
        <v/>
      </c>
      <c r="I25" s="233">
        <f>ROUND(HLOOKUP($I$2,bs!$C$1:$AB$110,MATCH(TRIM(B25),TRIM(bs!$B$1:$B$110),0),FALSE),0)/IF(ISNUMBER(SEARCH("亿",$B$1)),100000000,IF(ISNUMBER(SEARCH("万",$B$1)),10000,1))</f>
        <v/>
      </c>
      <c r="J25" s="101">
        <f>I25/$I$45</f>
        <v/>
      </c>
      <c r="L25" s="103">
        <f>D25+F25+H25+J25</f>
        <v/>
      </c>
      <c r="M25" s="103">
        <f>B25</f>
        <v/>
      </c>
      <c r="N25">
        <f>CONCATENATE(M25,":",$N$2,$N$1,B25,"分别为",TEXT(I25,"#,##0.00"),"万元、",TEXT(G25,"#,##0.00"),"万元、",TEXT(E25,"#,##0.00"),"万元及",TEXT(C25,"#,##0.00"),"万元，","占总资产的比重分别为",TEXT(J25,"0.00%"),"、",TEXT(H25,"0.00%"),"、",TEXT(F25,"0.00%"),"和",TEXT(D25,"0.00%"),"。")</f>
        <v/>
      </c>
    </row>
    <row r="26">
      <c r="B26" s="99" t="inlineStr">
        <is>
          <t>其他非流动金融资产</t>
        </is>
      </c>
      <c r="C26" s="232">
        <f>ROUND(HLOOKUP($C$2,bs!$C$1:$AB$110,MATCH(TRIM(B26),TRIM(bs!$B$1:$B$110),0),FALSE),0)/IF(ISNUMBER(SEARCH("亿",$B$1)),100000000,IF(ISNUMBER(SEARCH("万",$B$1)),10000,1))</f>
        <v/>
      </c>
      <c r="D26" s="101">
        <f>C26/$C$45</f>
        <v/>
      </c>
      <c r="E26" s="232">
        <f>ROUND(HLOOKUP($E$2,bs!$C$1:$AB$110,MATCH(TRIM(B26),TRIM(bs!$B$1:$B$110),0),FALSE),0)/IF(ISNUMBER(SEARCH("亿",$B$1)),100000000,IF(ISNUMBER(SEARCH("万",$B$1)),10000,1))</f>
        <v/>
      </c>
      <c r="F26" s="101">
        <f>E26/$E$45</f>
        <v/>
      </c>
      <c r="G26" s="233">
        <f>ROUND(HLOOKUP($G$2,bs!$C$1:$AB$110,MATCH(TRIM(B26),TRIM(bs!$B$1:$B$110),0),FALSE),0)/IF(ISNUMBER(SEARCH("亿",$B$1)),100000000,IF(ISNUMBER(SEARCH("万",$B$1)),10000,1))</f>
        <v/>
      </c>
      <c r="H26" s="101">
        <f>G26/$G$45</f>
        <v/>
      </c>
      <c r="I26" s="233">
        <f>ROUND(HLOOKUP($I$2,bs!$C$1:$AB$110,MATCH(TRIM(B26),TRIM(bs!$B$1:$B$110),0),FALSE),0)/IF(ISNUMBER(SEARCH("亿",$B$1)),100000000,IF(ISNUMBER(SEARCH("万",$B$1)),10000,1))</f>
        <v/>
      </c>
      <c r="J26" s="101">
        <f>I26/$I$45</f>
        <v/>
      </c>
      <c r="L26" s="103">
        <f>D26+F26+H26+J26</f>
        <v/>
      </c>
      <c r="M26" s="103">
        <f>B26</f>
        <v/>
      </c>
      <c r="N26">
        <f>CONCATENATE(M26,":",$N$2,$N$1,B26,"分别为",TEXT(I26,"#,##0.00"),"万元、",TEXT(G26,"#,##0.00"),"万元、",TEXT(E26,"#,##0.00"),"万元及",TEXT(C26,"#,##0.00"),"万元，","占总资产的比重分别为",TEXT(J26,"0.00%"),"、",TEXT(H26,"0.00%"),"、",TEXT(F26,"0.00%"),"和",TEXT(D26,"0.00%"),"。")</f>
        <v/>
      </c>
    </row>
    <row r="27">
      <c r="B27" s="99" t="inlineStr">
        <is>
          <t>投资性房地产</t>
        </is>
      </c>
      <c r="C27" s="232">
        <f>ROUND(HLOOKUP($C$2,bs!$C$1:$AB$110,MATCH(TRIM(B27),TRIM(bs!$B$1:$B$110),0),FALSE),0)/IF(ISNUMBER(SEARCH("亿",$B$1)),100000000,IF(ISNUMBER(SEARCH("万",$B$1)),10000,1))</f>
        <v/>
      </c>
      <c r="D27" s="101">
        <f>C27/$C$45</f>
        <v/>
      </c>
      <c r="E27" s="232">
        <f>ROUND(HLOOKUP($E$2,bs!$C$1:$AB$110,MATCH(TRIM(B27),TRIM(bs!$B$1:$B$110),0),FALSE),0)/IF(ISNUMBER(SEARCH("亿",$B$1)),100000000,IF(ISNUMBER(SEARCH("万",$B$1)),10000,1))</f>
        <v/>
      </c>
      <c r="F27" s="101">
        <f>E27/$E$45</f>
        <v/>
      </c>
      <c r="G27" s="233">
        <f>ROUND(HLOOKUP($G$2,bs!$C$1:$AB$110,MATCH(TRIM(B27),TRIM(bs!$B$1:$B$110),0),FALSE),0)/IF(ISNUMBER(SEARCH("亿",$B$1)),100000000,IF(ISNUMBER(SEARCH("万",$B$1)),10000,1))</f>
        <v/>
      </c>
      <c r="H27" s="101">
        <f>G27/$G$45</f>
        <v/>
      </c>
      <c r="I27" s="233">
        <f>ROUND(HLOOKUP($I$2,bs!$C$1:$AB$110,MATCH(TRIM(B27),TRIM(bs!$B$1:$B$110),0),FALSE),0)/IF(ISNUMBER(SEARCH("亿",$B$1)),100000000,IF(ISNUMBER(SEARCH("万",$B$1)),10000,1))</f>
        <v/>
      </c>
      <c r="J27" s="101">
        <f>I27/$I$45</f>
        <v/>
      </c>
      <c r="L27" s="103">
        <f>D27+F27+H27+J27</f>
        <v/>
      </c>
      <c r="M27" s="103">
        <f>B27</f>
        <v/>
      </c>
      <c r="N27">
        <f>CONCATENATE(M27,":",$N$2,$N$1,B27,"分别为",TEXT(I27,"#,##0.00"),"万元、",TEXT(G27,"#,##0.00"),"万元、",TEXT(E27,"#,##0.00"),"万元及",TEXT(C27,"#,##0.00"),"万元，","占总资产的比重分别为",TEXT(J27,"0.00%"),"、",TEXT(H27,"0.00%"),"、",TEXT(F27,"0.00%"),"和",TEXT(D27,"0.00%"),"。")</f>
        <v/>
      </c>
    </row>
    <row r="28">
      <c r="B28" s="99" t="inlineStr">
        <is>
          <t>固定资产</t>
        </is>
      </c>
      <c r="C28" s="232">
        <f>ROUND(HLOOKUP($C$2,bs!$C$1:$AB$110,MATCH(TRIM(B28),TRIM(bs!$B$1:$B$110),0),FALSE),0)/IF(ISNUMBER(SEARCH("亿",$B$1)),100000000,IF(ISNUMBER(SEARCH("万",$B$1)),10000,1))</f>
        <v/>
      </c>
      <c r="D28" s="101">
        <f>C28/$C$45</f>
        <v/>
      </c>
      <c r="E28" s="232">
        <f>ROUND(HLOOKUP($E$2,bs!$C$1:$AB$110,MATCH(TRIM(B28),TRIM(bs!$B$1:$B$110),0),FALSE),0)/IF(ISNUMBER(SEARCH("亿",$B$1)),100000000,IF(ISNUMBER(SEARCH("万",$B$1)),10000,1))</f>
        <v/>
      </c>
      <c r="F28" s="101">
        <f>E28/$E$45</f>
        <v/>
      </c>
      <c r="G28" s="233">
        <f>ROUND(HLOOKUP($G$2,bs!$C$1:$AB$110,MATCH(TRIM(B28),TRIM(bs!$B$1:$B$110),0),FALSE),0)/IF(ISNUMBER(SEARCH("亿",$B$1)),100000000,IF(ISNUMBER(SEARCH("万",$B$1)),10000,1))</f>
        <v/>
      </c>
      <c r="H28" s="101">
        <f>G28/$G$45</f>
        <v/>
      </c>
      <c r="I28" s="233">
        <f>ROUND(HLOOKUP($I$2,bs!$C$1:$AB$110,MATCH(TRIM(B28),TRIM(bs!$B$1:$B$110),0),FALSE),0)/IF(ISNUMBER(SEARCH("亿",$B$1)),100000000,IF(ISNUMBER(SEARCH("万",$B$1)),10000,1))</f>
        <v/>
      </c>
      <c r="J28" s="101">
        <f>I28/$I$45</f>
        <v/>
      </c>
      <c r="L28" s="103">
        <f>D28+F28+H28+J28</f>
        <v/>
      </c>
      <c r="M28" s="103">
        <f>B28</f>
        <v/>
      </c>
      <c r="N28">
        <f>CONCATENATE(M28,":",$N$2,$N$1,B28,"分别为",TEXT(I28,"#,##0.00"),"万元、",TEXT(G28,"#,##0.00"),"万元、",TEXT(E28,"#,##0.00"),"万元及",TEXT(C28,"#,##0.00"),"万元，","占总资产的比重分别为",TEXT(J28,"0.00%"),"、",TEXT(H28,"0.00%"),"、",TEXT(F28,"0.00%"),"和",TEXT(D28,"0.00%"),"。")</f>
        <v/>
      </c>
      <c r="P28" t="n">
        <v>0</v>
      </c>
    </row>
    <row r="29">
      <c r="B29" s="99" t="inlineStr">
        <is>
          <t xml:space="preserve">  累计折旧</t>
        </is>
      </c>
      <c r="C29" s="232">
        <f>ROUND(HLOOKUP($C$2,bs!$C$1:$AB$110,MATCH(TRIM(B29),TRIM(bs!$B$1:$B$110),0),FALSE),0)/IF(ISNUMBER(SEARCH("亿",$B$1)),100000000,IF(ISNUMBER(SEARCH("万",$B$1)),10000,1))</f>
        <v/>
      </c>
      <c r="D29" s="101">
        <f>C29/$C$45</f>
        <v/>
      </c>
      <c r="E29" s="232">
        <f>ROUND(HLOOKUP($E$2,bs!$C$1:$AB$110,MATCH(TRIM(B29),TRIM(bs!$B$1:$B$110),0),FALSE),0)/IF(ISNUMBER(SEARCH("亿",$B$1)),100000000,IF(ISNUMBER(SEARCH("万",$B$1)),10000,1))</f>
        <v/>
      </c>
      <c r="F29" s="101">
        <f>E29/$E$45</f>
        <v/>
      </c>
      <c r="G29" s="233">
        <f>ROUND(HLOOKUP($G$2,bs!$C$1:$AB$110,MATCH(TRIM(B29),TRIM(bs!$B$1:$B$110),0),FALSE),0)/IF(ISNUMBER(SEARCH("亿",$B$1)),100000000,IF(ISNUMBER(SEARCH("万",$B$1)),10000,1))</f>
        <v/>
      </c>
      <c r="H29" s="101">
        <f>G29/$G$45</f>
        <v/>
      </c>
      <c r="I29" s="233">
        <f>ROUND(HLOOKUP($I$2,bs!$C$1:$AB$110,MATCH(TRIM(B29),TRIM(bs!$B$1:$B$110),0),FALSE),0)/IF(ISNUMBER(SEARCH("亿",$B$1)),100000000,IF(ISNUMBER(SEARCH("万",$B$1)),10000,1))</f>
        <v/>
      </c>
      <c r="J29" s="101">
        <f>I29/$I$45</f>
        <v/>
      </c>
      <c r="L29" s="103">
        <f>D29+F29+H29+J29</f>
        <v/>
      </c>
      <c r="M29" s="103">
        <f>B29</f>
        <v/>
      </c>
      <c r="N29">
        <f>CONCATENATE(M29,":",$N$2,$N$1,B29,"分别为",TEXT(I29,"#,##0.00"),"万元、",TEXT(G29,"#,##0.00"),"万元、",TEXT(E29,"#,##0.00"),"万元及",TEXT(C29,"#,##0.00"),"万元，","占总资产的比重分别为",TEXT(J29,"0.00%"),"、",TEXT(H29,"0.00%"),"、",TEXT(F29,"0.00%"),"和",TEXT(D29,"0.00%"),"。")</f>
        <v/>
      </c>
      <c r="P29" t="n">
        <v>0</v>
      </c>
    </row>
    <row r="30">
      <c r="B30" s="99" t="inlineStr">
        <is>
          <t xml:space="preserve">  固定资产减值准备 </t>
        </is>
      </c>
      <c r="C30" s="232">
        <f>ROUND(HLOOKUP($C$2,bs!$C$1:$AB$110,MATCH(TRIM(B30),TRIM(bs!$B$1:$B$110),0),FALSE),0)/IF(ISNUMBER(SEARCH("亿",$B$1)),100000000,IF(ISNUMBER(SEARCH("万",$B$1)),10000,1))</f>
        <v/>
      </c>
      <c r="D30" s="101">
        <f>C30/$C$45</f>
        <v/>
      </c>
      <c r="E30" s="232">
        <f>ROUND(HLOOKUP($E$2,bs!$C$1:$AB$110,MATCH(TRIM(B30),TRIM(bs!$B$1:$B$110),0),FALSE),0)/IF(ISNUMBER(SEARCH("亿",$B$1)),100000000,IF(ISNUMBER(SEARCH("万",$B$1)),10000,1))</f>
        <v/>
      </c>
      <c r="F30" s="101">
        <f>E30/$E$45</f>
        <v/>
      </c>
      <c r="G30" s="233">
        <f>ROUND(HLOOKUP($G$2,bs!$C$1:$AB$110,MATCH(TRIM(B30),TRIM(bs!$B$1:$B$110),0),FALSE),0)/IF(ISNUMBER(SEARCH("亿",$B$1)),100000000,IF(ISNUMBER(SEARCH("万",$B$1)),10000,1))</f>
        <v/>
      </c>
      <c r="H30" s="101">
        <f>G30/$G$45</f>
        <v/>
      </c>
      <c r="I30" s="233">
        <f>ROUND(HLOOKUP($I$2,bs!$C$1:$AB$110,MATCH(TRIM(B30),TRIM(bs!$B$1:$B$110),0),FALSE),0)/IF(ISNUMBER(SEARCH("亿",$B$1)),100000000,IF(ISNUMBER(SEARCH("万",$B$1)),10000,1))</f>
        <v/>
      </c>
      <c r="J30" s="101">
        <f>I30/$I$45</f>
        <v/>
      </c>
      <c r="L30" s="103">
        <f>D30+F30+H30+J30</f>
        <v/>
      </c>
      <c r="M30" s="103">
        <f>B30</f>
        <v/>
      </c>
      <c r="N30">
        <f>CONCATENATE(M30,":",$N$2,$N$1,B30,"分别为",TEXT(I30,"#,##0.00"),"万元、",TEXT(G30,"#,##0.00"),"万元、",TEXT(E30,"#,##0.00"),"万元及",TEXT(C30,"#,##0.00"),"万元，","占总资产的比重分别为",TEXT(J30,"0.00%"),"、",TEXT(H30,"0.00%"),"、",TEXT(F30,"0.00%"),"和",TEXT(D30,"0.00%"),"。")</f>
        <v/>
      </c>
    </row>
    <row r="31">
      <c r="B31" s="99" t="inlineStr">
        <is>
          <t>固定资产净额</t>
        </is>
      </c>
      <c r="C31" s="232">
        <f>ROUND(HLOOKUP($C$2,bs!$C$1:$AB$110,MATCH(TRIM(B31),TRIM(bs!$B$1:$B$110),0),FALSE),0)/IF(ISNUMBER(SEARCH("亿",$B$1)),100000000,IF(ISNUMBER(SEARCH("万",$B$1)),10000,1))</f>
        <v/>
      </c>
      <c r="D31" s="101">
        <f>C31/$C$45</f>
        <v/>
      </c>
      <c r="E31" s="232">
        <f>ROUND(HLOOKUP($E$2,bs!$C$1:$AB$110,MATCH(TRIM(B31),TRIM(bs!$B$1:$B$110),0),FALSE),0)/IF(ISNUMBER(SEARCH("亿",$B$1)),100000000,IF(ISNUMBER(SEARCH("万",$B$1)),10000,1))</f>
        <v/>
      </c>
      <c r="F31" s="101">
        <f>E31/$E$45</f>
        <v/>
      </c>
      <c r="G31" s="233">
        <f>ROUND(HLOOKUP($G$2,bs!$C$1:$AB$110,MATCH(TRIM(B31),TRIM(bs!$B$1:$B$110),0),FALSE),0)/IF(ISNUMBER(SEARCH("亿",$B$1)),100000000,IF(ISNUMBER(SEARCH("万",$B$1)),10000,1))</f>
        <v/>
      </c>
      <c r="H31" s="101">
        <f>G31/$G$45</f>
        <v/>
      </c>
      <c r="I31" s="233">
        <f>ROUND(HLOOKUP($I$2,bs!$C$1:$AB$110,MATCH(TRIM(B31),TRIM(bs!$B$1:$B$110),0),FALSE),0)/IF(ISNUMBER(SEARCH("亿",$B$1)),100000000,IF(ISNUMBER(SEARCH("万",$B$1)),10000,1))</f>
        <v/>
      </c>
      <c r="J31" s="101">
        <f>I31/$I$45</f>
        <v/>
      </c>
      <c r="K31" s="234">
        <f>C31-E31</f>
        <v/>
      </c>
      <c r="L31" s="103">
        <f>D31+F31+H31+J31</f>
        <v/>
      </c>
      <c r="M31" s="103">
        <f>B31</f>
        <v/>
      </c>
      <c r="N31">
        <f>CONCATENATE(M31,":",$N$2,$N$1,B31,"分别为",TEXT(I31,"#,##0.00"),"万元、",TEXT(G31,"#,##0.00"),"万元、",TEXT(E31,"#,##0.00"),"万元及",TEXT(C31,"#,##0.00"),"万元，","占总资产的比重分别为",TEXT(J31,"0.00%"),"、",TEXT(H31,"0.00%"),"、",TEXT(F31,"0.00%"),"和",TEXT(D31,"0.00%"),"。")</f>
        <v/>
      </c>
      <c r="P31" t="n">
        <v>0</v>
      </c>
    </row>
    <row r="32">
      <c r="B32" s="99" t="inlineStr">
        <is>
          <t xml:space="preserve">  固定资产清理</t>
        </is>
      </c>
      <c r="C32" s="232">
        <f>ROUND(HLOOKUP($C$2,bs!$C$1:$AB$110,MATCH(TRIM(B32),TRIM(bs!$B$1:$B$110),0),FALSE),0)/IF(ISNUMBER(SEARCH("亿",$B$1)),100000000,IF(ISNUMBER(SEARCH("万",$B$1)),10000,1))</f>
        <v/>
      </c>
      <c r="D32" s="101">
        <f>C32/$C$45</f>
        <v/>
      </c>
      <c r="E32" s="232">
        <f>ROUND(HLOOKUP($E$2,bs!$C$1:$AB$110,MATCH(TRIM(B32),TRIM(bs!$B$1:$B$110),0),FALSE),0)/IF(ISNUMBER(SEARCH("亿",$B$1)),100000000,IF(ISNUMBER(SEARCH("万",$B$1)),10000,1))</f>
        <v/>
      </c>
      <c r="F32" s="101">
        <f>E32/$E$45</f>
        <v/>
      </c>
      <c r="G32" s="233">
        <f>ROUND(HLOOKUP($G$2,bs!$C$1:$AB$110,MATCH(TRIM(B32),TRIM(bs!$B$1:$B$110),0),FALSE),0)/IF(ISNUMBER(SEARCH("亿",$B$1)),100000000,IF(ISNUMBER(SEARCH("万",$B$1)),10000,1))</f>
        <v/>
      </c>
      <c r="H32" s="101">
        <f>G32/$G$45</f>
        <v/>
      </c>
      <c r="I32" s="233">
        <f>ROUND(HLOOKUP($I$2,bs!$C$1:$AB$110,MATCH(TRIM(B32),TRIM(bs!$B$1:$B$110),0),FALSE),0)/IF(ISNUMBER(SEARCH("亿",$B$1)),100000000,IF(ISNUMBER(SEARCH("万",$B$1)),10000,1))</f>
        <v/>
      </c>
      <c r="J32" s="101">
        <f>I32/$I$45</f>
        <v/>
      </c>
      <c r="L32" s="103">
        <f>D32+F32+H32+J32</f>
        <v/>
      </c>
      <c r="M32" s="103">
        <f>B32</f>
        <v/>
      </c>
      <c r="N32">
        <f>CONCATENATE(M32,":",$N$2,$N$1,B32,"分别为",TEXT(I32,"#,##0.00"),"万元、",TEXT(G32,"#,##0.00"),"万元、",TEXT(E32,"#,##0.00"),"万元及",TEXT(C32,"#,##0.00"),"万元，","占总资产的比重分别为",TEXT(J32,"0.00%"),"、",TEXT(H32,"0.00%"),"、",TEXT(F32,"0.00%"),"和",TEXT(D32,"0.00%"),"。")</f>
        <v/>
      </c>
    </row>
    <row r="33">
      <c r="B33" s="99" t="inlineStr">
        <is>
          <t xml:space="preserve">  工程物资</t>
        </is>
      </c>
      <c r="C33" s="232">
        <f>ROUND(HLOOKUP($C$2,bs!$C$1:$AB$110,MATCH(TRIM(B33),TRIM(bs!$B$1:$B$110),0),FALSE),0)/IF(ISNUMBER(SEARCH("亿",$B$1)),100000000,IF(ISNUMBER(SEARCH("万",$B$1)),10000,1))</f>
        <v/>
      </c>
      <c r="D33" s="101">
        <f>C33/$C$45</f>
        <v/>
      </c>
      <c r="E33" s="232">
        <f>ROUND(HLOOKUP($E$2,bs!$C$1:$AB$110,MATCH(TRIM(B33),TRIM(bs!$B$1:$B$110),0),FALSE),0)/IF(ISNUMBER(SEARCH("亿",$B$1)),100000000,IF(ISNUMBER(SEARCH("万",$B$1)),10000,1))</f>
        <v/>
      </c>
      <c r="F33" s="101">
        <f>E33/$E$45</f>
        <v/>
      </c>
      <c r="G33" s="233">
        <f>ROUND(HLOOKUP($G$2,bs!$C$1:$AB$110,MATCH(TRIM(B33),TRIM(bs!$B$1:$B$110),0),FALSE),0)/IF(ISNUMBER(SEARCH("亿",$B$1)),100000000,IF(ISNUMBER(SEARCH("万",$B$1)),10000,1))</f>
        <v/>
      </c>
      <c r="H33" s="101">
        <f>G33/$G$45</f>
        <v/>
      </c>
      <c r="I33" s="233">
        <f>ROUND(HLOOKUP($I$2,bs!$C$1:$AB$110,MATCH(TRIM(B33),TRIM(bs!$B$1:$B$110),0),FALSE),0)/IF(ISNUMBER(SEARCH("亿",$B$1)),100000000,IF(ISNUMBER(SEARCH("万",$B$1)),10000,1))</f>
        <v/>
      </c>
      <c r="J33" s="101">
        <f>I33/$I$45</f>
        <v/>
      </c>
      <c r="L33" s="103">
        <f>D33+F33+H33+J33</f>
        <v/>
      </c>
      <c r="M33" s="103">
        <f>B33</f>
        <v/>
      </c>
      <c r="N33">
        <f>CONCATENATE(M33,":",$N$2,$N$1,B33,"分别为",TEXT(I33,"#,##0.00"),"万元、",TEXT(G33,"#,##0.00"),"万元、",TEXT(E33,"#,##0.00"),"万元及",TEXT(C33,"#,##0.00"),"万元，","占总资产的比重分别为",TEXT(J33,"0.00%"),"、",TEXT(H33,"0.00%"),"、",TEXT(F33,"0.00%"),"和",TEXT(D33,"0.00%"),"。")</f>
        <v/>
      </c>
    </row>
    <row r="34">
      <c r="B34" s="99" t="inlineStr">
        <is>
          <t>在建工程</t>
        </is>
      </c>
      <c r="C34" s="232">
        <f>ROUND(HLOOKUP($C$2,bs!$C$1:$AB$110,MATCH(TRIM(B34),TRIM(bs!$B$1:$B$110),0),FALSE),0)/IF(ISNUMBER(SEARCH("亿",$B$1)),100000000,IF(ISNUMBER(SEARCH("万",$B$1)),10000,1))</f>
        <v/>
      </c>
      <c r="D34" s="101">
        <f>C34/$C$45</f>
        <v/>
      </c>
      <c r="E34" s="232">
        <f>ROUND(HLOOKUP($E$2,bs!$C$1:$AB$110,MATCH(TRIM(B34),TRIM(bs!$B$1:$B$110),0),FALSE),0)/IF(ISNUMBER(SEARCH("亿",$B$1)),100000000,IF(ISNUMBER(SEARCH("万",$B$1)),10000,1))</f>
        <v/>
      </c>
      <c r="F34" s="101">
        <f>E34/$E$45</f>
        <v/>
      </c>
      <c r="G34" s="233">
        <f>ROUND(HLOOKUP($G$2,bs!$C$1:$AB$110,MATCH(TRIM(B34),TRIM(bs!$B$1:$B$110),0),FALSE),0)/IF(ISNUMBER(SEARCH("亿",$B$1)),100000000,IF(ISNUMBER(SEARCH("万",$B$1)),10000,1))</f>
        <v/>
      </c>
      <c r="H34" s="101">
        <f>G34/$G$45</f>
        <v/>
      </c>
      <c r="I34" s="233">
        <f>ROUND(HLOOKUP($I$2,bs!$C$1:$AB$110,MATCH(TRIM(B34),TRIM(bs!$B$1:$B$110),0),FALSE),0)/IF(ISNUMBER(SEARCH("亿",$B$1)),100000000,IF(ISNUMBER(SEARCH("万",$B$1)),10000,1))</f>
        <v/>
      </c>
      <c r="J34" s="101">
        <f>I34/$I$45</f>
        <v/>
      </c>
      <c r="L34" s="103">
        <f>D34+F34+H34+J34</f>
        <v/>
      </c>
      <c r="M34" s="103">
        <f>B34</f>
        <v/>
      </c>
      <c r="N34">
        <f>CONCATENATE(M34,":",$N$2,$N$1,B34,"分别为",TEXT(I34,"#,##0.00"),"万元、",TEXT(G34,"#,##0.00"),"万元、",TEXT(E34,"#,##0.00"),"万元及",TEXT(C34,"#,##0.00"),"万元，","占总资产的比重分别为",TEXT(J34,"0.00%"),"、",TEXT(H34,"0.00%"),"、",TEXT(F34,"0.00%"),"和",TEXT(D34,"0.00%"),"。")</f>
        <v/>
      </c>
      <c r="P34" t="n">
        <v>0</v>
      </c>
    </row>
    <row r="35">
      <c r="B35" s="99" t="inlineStr">
        <is>
          <t xml:space="preserve">  生产性生物资产 </t>
        </is>
      </c>
      <c r="C35" s="232">
        <f>ROUND(HLOOKUP($C$2,bs!$C$1:$AB$110,MATCH(TRIM(B35),TRIM(bs!$B$1:$B$110),0),FALSE),0)/IF(ISNUMBER(SEARCH("亿",$B$1)),100000000,IF(ISNUMBER(SEARCH("万",$B$1)),10000,1))</f>
        <v/>
      </c>
      <c r="D35" s="101">
        <f>C35/$C$45</f>
        <v/>
      </c>
      <c r="E35" s="232">
        <f>ROUND(HLOOKUP($E$2,bs!$C$1:$AB$110,MATCH(TRIM(B35),TRIM(bs!$B$1:$B$110),0),FALSE),0)/IF(ISNUMBER(SEARCH("亿",$B$1)),100000000,IF(ISNUMBER(SEARCH("万",$B$1)),10000,1))</f>
        <v/>
      </c>
      <c r="F35" s="101">
        <f>E35/$E$45</f>
        <v/>
      </c>
      <c r="G35" s="233">
        <f>ROUND(HLOOKUP($G$2,bs!$C$1:$AB$110,MATCH(TRIM(B35),TRIM(bs!$B$1:$B$110),0),FALSE),0)/IF(ISNUMBER(SEARCH("亿",$B$1)),100000000,IF(ISNUMBER(SEARCH("万",$B$1)),10000,1))</f>
        <v/>
      </c>
      <c r="H35" s="101">
        <f>G35/$G$45</f>
        <v/>
      </c>
      <c r="I35" s="233">
        <f>ROUND(HLOOKUP($I$2,bs!$C$1:$AB$110,MATCH(TRIM(B35),TRIM(bs!$B$1:$B$110),0),FALSE),0)/IF(ISNUMBER(SEARCH("亿",$B$1)),100000000,IF(ISNUMBER(SEARCH("万",$B$1)),10000,1))</f>
        <v/>
      </c>
      <c r="J35" s="101">
        <f>I35/$I$45</f>
        <v/>
      </c>
      <c r="L35" s="103">
        <f>D35+F35+H35+J35</f>
        <v/>
      </c>
      <c r="M35" s="103">
        <f>B35</f>
        <v/>
      </c>
      <c r="N35">
        <f>CONCATENATE(M35,":",$N$2,$N$1,B35,"分别为",TEXT(I35,"#,##0.00"),"万元、",TEXT(G35,"#,##0.00"),"万元、",TEXT(E35,"#,##0.00"),"万元及",TEXT(C35,"#,##0.00"),"万元，","占总资产的比重分别为",TEXT(J35,"0.00%"),"、",TEXT(H35,"0.00%"),"、",TEXT(F35,"0.00%"),"和",TEXT(D35,"0.00%"),"。")</f>
        <v/>
      </c>
    </row>
    <row r="36">
      <c r="B36" s="99" t="inlineStr">
        <is>
          <t xml:space="preserve">  油气资产 </t>
        </is>
      </c>
      <c r="C36" s="232">
        <f>ROUND(HLOOKUP($C$2,bs!$C$1:$AB$110,MATCH(TRIM(B36),TRIM(bs!$B$1:$B$110),0),FALSE),0)/IF(ISNUMBER(SEARCH("亿",$B$1)),100000000,IF(ISNUMBER(SEARCH("万",$B$1)),10000,1))</f>
        <v/>
      </c>
      <c r="D36" s="101">
        <f>C36/$C$45</f>
        <v/>
      </c>
      <c r="E36" s="232">
        <f>ROUND(HLOOKUP($E$2,bs!$C$1:$AB$110,MATCH(TRIM(B36),TRIM(bs!$B$1:$B$110),0),FALSE),0)/IF(ISNUMBER(SEARCH("亿",$B$1)),100000000,IF(ISNUMBER(SEARCH("万",$B$1)),10000,1))</f>
        <v/>
      </c>
      <c r="F36" s="101">
        <f>E36/$E$45</f>
        <v/>
      </c>
      <c r="G36" s="233">
        <f>ROUND(HLOOKUP($G$2,bs!$C$1:$AB$110,MATCH(TRIM(B36),TRIM(bs!$B$1:$B$110),0),FALSE),0)/IF(ISNUMBER(SEARCH("亿",$B$1)),100000000,IF(ISNUMBER(SEARCH("万",$B$1)),10000,1))</f>
        <v/>
      </c>
      <c r="H36" s="101">
        <f>G36/$G$45</f>
        <v/>
      </c>
      <c r="I36" s="233">
        <f>ROUND(HLOOKUP($I$2,bs!$C$1:$AB$110,MATCH(TRIM(B36),TRIM(bs!$B$1:$B$110),0),FALSE),0)/IF(ISNUMBER(SEARCH("亿",$B$1)),100000000,IF(ISNUMBER(SEARCH("万",$B$1)),10000,1))</f>
        <v/>
      </c>
      <c r="J36" s="101">
        <f>I36/$I$45</f>
        <v/>
      </c>
      <c r="L36" s="103">
        <f>D36+F36+H36+J36</f>
        <v/>
      </c>
      <c r="M36" s="103">
        <f>B36</f>
        <v/>
      </c>
      <c r="N36">
        <f>CONCATENATE(M36,":",$N$2,$N$1,B36,"分别为",TEXT(I36,"#,##0.00"),"万元、",TEXT(G36,"#,##0.00"),"万元、",TEXT(E36,"#,##0.00"),"万元及",TEXT(C36,"#,##0.00"),"万元，","占总资产的比重分别为",TEXT(J36,"0.00%"),"、",TEXT(H36,"0.00%"),"、",TEXT(F36,"0.00%"),"和",TEXT(D36,"0.00%"),"。")</f>
        <v/>
      </c>
    </row>
    <row r="37">
      <c r="B37" s="99" t="inlineStr">
        <is>
          <t xml:space="preserve">  使用权资产 </t>
        </is>
      </c>
      <c r="C37" s="232">
        <f>ROUND(HLOOKUP($C$2,bs!$C$1:$AB$110,MATCH(TRIM(B37),TRIM(bs!$B$1:$B$110),0),FALSE),0)/IF(ISNUMBER(SEARCH("亿",$B$1)),100000000,IF(ISNUMBER(SEARCH("万",$B$1)),10000,1))</f>
        <v/>
      </c>
      <c r="D37" s="101">
        <f>C37/$C$45</f>
        <v/>
      </c>
      <c r="E37" s="232">
        <f>ROUND(HLOOKUP($E$2,bs!$C$1:$AB$110,MATCH(TRIM(B37),TRIM(bs!$B$1:$B$110),0),FALSE),0)/IF(ISNUMBER(SEARCH("亿",$B$1)),100000000,IF(ISNUMBER(SEARCH("万",$B$1)),10000,1))</f>
        <v/>
      </c>
      <c r="F37" s="101">
        <f>E37/$E$45</f>
        <v/>
      </c>
      <c r="G37" s="233">
        <f>ROUND(HLOOKUP($G$2,bs!$C$1:$AB$110,MATCH(TRIM(B37),TRIM(bs!$B$1:$B$110),0),FALSE),0)/IF(ISNUMBER(SEARCH("亿",$B$1)),100000000,IF(ISNUMBER(SEARCH("万",$B$1)),10000,1))</f>
        <v/>
      </c>
      <c r="H37" s="101">
        <f>G37/$G$45</f>
        <v/>
      </c>
      <c r="I37" s="233">
        <f>ROUND(HLOOKUP($I$2,bs!$C$1:$AB$110,MATCH(TRIM(B37),TRIM(bs!$B$1:$B$110),0),FALSE),0)/IF(ISNUMBER(SEARCH("亿",$B$1)),100000000,IF(ISNUMBER(SEARCH("万",$B$1)),10000,1))</f>
        <v/>
      </c>
      <c r="J37" s="101">
        <f>I37/$I$45</f>
        <v/>
      </c>
      <c r="L37" s="103">
        <f>D37+F37+H37+J37</f>
        <v/>
      </c>
      <c r="M37" s="103">
        <f>B37</f>
        <v/>
      </c>
      <c r="N37">
        <f>CONCATENATE(M37,":",$N$2,$N$1,B37,"分别为",TEXT(I37,"#,##0.00"),"万元、",TEXT(G37,"#,##0.00"),"万元、",TEXT(E37,"#,##0.00"),"万元及",TEXT(C37,"#,##0.00"),"万元，","占总资产的比重分别为",TEXT(J37,"0.00%"),"、",TEXT(H37,"0.00%"),"、",TEXT(F37,"0.00%"),"和",TEXT(D37,"0.00%"),"。")</f>
        <v/>
      </c>
    </row>
    <row r="38">
      <c r="B38" s="99" t="inlineStr">
        <is>
          <t>无形资产</t>
        </is>
      </c>
      <c r="C38" s="232">
        <f>ROUND(HLOOKUP($C$2,bs!$C$1:$AB$110,MATCH(TRIM(B38),TRIM(bs!$B$1:$B$110),0),FALSE),0)/IF(ISNUMBER(SEARCH("亿",$B$1)),100000000,IF(ISNUMBER(SEARCH("万",$B$1)),10000,1))</f>
        <v/>
      </c>
      <c r="D38" s="101">
        <f>C38/$C$45</f>
        <v/>
      </c>
      <c r="E38" s="232">
        <f>ROUND(HLOOKUP($E$2,bs!$C$1:$AB$110,MATCH(TRIM(B38),TRIM(bs!$B$1:$B$110),0),FALSE),0)/IF(ISNUMBER(SEARCH("亿",$B$1)),100000000,IF(ISNUMBER(SEARCH("万",$B$1)),10000,1))</f>
        <v/>
      </c>
      <c r="F38" s="101">
        <f>E38/$E$45</f>
        <v/>
      </c>
      <c r="G38" s="233">
        <f>ROUND(HLOOKUP($G$2,bs!$C$1:$AB$110,MATCH(TRIM(B38),TRIM(bs!$B$1:$B$110),0),FALSE),0)/IF(ISNUMBER(SEARCH("亿",$B$1)),100000000,IF(ISNUMBER(SEARCH("万",$B$1)),10000,1))</f>
        <v/>
      </c>
      <c r="H38" s="101">
        <f>G38/$G$45</f>
        <v/>
      </c>
      <c r="I38" s="233">
        <f>ROUND(HLOOKUP($I$2,bs!$C$1:$AB$110,MATCH(TRIM(B38),TRIM(bs!$B$1:$B$110),0),FALSE),0)/IF(ISNUMBER(SEARCH("亿",$B$1)),100000000,IF(ISNUMBER(SEARCH("万",$B$1)),10000,1))</f>
        <v/>
      </c>
      <c r="J38" s="101">
        <f>I38/$I$45</f>
        <v/>
      </c>
      <c r="L38" s="103">
        <f>D38+F38+H38+J38</f>
        <v/>
      </c>
      <c r="M38" s="103">
        <f>B38</f>
        <v/>
      </c>
      <c r="N38">
        <f>CONCATENATE(M38,":",$N$2,$N$1,B38,"分别为",TEXT(I38,"#,##0.00"),"万元、",TEXT(G38,"#,##0.00"),"万元、",TEXT(E38,"#,##0.00"),"万元及",TEXT(C38,"#,##0.00"),"万元，","占总资产的比重分别为",TEXT(J38,"0.00%"),"、",TEXT(H38,"0.00%"),"、",TEXT(F38,"0.00%"),"和",TEXT(D38,"0.00%"),"。")</f>
        <v/>
      </c>
      <c r="P38" t="n">
        <v>0</v>
      </c>
    </row>
    <row r="39">
      <c r="B39" s="99" t="inlineStr">
        <is>
          <t xml:space="preserve">  开发支出 </t>
        </is>
      </c>
      <c r="C39" s="232">
        <f>ROUND(HLOOKUP($C$2,bs!$C$1:$AB$110,MATCH(TRIM(B39),TRIM(bs!$B$1:$B$110),0),FALSE),0)/IF(ISNUMBER(SEARCH("亿",$B$1)),100000000,IF(ISNUMBER(SEARCH("万",$B$1)),10000,1))</f>
        <v/>
      </c>
      <c r="D39" s="101">
        <f>C39/$C$45</f>
        <v/>
      </c>
      <c r="E39" s="232">
        <f>ROUND(HLOOKUP($E$2,bs!$C$1:$AB$110,MATCH(TRIM(B39),TRIM(bs!$B$1:$B$110),0),FALSE),0)/IF(ISNUMBER(SEARCH("亿",$B$1)),100000000,IF(ISNUMBER(SEARCH("万",$B$1)),10000,1))</f>
        <v/>
      </c>
      <c r="F39" s="101">
        <f>E39/$E$45</f>
        <v/>
      </c>
      <c r="G39" s="233">
        <f>ROUND(HLOOKUP($G$2,bs!$C$1:$AB$110,MATCH(TRIM(B39),TRIM(bs!$B$1:$B$110),0),FALSE),0)/IF(ISNUMBER(SEARCH("亿",$B$1)),100000000,IF(ISNUMBER(SEARCH("万",$B$1)),10000,1))</f>
        <v/>
      </c>
      <c r="H39" s="101">
        <f>G39/$G$45</f>
        <v/>
      </c>
      <c r="I39" s="233">
        <f>ROUND(HLOOKUP($I$2,bs!$C$1:$AB$110,MATCH(TRIM(B39),TRIM(bs!$B$1:$B$110),0),FALSE),0)/IF(ISNUMBER(SEARCH("亿",$B$1)),100000000,IF(ISNUMBER(SEARCH("万",$B$1)),10000,1))</f>
        <v/>
      </c>
      <c r="J39" s="101">
        <f>I39/$I$45</f>
        <v/>
      </c>
      <c r="L39" s="103">
        <f>D39+F39+H39+J39</f>
        <v/>
      </c>
      <c r="M39" s="103">
        <f>B39</f>
        <v/>
      </c>
      <c r="N39">
        <f>CONCATENATE(M39,":",$N$2,$N$1,B39,"分别为",TEXT(I39,"#,##0.00"),"万元、",TEXT(G39,"#,##0.00"),"万元、",TEXT(E39,"#,##0.00"),"万元及",TEXT(C39,"#,##0.00"),"万元，","占总资产的比重分别为",TEXT(J39,"0.00%"),"、",TEXT(H39,"0.00%"),"、",TEXT(F39,"0.00%"),"和",TEXT(D39,"0.00%"),"。")</f>
        <v/>
      </c>
    </row>
    <row r="40">
      <c r="B40" s="99" t="inlineStr">
        <is>
          <t xml:space="preserve">  商誉 </t>
        </is>
      </c>
      <c r="C40" s="232">
        <f>ROUND(HLOOKUP($C$2,bs!$C$1:$AB$110,MATCH(TRIM(B40),TRIM(bs!$B$1:$B$110),0),FALSE),0)/IF(ISNUMBER(SEARCH("亿",$B$1)),100000000,IF(ISNUMBER(SEARCH("万",$B$1)),10000,1))</f>
        <v/>
      </c>
      <c r="D40" s="101">
        <f>C40/$C$45</f>
        <v/>
      </c>
      <c r="E40" s="232">
        <f>ROUND(HLOOKUP($E$2,bs!$C$1:$AB$110,MATCH(TRIM(B40),TRIM(bs!$B$1:$B$110),0),FALSE),0)/IF(ISNUMBER(SEARCH("亿",$B$1)),100000000,IF(ISNUMBER(SEARCH("万",$B$1)),10000,1))</f>
        <v/>
      </c>
      <c r="F40" s="101">
        <f>E40/$E$45</f>
        <v/>
      </c>
      <c r="G40" s="233">
        <f>ROUND(HLOOKUP($G$2,bs!$C$1:$AB$110,MATCH(TRIM(B40),TRIM(bs!$B$1:$B$110),0),FALSE),0)/IF(ISNUMBER(SEARCH("亿",$B$1)),100000000,IF(ISNUMBER(SEARCH("万",$B$1)),10000,1))</f>
        <v/>
      </c>
      <c r="H40" s="101">
        <f>G40/$G$45</f>
        <v/>
      </c>
      <c r="I40" s="233">
        <f>ROUND(HLOOKUP($I$2,bs!$C$1:$AB$110,MATCH(TRIM(B40),TRIM(bs!$B$1:$B$110),0),FALSE),0)/IF(ISNUMBER(SEARCH("亿",$B$1)),100000000,IF(ISNUMBER(SEARCH("万",$B$1)),10000,1))</f>
        <v/>
      </c>
      <c r="J40" s="101">
        <f>I40/$I$45</f>
        <v/>
      </c>
      <c r="L40" s="103">
        <f>D40+F40+H40+J40</f>
        <v/>
      </c>
      <c r="M40" s="103">
        <f>B40</f>
        <v/>
      </c>
      <c r="N40">
        <f>CONCATENATE(M40,":",$N$2,$N$1,B40,"分别为",TEXT(I40,"#,##0.00"),"万元、",TEXT(G40,"#,##0.00"),"万元、",TEXT(E40,"#,##0.00"),"万元及",TEXT(C40,"#,##0.00"),"万元，","占总资产的比重分别为",TEXT(J40,"0.00%"),"、",TEXT(H40,"0.00%"),"、",TEXT(F40,"0.00%"),"和",TEXT(D40,"0.00%"),"。")</f>
        <v/>
      </c>
      <c r="P40" t="n">
        <v>0</v>
      </c>
    </row>
    <row r="41">
      <c r="B41" s="99" t="inlineStr">
        <is>
          <t>长期待摊费用</t>
        </is>
      </c>
      <c r="C41" s="232">
        <f>ROUND(HLOOKUP($C$2,bs!$C$1:$AB$110,MATCH(TRIM(B41),TRIM(bs!$B$1:$B$110),0),FALSE),0)/IF(ISNUMBER(SEARCH("亿",$B$1)),100000000,IF(ISNUMBER(SEARCH("万",$B$1)),10000,1))</f>
        <v/>
      </c>
      <c r="D41" s="101">
        <f>C41/$C$45</f>
        <v/>
      </c>
      <c r="E41" s="232">
        <f>ROUND(HLOOKUP($E$2,bs!$C$1:$AB$110,MATCH(TRIM(B41),TRIM(bs!$B$1:$B$110),0),FALSE),0)/IF(ISNUMBER(SEARCH("亿",$B$1)),100000000,IF(ISNUMBER(SEARCH("万",$B$1)),10000,1))</f>
        <v/>
      </c>
      <c r="F41" s="101">
        <f>E41/$E$45</f>
        <v/>
      </c>
      <c r="G41" s="233">
        <f>ROUND(HLOOKUP($G$2,bs!$C$1:$AB$110,MATCH(TRIM(B41),TRIM(bs!$B$1:$B$110),0),FALSE),0)/IF(ISNUMBER(SEARCH("亿",$B$1)),100000000,IF(ISNUMBER(SEARCH("万",$B$1)),10000,1))</f>
        <v/>
      </c>
      <c r="H41" s="101">
        <f>G41/$G$45</f>
        <v/>
      </c>
      <c r="I41" s="233">
        <f>ROUND(HLOOKUP($I$2,bs!$C$1:$AB$110,MATCH(TRIM(B41),TRIM(bs!$B$1:$B$110),0),FALSE),0)/IF(ISNUMBER(SEARCH("亿",$B$1)),100000000,IF(ISNUMBER(SEARCH("万",$B$1)),10000,1))</f>
        <v/>
      </c>
      <c r="J41" s="101">
        <f>I41/$I$45</f>
        <v/>
      </c>
      <c r="L41" s="103">
        <f>D41+F41+H41+J41</f>
        <v/>
      </c>
      <c r="M41" s="103">
        <f>B41</f>
        <v/>
      </c>
      <c r="N41">
        <f>CONCATENATE(M41,":",$N$2,$N$1,B41,"分别为",TEXT(I41,"#,##0.00"),"万元、",TEXT(G41,"#,##0.00"),"万元、",TEXT(E41,"#,##0.00"),"万元及",TEXT(C41,"#,##0.00"),"万元，","占总资产的比重分别为",TEXT(J41,"0.00%"),"、",TEXT(H41,"0.00%"),"、",TEXT(F41,"0.00%"),"和",TEXT(D41,"0.00%"),"。")</f>
        <v/>
      </c>
    </row>
    <row r="42">
      <c r="B42" s="99" t="inlineStr">
        <is>
          <t>递延所得税资产</t>
        </is>
      </c>
      <c r="C42" s="232">
        <f>ROUND(HLOOKUP($C$2,bs!$C$1:$AB$110,MATCH(TRIM(B42),TRIM(bs!$B$1:$B$110),0),FALSE),0)/IF(ISNUMBER(SEARCH("亿",$B$1)),100000000,IF(ISNUMBER(SEARCH("万",$B$1)),10000,1))</f>
        <v/>
      </c>
      <c r="D42" s="101">
        <f>C42/$C$45</f>
        <v/>
      </c>
      <c r="E42" s="232">
        <f>ROUND(HLOOKUP($E$2,bs!$C$1:$AB$110,MATCH(TRIM(B42),TRIM(bs!$B$1:$B$110),0),FALSE),0)/IF(ISNUMBER(SEARCH("亿",$B$1)),100000000,IF(ISNUMBER(SEARCH("万",$B$1)),10000,1))</f>
        <v/>
      </c>
      <c r="F42" s="101">
        <f>E42/$E$45</f>
        <v/>
      </c>
      <c r="G42" s="233">
        <f>ROUND(HLOOKUP($G$2,bs!$C$1:$AB$110,MATCH(TRIM(B42),TRIM(bs!$B$1:$B$110),0),FALSE),0)/IF(ISNUMBER(SEARCH("亿",$B$1)),100000000,IF(ISNUMBER(SEARCH("万",$B$1)),10000,1))</f>
        <v/>
      </c>
      <c r="H42" s="101">
        <f>G42/$G$45</f>
        <v/>
      </c>
      <c r="I42" s="233">
        <f>ROUND(HLOOKUP($I$2,bs!$C$1:$AB$110,MATCH(TRIM(B42),TRIM(bs!$B$1:$B$110),0),FALSE),0)/IF(ISNUMBER(SEARCH("亿",$B$1)),100000000,IF(ISNUMBER(SEARCH("万",$B$1)),10000,1))</f>
        <v/>
      </c>
      <c r="J42" s="101">
        <f>I42/$I$45</f>
        <v/>
      </c>
      <c r="L42" s="103">
        <f>D42+F42+H42+J42</f>
        <v/>
      </c>
      <c r="M42" s="103">
        <f>B42</f>
        <v/>
      </c>
      <c r="N42">
        <f>CONCATENATE(M42,":",$N$2,$N$1,B42,"分别为",TEXT(I42,"#,##0.00"),"万元、",TEXT(G42,"#,##0.00"),"万元、",TEXT(E42,"#,##0.00"),"万元及",TEXT(C42,"#,##0.00"),"万元，","占总资产的比重分别为",TEXT(J42,"0.00%"),"、",TEXT(H42,"0.00%"),"、",TEXT(F42,"0.00%"),"和",TEXT(D42,"0.00%"),"。")</f>
        <v/>
      </c>
    </row>
    <row r="43">
      <c r="B43" s="99" t="inlineStr">
        <is>
          <t>其他非流动资产</t>
        </is>
      </c>
      <c r="C43" s="232">
        <f>ROUND(HLOOKUP($C$2,bs!$C$1:$AB$110,MATCH(TRIM(B43),TRIM(bs!$B$1:$B$110),0),FALSE),0)/IF(ISNUMBER(SEARCH("亿",$B$1)),100000000,IF(ISNUMBER(SEARCH("万",$B$1)),10000,1))</f>
        <v/>
      </c>
      <c r="D43" s="101">
        <f>C43/$C$45</f>
        <v/>
      </c>
      <c r="E43" s="232">
        <f>ROUND(HLOOKUP($E$2,bs!$C$1:$AB$110,MATCH(TRIM(B43),TRIM(bs!$B$1:$B$110),0),FALSE),0)/IF(ISNUMBER(SEARCH("亿",$B$1)),100000000,IF(ISNUMBER(SEARCH("万",$B$1)),10000,1))</f>
        <v/>
      </c>
      <c r="F43" s="101">
        <f>E43/$E$45</f>
        <v/>
      </c>
      <c r="G43" s="233">
        <f>ROUND(HLOOKUP($G$2,bs!$C$1:$AB$110,MATCH(TRIM(B43),TRIM(bs!$B$1:$B$110),0),FALSE),0)/IF(ISNUMBER(SEARCH("亿",$B$1)),100000000,IF(ISNUMBER(SEARCH("万",$B$1)),10000,1))</f>
        <v/>
      </c>
      <c r="H43" s="101">
        <f>G43/$G$45</f>
        <v/>
      </c>
      <c r="I43" s="233">
        <f>ROUND(HLOOKUP($I$2,bs!$C$1:$AB$110,MATCH(TRIM(B43),TRIM(bs!$B$1:$B$110),0),FALSE),0)/IF(ISNUMBER(SEARCH("亿",$B$1)),100000000,IF(ISNUMBER(SEARCH("万",$B$1)),10000,1))</f>
        <v/>
      </c>
      <c r="J43" s="101">
        <f>I43/$I$45</f>
        <v/>
      </c>
      <c r="L43" s="103">
        <f>D43+F43+H43+J43</f>
        <v/>
      </c>
      <c r="M43" s="103">
        <f>B43</f>
        <v/>
      </c>
      <c r="N43">
        <f>CONCATENATE(M43,":",$N$2,$N$1,B43,"分别为",TEXT(I43,"#,##0.00"),"万元、",TEXT(G43,"#,##0.00"),"万元、",TEXT(E43,"#,##0.00"),"万元及",TEXT(C43,"#,##0.00"),"万元，","占总资产的比重分别为",TEXT(J43,"0.00%"),"、",TEXT(H43,"0.00%"),"、",TEXT(F43,"0.00%"),"和",TEXT(D43,"0.00%"),"。")</f>
        <v/>
      </c>
      <c r="P43" t="n">
        <v>0</v>
      </c>
    </row>
    <row r="44">
      <c r="B44" s="104" t="inlineStr">
        <is>
          <t>非流动资产合计</t>
        </is>
      </c>
      <c r="C44" s="232">
        <f>ROUND(HLOOKUP($C$2,bs!$C$1:$AB$110,MATCH(TRIM(B44),TRIM(bs!$B$1:$B$110),0),FALSE),0)/IF(ISNUMBER(SEARCH("亿",$B$1)),100000000,IF(ISNUMBER(SEARCH("万",$B$1)),10000,1))</f>
        <v/>
      </c>
      <c r="D44" s="105">
        <f>C44/$C$45</f>
        <v/>
      </c>
      <c r="E44" s="232">
        <f>ROUND(HLOOKUP($E$2,bs!$C$1:$AB$110,MATCH(TRIM(B44),TRIM(bs!$B$1:$B$110),0),FALSE),0)/IF(ISNUMBER(SEARCH("亿",$B$1)),100000000,IF(ISNUMBER(SEARCH("万",$B$1)),10000,1))</f>
        <v/>
      </c>
      <c r="F44" s="105">
        <f>E44/$E$45</f>
        <v/>
      </c>
      <c r="G44" s="233">
        <f>ROUND(HLOOKUP($G$2,bs!$C$1:$AB$110,MATCH(TRIM(B44),TRIM(bs!$B$1:$B$110),0),FALSE),0)/IF(ISNUMBER(SEARCH("亿",$B$1)),100000000,IF(ISNUMBER(SEARCH("万",$B$1)),10000,1))</f>
        <v/>
      </c>
      <c r="H44" s="105">
        <f>G44/$G$45</f>
        <v/>
      </c>
      <c r="I44" s="233">
        <f>ROUND(HLOOKUP($I$2,bs!$C$1:$AB$110,MATCH(TRIM(B44),TRIM(bs!$B$1:$B$110),0),FALSE),0)/IF(ISNUMBER(SEARCH("亿",$B$1)),100000000,IF(ISNUMBER(SEARCH("万",$B$1)),10000,1))</f>
        <v/>
      </c>
      <c r="J44" s="105">
        <f>I44/$I$45</f>
        <v/>
      </c>
      <c r="L44" s="103">
        <f>D44+F44+H44+J44</f>
        <v/>
      </c>
      <c r="M44" s="103">
        <f>B44</f>
        <v/>
      </c>
      <c r="O44">
        <f>CONCATENATE($N$2,N1,M44,"分别为",TEXT(I44,"#,##0.00"),"万元、",TEXT(G44,"#,##0.00"),"万元、",TEXT(E44,"#,##0.00"),"万元及",TEXT(C44,"#,##0.00"),"万元，","占总资产的比重分别为",TEXT(J44,"0.00%"),"、",TEXT(H44,"0.00%"),"、",TEXT(F44,"0.00%"),"和",TEXT(D44,"0.00%"),"。")</f>
        <v/>
      </c>
      <c r="P44" t="n">
        <v>0</v>
      </c>
    </row>
    <row r="45">
      <c r="B45" s="104" t="inlineStr">
        <is>
          <t>资产总计</t>
        </is>
      </c>
      <c r="C45" s="232">
        <f>ROUND(HLOOKUP($C$2,bs!$C$1:$AB$110,MATCH(TRIM(B45),TRIM(bs!$B$1:$B$110),0),FALSE),0)/IF(ISNUMBER(SEARCH("亿",$B$1)),100000000,IF(ISNUMBER(SEARCH("万",$B$1)),10000,1))</f>
        <v/>
      </c>
      <c r="D45" s="105">
        <f>C45/$C$45</f>
        <v/>
      </c>
      <c r="E45" s="232">
        <f>ROUND(HLOOKUP($E$2,bs!$C$1:$AB$110,MATCH(TRIM(B45),TRIM(bs!$B$1:$B$110),0),FALSE),0)/IF(ISNUMBER(SEARCH("亿",$B$1)),100000000,IF(ISNUMBER(SEARCH("万",$B$1)),10000,1))</f>
        <v/>
      </c>
      <c r="F45" s="105">
        <f>E45/$E$45</f>
        <v/>
      </c>
      <c r="G45" s="233">
        <f>ROUND(HLOOKUP($G$2,bs!$C$1:$AB$110,MATCH(TRIM(B45),TRIM(bs!$B$1:$B$110),0),FALSE),0)/IF(ISNUMBER(SEARCH("亿",$B$1)),100000000,IF(ISNUMBER(SEARCH("万",$B$1)),10000,1))</f>
        <v/>
      </c>
      <c r="H45" s="105">
        <f>G45/$G$45</f>
        <v/>
      </c>
      <c r="I45" s="233">
        <f>ROUND(HLOOKUP($I$2,bs!$C$1:$AB$110,MATCH(TRIM(B45),TRIM(bs!$B$1:$B$110),0),FALSE),0)/IF(ISNUMBER(SEARCH("亿",$B$1)),100000000,IF(ISNUMBER(SEARCH("万",$B$1)),10000,1))</f>
        <v/>
      </c>
      <c r="J45" s="105">
        <f>I45/$I$45</f>
        <v/>
      </c>
      <c r="L45" s="103">
        <f>D45+F45+H45+J45</f>
        <v/>
      </c>
      <c r="M45" s="103">
        <f>B45</f>
        <v/>
      </c>
      <c r="O45">
        <f>CONCATENATE($N$2,N1,M45,"分别为",TEXT(I45,"#,##0.00"),"万元、",TEXT(G45,"#,##0.00"),"万元、",TEXT(E45,"#,##0.00"),"万元及",TEXT(C45,"#,##0.00"),"万元，","占总资产的比重分别为",TEXT(J45,"0.00%"),"、",TEXT(H45,"0.00%"),"、",TEXT(F45,"0.00%"),"和",TEXT(D45,"0.00%"),"。")</f>
        <v/>
      </c>
      <c r="P45" t="n">
        <v>0</v>
      </c>
    </row>
    <row r="46">
      <c r="B46" s="107" t="n"/>
      <c r="C46" s="108" t="n"/>
      <c r="D46" s="109" t="n"/>
      <c r="E46" s="108" t="n"/>
      <c r="F46" s="109" t="n"/>
      <c r="G46" s="110" t="n"/>
      <c r="H46" s="109" t="n"/>
      <c r="I46" s="110">
        <f>B1</f>
        <v/>
      </c>
      <c r="J46" s="109" t="n"/>
      <c r="L46" s="103" t="n"/>
      <c r="M46" s="103" t="n"/>
      <c r="P46" t="n">
        <v>0</v>
      </c>
    </row>
    <row r="47">
      <c r="B47" s="104" t="inlineStr">
        <is>
          <t>项目</t>
        </is>
      </c>
      <c r="C47" s="96">
        <f>C2</f>
        <v/>
      </c>
      <c r="D47" s="3" t="n"/>
      <c r="E47" s="96">
        <f>E2</f>
        <v/>
      </c>
      <c r="F47" s="3" t="n"/>
      <c r="G47" s="96">
        <f>G2</f>
        <v/>
      </c>
      <c r="H47" s="3" t="n"/>
      <c r="I47" s="96">
        <f>I2</f>
        <v/>
      </c>
      <c r="J47" s="3" t="n"/>
      <c r="L47" s="103" t="n"/>
      <c r="M47" s="103" t="n"/>
      <c r="P47" t="n">
        <v>0</v>
      </c>
    </row>
    <row r="48">
      <c r="B48" s="57" t="n"/>
      <c r="C48" s="98" t="inlineStr">
        <is>
          <t>金额</t>
        </is>
      </c>
      <c r="D48" s="98" t="inlineStr">
        <is>
          <t>占比</t>
        </is>
      </c>
      <c r="E48" s="98" t="inlineStr">
        <is>
          <t>金额</t>
        </is>
      </c>
      <c r="F48" s="98" t="inlineStr">
        <is>
          <t>占比</t>
        </is>
      </c>
      <c r="G48" s="98" t="inlineStr">
        <is>
          <t>金额</t>
        </is>
      </c>
      <c r="H48" s="98" t="inlineStr">
        <is>
          <t>占比</t>
        </is>
      </c>
      <c r="I48" s="98" t="inlineStr">
        <is>
          <t>金额</t>
        </is>
      </c>
      <c r="J48" s="98" t="inlineStr">
        <is>
          <t>占比</t>
        </is>
      </c>
      <c r="L48" s="103" t="n"/>
      <c r="M48" s="103" t="n"/>
      <c r="P48" t="n">
        <v>0</v>
      </c>
    </row>
    <row r="49">
      <c r="B49" s="99" t="inlineStr">
        <is>
          <t>短期借款</t>
        </is>
      </c>
      <c r="C49" s="232">
        <f>ROUND(HLOOKUP($C$2,bs!$C$1:$AB$110,MATCH(TRIM(B49),TRIM(bs!$B$1:$B$110),0),FALSE),0)/IF(ISNUMBER(SEARCH("亿",$B$1)),100000000,IF(ISNUMBER(SEARCH("万",$B$1)),10000,1))</f>
        <v/>
      </c>
      <c r="D49" s="101">
        <f>C49/$C$80</f>
        <v/>
      </c>
      <c r="E49" s="232">
        <f>ROUND(HLOOKUP($E$2,bs!$C$1:$AB$110,MATCH(TRIM(B49),TRIM(bs!$B$1:$B$110),0),FALSE),0)/IF(ISNUMBER(SEARCH("亿",$B$1)),100000000,IF(ISNUMBER(SEARCH("万",$B$1)),10000,1))</f>
        <v/>
      </c>
      <c r="F49" s="101">
        <f>E49/$E$80</f>
        <v/>
      </c>
      <c r="G49" s="233">
        <f>ROUND(HLOOKUP($G$2,bs!$C$1:$AB$110,MATCH(TRIM(B49),TRIM(bs!$B$1:$B$110),0),FALSE),0)/IF(ISNUMBER(SEARCH("亿",$B$1)),100000000,IF(ISNUMBER(SEARCH("万",$B$1)),10000,1))</f>
        <v/>
      </c>
      <c r="H49" s="101">
        <f>G49/$G$80</f>
        <v/>
      </c>
      <c r="I49" s="233">
        <f>ROUND(HLOOKUP($I$2,bs!$C$1:$AB$110,MATCH(TRIM(B49),TRIM(bs!$B$1:$B$110),0),FALSE),0)/IF(ISNUMBER(SEARCH("亿",$B$1)),100000000,IF(ISNUMBER(SEARCH("万",$B$1)),10000,1))</f>
        <v/>
      </c>
      <c r="J49" s="101">
        <f>I49/$I$80</f>
        <v/>
      </c>
      <c r="L49" s="103">
        <f>D49+F49+H49+J49</f>
        <v/>
      </c>
      <c r="M49" s="103">
        <f>B49</f>
        <v/>
      </c>
      <c r="N49">
        <f>CONCATENATE(M49,":",$N$2,$N$1,B49,"分别为",TEXT(I49,"#,##0.00"),"万元、",TEXT(G49,"#,##0.00"),"万元、",TEXT(E49,"#,##0.00"),"万元及",TEXT(C49,"#,##0.00"),"万元，","占总负债的比重分别为",TEXT(J49,"0.00%"),"、",TEXT(H49,"0.00%"),"、",TEXT(F49,"0.00%"),"和",TEXT(D49,"0.00%"),"。")</f>
        <v/>
      </c>
      <c r="P49" t="n">
        <v>0</v>
      </c>
    </row>
    <row r="50">
      <c r="B50" s="99" t="inlineStr">
        <is>
          <t>交易性金融负债</t>
        </is>
      </c>
      <c r="C50" s="232">
        <f>ROUND(HLOOKUP($C$2,bs!$C$1:$AB$110,MATCH(TRIM(B50),TRIM(bs!$B$1:$B$110),0),FALSE),0)/IF(ISNUMBER(SEARCH("亿",$B$1)),100000000,IF(ISNUMBER(SEARCH("万",$B$1)),10000,1))</f>
        <v/>
      </c>
      <c r="D50" s="101">
        <f>C50/$C$80</f>
        <v/>
      </c>
      <c r="E50" s="232">
        <f>ROUND(HLOOKUP($E$2,bs!$C$1:$AB$110,MATCH(TRIM(B50),TRIM(bs!$B$1:$B$110),0),FALSE),0)/IF(ISNUMBER(SEARCH("亿",$B$1)),100000000,IF(ISNUMBER(SEARCH("万",$B$1)),10000,1))</f>
        <v/>
      </c>
      <c r="F50" s="101">
        <f>E50/$E$80</f>
        <v/>
      </c>
      <c r="G50" s="233">
        <f>ROUND(HLOOKUP($G$2,bs!$C$1:$AB$110,MATCH(TRIM(B50),TRIM(bs!$B$1:$B$110),0),FALSE),0)/IF(ISNUMBER(SEARCH("亿",$B$1)),100000000,IF(ISNUMBER(SEARCH("万",$B$1)),10000,1))</f>
        <v/>
      </c>
      <c r="H50" s="101">
        <f>G50/$G$80</f>
        <v/>
      </c>
      <c r="I50" s="233">
        <f>ROUND(HLOOKUP($I$2,bs!$C$1:$AB$110,MATCH(TRIM(B50),TRIM(bs!$B$1:$B$110),0),FALSE),0)/IF(ISNUMBER(SEARCH("亿",$B$1)),100000000,IF(ISNUMBER(SEARCH("万",$B$1)),10000,1))</f>
        <v/>
      </c>
      <c r="J50" s="101">
        <f>I50/$I$80</f>
        <v/>
      </c>
      <c r="L50" s="103">
        <f>D50+F50+H50+J50</f>
        <v/>
      </c>
      <c r="M50" s="103">
        <f>B50</f>
        <v/>
      </c>
      <c r="N50">
        <f>CONCATENATE(M50,":",$N$2,$N$1,B50,"分别为",TEXT(I50,"#,##0.00"),"万元、",TEXT(G50,"#,##0.00"),"万元、",TEXT(E50,"#,##0.00"),"万元及",TEXT(C50,"#,##0.00"),"万元，","占总负债的比重分别为",TEXT(J50,"0.00%"),"、",TEXT(H50,"0.00%"),"、",TEXT(F50,"0.00%"),"和",TEXT(D50,"0.00%"),"。")</f>
        <v/>
      </c>
    </row>
    <row r="51">
      <c r="B51" s="99" t="inlineStr">
        <is>
          <t xml:space="preserve">  衍生金融负债 </t>
        </is>
      </c>
      <c r="C51" s="232">
        <f>ROUND(HLOOKUP($C$2,bs!$C$1:$AB$110,MATCH(TRIM(B51),TRIM(bs!$B$1:$B$110),0),FALSE),0)/IF(ISNUMBER(SEARCH("亿",$B$1)),100000000,IF(ISNUMBER(SEARCH("万",$B$1)),10000,1))</f>
        <v/>
      </c>
      <c r="D51" s="101">
        <f>C51/$C$80</f>
        <v/>
      </c>
      <c r="E51" s="232">
        <f>ROUND(HLOOKUP($E$2,bs!$C$1:$AB$110,MATCH(TRIM(B51),TRIM(bs!$B$1:$B$110),0),FALSE),0)/IF(ISNUMBER(SEARCH("亿",$B$1)),100000000,IF(ISNUMBER(SEARCH("万",$B$1)),10000,1))</f>
        <v/>
      </c>
      <c r="F51" s="101">
        <f>E51/$E$80</f>
        <v/>
      </c>
      <c r="G51" s="233">
        <f>ROUND(HLOOKUP($G$2,bs!$C$1:$AB$110,MATCH(TRIM(B51),TRIM(bs!$B$1:$B$110),0),FALSE),0)/IF(ISNUMBER(SEARCH("亿",$B$1)),100000000,IF(ISNUMBER(SEARCH("万",$B$1)),10000,1))</f>
        <v/>
      </c>
      <c r="H51" s="101">
        <f>G51/$G$80</f>
        <v/>
      </c>
      <c r="I51" s="233">
        <f>ROUND(HLOOKUP($I$2,bs!$C$1:$AB$110,MATCH(TRIM(B51),TRIM(bs!$B$1:$B$110),0),FALSE),0)/IF(ISNUMBER(SEARCH("亿",$B$1)),100000000,IF(ISNUMBER(SEARCH("万",$B$1)),10000,1))</f>
        <v/>
      </c>
      <c r="J51" s="101">
        <f>I51/$I$80</f>
        <v/>
      </c>
      <c r="L51" s="103">
        <f>D51+F51+H51+J51</f>
        <v/>
      </c>
      <c r="M51" s="103">
        <f>B51</f>
        <v/>
      </c>
      <c r="N51">
        <f>CONCATENATE(M51,":",$N$2,$N$1,B51,"分别为",TEXT(I51,"#,##0.00"),"万元、",TEXT(G51,"#,##0.00"),"万元、",TEXT(E51,"#,##0.00"),"万元及",TEXT(C51,"#,##0.00"),"万元，","占总负债的比重分别为",TEXT(J51,"0.00%"),"、",TEXT(H51,"0.00%"),"、",TEXT(F51,"0.00%"),"和",TEXT(D51,"0.00%"),"。")</f>
        <v/>
      </c>
    </row>
    <row r="52">
      <c r="B52" s="99" t="inlineStr">
        <is>
          <t>应付票据</t>
        </is>
      </c>
      <c r="C52" s="232">
        <f>ROUND(HLOOKUP($C$2,bs!$C$1:$AB$110,MATCH(TRIM(B52),TRIM(bs!$B$1:$B$110),0),FALSE),0)/IF(ISNUMBER(SEARCH("亿",$B$1)),100000000,IF(ISNUMBER(SEARCH("万",$B$1)),10000,1))</f>
        <v/>
      </c>
      <c r="D52" s="101">
        <f>C52/$C$80</f>
        <v/>
      </c>
      <c r="E52" s="232">
        <f>ROUND(HLOOKUP($E$2,bs!$C$1:$AB$110,MATCH(TRIM(B52),TRIM(bs!$B$1:$B$110),0),FALSE),0)/IF(ISNUMBER(SEARCH("亿",$B$1)),100000000,IF(ISNUMBER(SEARCH("万",$B$1)),10000,1))</f>
        <v/>
      </c>
      <c r="F52" s="101">
        <f>E52/$E$80</f>
        <v/>
      </c>
      <c r="G52" s="233">
        <f>ROUND(HLOOKUP($G$2,bs!$C$1:$AB$110,MATCH(TRIM(B52),TRIM(bs!$B$1:$B$110),0),FALSE),0)/IF(ISNUMBER(SEARCH("亿",$B$1)),100000000,IF(ISNUMBER(SEARCH("万",$B$1)),10000,1))</f>
        <v/>
      </c>
      <c r="H52" s="101">
        <f>G52/$G$80</f>
        <v/>
      </c>
      <c r="I52" s="233">
        <f>ROUND(HLOOKUP($I$2,bs!$C$1:$AB$110,MATCH(TRIM(B52),TRIM(bs!$B$1:$B$110),0),FALSE),0)/IF(ISNUMBER(SEARCH("亿",$B$1)),100000000,IF(ISNUMBER(SEARCH("万",$B$1)),10000,1))</f>
        <v/>
      </c>
      <c r="J52" s="101">
        <f>I52/$I$80</f>
        <v/>
      </c>
      <c r="L52" s="103">
        <f>D52+F52+H52+J52</f>
        <v/>
      </c>
      <c r="M52" s="103">
        <f>B52</f>
        <v/>
      </c>
      <c r="N52">
        <f>CONCATENATE(M52,":",$N$2,$N$1,B52,"分别为",TEXT(I52,"#,##0.00"),"万元、",TEXT(G52,"#,##0.00"),"万元、",TEXT(E52,"#,##0.00"),"万元及",TEXT(C52,"#,##0.00"),"万元，","占总负债的比重分别为",TEXT(J52,"0.00%"),"、",TEXT(H52,"0.00%"),"、",TEXT(F52,"0.00%"),"和",TEXT(D52,"0.00%"),"。")</f>
        <v/>
      </c>
    </row>
    <row r="53">
      <c r="B53" s="99" t="inlineStr">
        <is>
          <t>应付账款</t>
        </is>
      </c>
      <c r="C53" s="232">
        <f>ROUND(HLOOKUP($C$2,bs!$C$1:$AB$110,MATCH(TRIM(B53),TRIM(bs!$B$1:$B$110),0),FALSE),0)/IF(ISNUMBER(SEARCH("亿",$B$1)),100000000,IF(ISNUMBER(SEARCH("万",$B$1)),10000,1))</f>
        <v/>
      </c>
      <c r="D53" s="101">
        <f>C53/$C$80</f>
        <v/>
      </c>
      <c r="E53" s="232">
        <f>ROUND(HLOOKUP($E$2,bs!$C$1:$AB$110,MATCH(TRIM(B53),TRIM(bs!$B$1:$B$110),0),FALSE),0)/IF(ISNUMBER(SEARCH("亿",$B$1)),100000000,IF(ISNUMBER(SEARCH("万",$B$1)),10000,1))</f>
        <v/>
      </c>
      <c r="F53" s="101">
        <f>E53/$E$80</f>
        <v/>
      </c>
      <c r="G53" s="233">
        <f>ROUND(HLOOKUP($G$2,bs!$C$1:$AB$110,MATCH(TRIM(B53),TRIM(bs!$B$1:$B$110),0),FALSE),0)/IF(ISNUMBER(SEARCH("亿",$B$1)),100000000,IF(ISNUMBER(SEARCH("万",$B$1)),10000,1))</f>
        <v/>
      </c>
      <c r="H53" s="101">
        <f>G53/$G$80</f>
        <v/>
      </c>
      <c r="I53" s="233">
        <f>ROUND(HLOOKUP($I$2,bs!$C$1:$AB$110,MATCH(TRIM(B53),TRIM(bs!$B$1:$B$110),0),FALSE),0)/IF(ISNUMBER(SEARCH("亿",$B$1)),100000000,IF(ISNUMBER(SEARCH("万",$B$1)),10000,1))</f>
        <v/>
      </c>
      <c r="J53" s="101">
        <f>I53/$I$80</f>
        <v/>
      </c>
      <c r="L53" s="103">
        <f>D53+F53+H53+J53</f>
        <v/>
      </c>
      <c r="M53" s="103">
        <f>B53</f>
        <v/>
      </c>
      <c r="N53">
        <f>CONCATENATE(M53,":",$N$2,$N$1,B53,"分别为",TEXT(I53,"#,##0.00"),"万元、",TEXT(G53,"#,##0.00"),"万元、",TEXT(E53,"#,##0.00"),"万元及",TEXT(C53,"#,##0.00"),"万元，","占总负债的比重分别为",TEXT(J53,"0.00%"),"、",TEXT(H53,"0.00%"),"、",TEXT(F53,"0.00%"),"和",TEXT(D53,"0.00%"),"。")</f>
        <v/>
      </c>
      <c r="P53" t="n">
        <v>0</v>
      </c>
    </row>
    <row r="54">
      <c r="B54" s="99" t="inlineStr">
        <is>
          <t xml:space="preserve">  预收款项 </t>
        </is>
      </c>
      <c r="C54" s="232">
        <f>ROUND(HLOOKUP($C$2,bs!$C$1:$AB$110,MATCH(TRIM(B54),TRIM(bs!$B$1:$B$110),0),FALSE),0)/IF(ISNUMBER(SEARCH("亿",$B$1)),100000000,IF(ISNUMBER(SEARCH("万",$B$1)),10000,1))</f>
        <v/>
      </c>
      <c r="D54" s="101">
        <f>C54/$C$80</f>
        <v/>
      </c>
      <c r="E54" s="232">
        <f>ROUND(HLOOKUP($E$2,bs!$C$1:$AB$110,MATCH(TRIM(B54),TRIM(bs!$B$1:$B$110),0),FALSE),0)/IF(ISNUMBER(SEARCH("亿",$B$1)),100000000,IF(ISNUMBER(SEARCH("万",$B$1)),10000,1))</f>
        <v/>
      </c>
      <c r="F54" s="101">
        <f>E54/$E$80</f>
        <v/>
      </c>
      <c r="G54" s="233">
        <f>ROUND(HLOOKUP($G$2,bs!$C$1:$AB$110,MATCH(TRIM(B54),TRIM(bs!$B$1:$B$110),0),FALSE),0)/IF(ISNUMBER(SEARCH("亿",$B$1)),100000000,IF(ISNUMBER(SEARCH("万",$B$1)),10000,1))</f>
        <v/>
      </c>
      <c r="H54" s="101">
        <f>G54/$G$80</f>
        <v/>
      </c>
      <c r="I54" s="233">
        <f>ROUND(HLOOKUP($I$2,bs!$C$1:$AB$110,MATCH(TRIM(B54),TRIM(bs!$B$1:$B$110),0),FALSE),0)/IF(ISNUMBER(SEARCH("亿",$B$1)),100000000,IF(ISNUMBER(SEARCH("万",$B$1)),10000,1))</f>
        <v/>
      </c>
      <c r="J54" s="101">
        <f>I54/$I$80</f>
        <v/>
      </c>
      <c r="L54" s="103">
        <f>D54+F54+H54+J54</f>
        <v/>
      </c>
      <c r="M54" s="103">
        <f>B54</f>
        <v/>
      </c>
      <c r="N54">
        <f>CONCATENATE(M54,":",$N$2,$N$1,B54,"分别为",TEXT(I54,"#,##0.00"),"万元、",TEXT(G54,"#,##0.00"),"万元、",TEXT(E54,"#,##0.00"),"万元及",TEXT(C54,"#,##0.00"),"万元，","占总负债的比重分别为",TEXT(J54,"0.00%"),"、",TEXT(H54,"0.00%"),"、",TEXT(F54,"0.00%"),"和",TEXT(D54,"0.00%"),"。")</f>
        <v/>
      </c>
    </row>
    <row r="55">
      <c r="B55" s="99" t="inlineStr">
        <is>
          <t>合同负债</t>
        </is>
      </c>
      <c r="C55" s="232">
        <f>ROUND(HLOOKUP($C$2,bs!$C$1:$AB$110,MATCH(TRIM(B55),TRIM(bs!$B$1:$B$110),0),FALSE),0)/IF(ISNUMBER(SEARCH("亿",$B$1)),100000000,IF(ISNUMBER(SEARCH("万",$B$1)),10000,1))</f>
        <v/>
      </c>
      <c r="D55" s="101">
        <f>C55/$C$80</f>
        <v/>
      </c>
      <c r="E55" s="232">
        <f>ROUND(HLOOKUP($E$2,bs!$C$1:$AB$110,MATCH(TRIM(B55),TRIM(bs!$B$1:$B$110),0),FALSE),0)/IF(ISNUMBER(SEARCH("亿",$B$1)),100000000,IF(ISNUMBER(SEARCH("万",$B$1)),10000,1))</f>
        <v/>
      </c>
      <c r="F55" s="101">
        <f>E55/$E$80</f>
        <v/>
      </c>
      <c r="G55" s="233">
        <f>ROUND(HLOOKUP($G$2,bs!$C$1:$AB$110,MATCH(TRIM(B55),TRIM(bs!$B$1:$B$110),0),FALSE),0)/IF(ISNUMBER(SEARCH("亿",$B$1)),100000000,IF(ISNUMBER(SEARCH("万",$B$1)),10000,1))</f>
        <v/>
      </c>
      <c r="H55" s="101">
        <f>G55/$G$80</f>
        <v/>
      </c>
      <c r="I55" s="233">
        <f>ROUND(HLOOKUP($I$2,bs!$C$1:$AB$110,MATCH(TRIM(B55),TRIM(bs!$B$1:$B$110),0),FALSE),0)/IF(ISNUMBER(SEARCH("亿",$B$1)),100000000,IF(ISNUMBER(SEARCH("万",$B$1)),10000,1))</f>
        <v/>
      </c>
      <c r="J55" s="101">
        <f>I55/$I$80</f>
        <v/>
      </c>
      <c r="L55" s="103">
        <f>D55+F55+H55+J55</f>
        <v/>
      </c>
      <c r="M55" s="103">
        <f>B55</f>
        <v/>
      </c>
      <c r="N55">
        <f>CONCATENATE(M55,":",$N$2,$N$1,B55,"分别为",TEXT(I55,"#,##0.00"),"万元、",TEXT(G55,"#,##0.00"),"万元、",TEXT(E55,"#,##0.00"),"万元及",TEXT(C55,"#,##0.00"),"万元，","占总负债的比重分别为",TEXT(J55,"0.00%"),"、",TEXT(H55,"0.00%"),"、",TEXT(F55,"0.00%"),"和",TEXT(D55,"0.00%"),"。")</f>
        <v/>
      </c>
    </row>
    <row r="56">
      <c r="B56" s="99" t="inlineStr">
        <is>
          <t>应付职工薪酬</t>
        </is>
      </c>
      <c r="C56" s="232">
        <f>ROUND(HLOOKUP($C$2,bs!$C$1:$AB$110,MATCH(TRIM(B56),TRIM(bs!$B$1:$B$110),0),FALSE),0)/IF(ISNUMBER(SEARCH("亿",$B$1)),100000000,IF(ISNUMBER(SEARCH("万",$B$1)),10000,1))</f>
        <v/>
      </c>
      <c r="D56" s="101">
        <f>C56/$C$80</f>
        <v/>
      </c>
      <c r="E56" s="232">
        <f>ROUND(HLOOKUP($E$2,bs!$C$1:$AB$110,MATCH(TRIM(B56),TRIM(bs!$B$1:$B$110),0),FALSE),0)/IF(ISNUMBER(SEARCH("亿",$B$1)),100000000,IF(ISNUMBER(SEARCH("万",$B$1)),10000,1))</f>
        <v/>
      </c>
      <c r="F56" s="101">
        <f>E56/$E$80</f>
        <v/>
      </c>
      <c r="G56" s="233">
        <f>ROUND(HLOOKUP($G$2,bs!$C$1:$AB$110,MATCH(TRIM(B56),TRIM(bs!$B$1:$B$110),0),FALSE),0)/IF(ISNUMBER(SEARCH("亿",$B$1)),100000000,IF(ISNUMBER(SEARCH("万",$B$1)),10000,1))</f>
        <v/>
      </c>
      <c r="H56" s="101">
        <f>G56/$G$80</f>
        <v/>
      </c>
      <c r="I56" s="233">
        <f>ROUND(HLOOKUP($I$2,bs!$C$1:$AB$110,MATCH(TRIM(B56),TRIM(bs!$B$1:$B$110),0),FALSE),0)/IF(ISNUMBER(SEARCH("亿",$B$1)),100000000,IF(ISNUMBER(SEARCH("万",$B$1)),10000,1))</f>
        <v/>
      </c>
      <c r="J56" s="101">
        <f>I56/$I$80</f>
        <v/>
      </c>
      <c r="L56" s="103">
        <f>D56+F56+H56+J56</f>
        <v/>
      </c>
      <c r="M56" s="103">
        <f>B56</f>
        <v/>
      </c>
      <c r="N56">
        <f>CONCATENATE(M56,":",$N$2,$N$1,B56,"分别为",TEXT(I56,"#,##0.00"),"万元、",TEXT(G56,"#,##0.00"),"万元、",TEXT(E56,"#,##0.00"),"万元及",TEXT(C56,"#,##0.00"),"万元，","占总负债的比重分别为",TEXT(J56,"0.00%"),"、",TEXT(H56,"0.00%"),"、",TEXT(F56,"0.00%"),"和",TEXT(D56,"0.00%"),"。")</f>
        <v/>
      </c>
      <c r="P56" t="n">
        <v>0</v>
      </c>
    </row>
    <row r="57">
      <c r="B57" s="99" t="inlineStr">
        <is>
          <t xml:space="preserve">  应交税费 </t>
        </is>
      </c>
      <c r="C57" s="232">
        <f>ROUND(HLOOKUP($C$2,bs!$C$1:$AB$110,MATCH(TRIM(B57),TRIM(bs!$B$1:$B$110),0),FALSE),0)/IF(ISNUMBER(SEARCH("亿",$B$1)),100000000,IF(ISNUMBER(SEARCH("万",$B$1)),10000,1))</f>
        <v/>
      </c>
      <c r="D57" s="101">
        <f>C57/$C$80</f>
        <v/>
      </c>
      <c r="E57" s="232">
        <f>ROUND(HLOOKUP($E$2,bs!$C$1:$AB$110,MATCH(TRIM(B57),TRIM(bs!$B$1:$B$110),0),FALSE),0)/IF(ISNUMBER(SEARCH("亿",$B$1)),100000000,IF(ISNUMBER(SEARCH("万",$B$1)),10000,1))</f>
        <v/>
      </c>
      <c r="F57" s="101">
        <f>E57/$E$80</f>
        <v/>
      </c>
      <c r="G57" s="233">
        <f>ROUND(HLOOKUP($G$2,bs!$C$1:$AB$110,MATCH(TRIM(B57),TRIM(bs!$B$1:$B$110),0),FALSE),0)/IF(ISNUMBER(SEARCH("亿",$B$1)),100000000,IF(ISNUMBER(SEARCH("万",$B$1)),10000,1))</f>
        <v/>
      </c>
      <c r="H57" s="101">
        <f>G57/$G$80</f>
        <v/>
      </c>
      <c r="I57" s="233">
        <f>ROUND(HLOOKUP($I$2,bs!$C$1:$AB$110,MATCH(TRIM(B57),TRIM(bs!$B$1:$B$110),0),FALSE),0)/IF(ISNUMBER(SEARCH("亿",$B$1)),100000000,IF(ISNUMBER(SEARCH("万",$B$1)),10000,1))</f>
        <v/>
      </c>
      <c r="J57" s="101">
        <f>I57/$I$80</f>
        <v/>
      </c>
      <c r="L57" s="103">
        <f>D57+F57+H57+J57</f>
        <v/>
      </c>
      <c r="M57" s="103">
        <f>B57</f>
        <v/>
      </c>
      <c r="N57">
        <f>CONCATENATE(M57,":",$N$2,$N$1,B57,"分别为",TEXT(I57,"#,##0.00"),"万元、",TEXT(G57,"#,##0.00"),"万元、",TEXT(E57,"#,##0.00"),"万元及",TEXT(C57,"#,##0.00"),"万元，","占总负债的比重分别为",TEXT(J57,"0.00%"),"、",TEXT(H57,"0.00%"),"、",TEXT(F57,"0.00%"),"和",TEXT(D57,"0.00%"),"。")</f>
        <v/>
      </c>
      <c r="P57" t="n">
        <v>0</v>
      </c>
    </row>
    <row r="58">
      <c r="B58" s="99" t="inlineStr">
        <is>
          <t>其他应付款</t>
        </is>
      </c>
      <c r="C58" s="232">
        <f>ROUND(HLOOKUP($C$2,bs!$C$1:$AB$110,MATCH(TRIM(B58),TRIM(bs!$B$1:$B$110),0),FALSE),0)/IF(ISNUMBER(SEARCH("亿",$B$1)),100000000,IF(ISNUMBER(SEARCH("万",$B$1)),10000,1))</f>
        <v/>
      </c>
      <c r="D58" s="101">
        <f>C58/$C$80</f>
        <v/>
      </c>
      <c r="E58" s="232">
        <f>ROUND(HLOOKUP($E$2,bs!$C$1:$AB$110,MATCH(TRIM(B58),TRIM(bs!$B$1:$B$110),0),FALSE),0)/IF(ISNUMBER(SEARCH("亿",$B$1)),100000000,IF(ISNUMBER(SEARCH("万",$B$1)),10000,1))</f>
        <v/>
      </c>
      <c r="F58" s="101">
        <f>E58/$E$80</f>
        <v/>
      </c>
      <c r="G58" s="233">
        <f>ROUND(HLOOKUP($G$2,bs!$C$1:$AB$110,MATCH(TRIM(B58),TRIM(bs!$B$1:$B$110),0),FALSE),0)/IF(ISNUMBER(SEARCH("亿",$B$1)),100000000,IF(ISNUMBER(SEARCH("万",$B$1)),10000,1))</f>
        <v/>
      </c>
      <c r="H58" s="101">
        <f>G58/$G$80</f>
        <v/>
      </c>
      <c r="I58" s="233">
        <f>ROUND(HLOOKUP($I$2,bs!$C$1:$AB$110,MATCH(TRIM(B58),TRIM(bs!$B$1:$B$110),0),FALSE),0)/IF(ISNUMBER(SEARCH("亿",$B$1)),100000000,IF(ISNUMBER(SEARCH("万",$B$1)),10000,1))</f>
        <v/>
      </c>
      <c r="J58" s="101">
        <f>I58/$I$80</f>
        <v/>
      </c>
      <c r="L58" s="103">
        <f>D58+F58+H58+J58</f>
        <v/>
      </c>
      <c r="M58" s="103">
        <f>B58</f>
        <v/>
      </c>
      <c r="N58">
        <f>CONCATENATE(M58,":",$N$2,$N$1,B58,"分别为",TEXT(I58,"#,##0.00"),"万元、",TEXT(G58,"#,##0.00"),"万元、",TEXT(E58,"#,##0.00"),"万元及",TEXT(C58,"#,##0.00"),"万元，","占总负债的比重分别为",TEXT(J58,"0.00%"),"、",TEXT(H58,"0.00%"),"、",TEXT(F58,"0.00%"),"和",TEXT(D58,"0.00%"),"。")</f>
        <v/>
      </c>
      <c r="P58" t="n">
        <v>0</v>
      </c>
    </row>
    <row r="59">
      <c r="B59" s="99" t="inlineStr">
        <is>
          <t xml:space="preserve">   其中：应付利息</t>
        </is>
      </c>
      <c r="C59" s="232">
        <f>ROUND(HLOOKUP($C$2,bs!$C$1:$AB$110,MATCH(TRIM(B59),TRIM(bs!$B$1:$B$110),0),FALSE),0)/IF(ISNUMBER(SEARCH("亿",$B$1)),100000000,IF(ISNUMBER(SEARCH("万",$B$1)),10000,1))</f>
        <v/>
      </c>
      <c r="D59" s="101">
        <f>C59/$C$80</f>
        <v/>
      </c>
      <c r="E59" s="232">
        <f>ROUND(HLOOKUP($E$2,bs!$C$1:$AB$110,MATCH(TRIM(B59),TRIM(bs!$B$1:$B$110),0),FALSE),0)/IF(ISNUMBER(SEARCH("亿",$B$1)),100000000,IF(ISNUMBER(SEARCH("万",$B$1)),10000,1))</f>
        <v/>
      </c>
      <c r="F59" s="101">
        <f>E59/$E$80</f>
        <v/>
      </c>
      <c r="G59" s="233">
        <f>ROUND(HLOOKUP($G$2,bs!$C$1:$AB$110,MATCH(TRIM(B59),TRIM(bs!$B$1:$B$110),0),FALSE),0)/IF(ISNUMBER(SEARCH("亿",$B$1)),100000000,IF(ISNUMBER(SEARCH("万",$B$1)),10000,1))</f>
        <v/>
      </c>
      <c r="H59" s="101">
        <f>G59/$G$80</f>
        <v/>
      </c>
      <c r="I59" s="233">
        <f>ROUND(HLOOKUP($I$2,bs!$C$1:$AB$110,MATCH(TRIM(B59),TRIM(bs!$B$1:$B$110),0),FALSE),0)/IF(ISNUMBER(SEARCH("亿",$B$1)),100000000,IF(ISNUMBER(SEARCH("万",$B$1)),10000,1))</f>
        <v/>
      </c>
      <c r="J59" s="101">
        <f>I59/$I$80</f>
        <v/>
      </c>
      <c r="L59" s="103">
        <f>D59+F59+H59+J59</f>
        <v/>
      </c>
      <c r="M59" s="103">
        <f>B59</f>
        <v/>
      </c>
      <c r="N59">
        <f>CONCATENATE(M59,":",$N$2,$N$1,B59,"分别为",TEXT(I59,"#,##0.00"),"万元、",TEXT(G59,"#,##0.00"),"万元、",TEXT(E59,"#,##0.00"),"万元及",TEXT(C59,"#,##0.00"),"万元，","占总负债的比重分别为",TEXT(J59,"0.00%"),"、",TEXT(H59,"0.00%"),"、",TEXT(F59,"0.00%"),"和",TEXT(D59,"0.00%"),"。")</f>
        <v/>
      </c>
    </row>
    <row r="60">
      <c r="B60" s="99" t="inlineStr">
        <is>
          <t xml:space="preserve">         应付股利</t>
        </is>
      </c>
      <c r="C60" s="232">
        <f>ROUND(HLOOKUP($C$2,bs!$C$1:$AB$110,MATCH(TRIM(B60),TRIM(bs!$B$1:$B$110),0),FALSE),0)/IF(ISNUMBER(SEARCH("亿",$B$1)),100000000,IF(ISNUMBER(SEARCH("万",$B$1)),10000,1))</f>
        <v/>
      </c>
      <c r="D60" s="101">
        <f>C60/$C$80</f>
        <v/>
      </c>
      <c r="E60" s="232">
        <f>ROUND(HLOOKUP($E$2,bs!$C$1:$AB$110,MATCH(TRIM(B60),TRIM(bs!$B$1:$B$110),0),FALSE),0)/IF(ISNUMBER(SEARCH("亿",$B$1)),100000000,IF(ISNUMBER(SEARCH("万",$B$1)),10000,1))</f>
        <v/>
      </c>
      <c r="F60" s="101">
        <f>E60/$E$80</f>
        <v/>
      </c>
      <c r="G60" s="233">
        <f>ROUND(HLOOKUP($G$2,bs!$C$1:$AB$110,MATCH(TRIM(B60),TRIM(bs!$B$1:$B$110),0),FALSE),0)/IF(ISNUMBER(SEARCH("亿",$B$1)),100000000,IF(ISNUMBER(SEARCH("万",$B$1)),10000,1))</f>
        <v/>
      </c>
      <c r="H60" s="101">
        <f>G60/$G$80</f>
        <v/>
      </c>
      <c r="I60" s="233">
        <f>ROUND(HLOOKUP($I$2,bs!$C$1:$AB$110,MATCH(TRIM(B60),TRIM(bs!$B$1:$B$110),0),FALSE),0)/IF(ISNUMBER(SEARCH("亿",$B$1)),100000000,IF(ISNUMBER(SEARCH("万",$B$1)),10000,1))</f>
        <v/>
      </c>
      <c r="J60" s="101">
        <f>I60/$I$80</f>
        <v/>
      </c>
      <c r="L60" s="103">
        <f>D60+F60+H60+J60</f>
        <v/>
      </c>
      <c r="M60" s="103">
        <f>B60</f>
        <v/>
      </c>
      <c r="N60">
        <f>CONCATENATE(M60,":",$N$2,$N$1,B60,"分别为",TEXT(I60,"#,##0.00"),"万元、",TEXT(G60,"#,##0.00"),"万元、",TEXT(E60,"#,##0.00"),"万元及",TEXT(C60,"#,##0.00"),"万元，","占总负债的比重分别为",TEXT(J60,"0.00%"),"、",TEXT(H60,"0.00%"),"、",TEXT(F60,"0.00%"),"和",TEXT(D60,"0.00%"),"。")</f>
        <v/>
      </c>
    </row>
    <row r="61">
      <c r="B61" s="99" t="inlineStr">
        <is>
          <t xml:space="preserve">  应付手续费及佣金* </t>
        </is>
      </c>
      <c r="C61" s="232">
        <f>ROUND(HLOOKUP($C$2,bs!$C$1:$AB$110,MATCH(TRIM(B61),TRIM(bs!$B$1:$B$110),0),FALSE),0)/IF(ISNUMBER(SEARCH("亿",$B$1)),100000000,IF(ISNUMBER(SEARCH("万",$B$1)),10000,1))</f>
        <v/>
      </c>
      <c r="D61" s="101">
        <f>C61/$C$80</f>
        <v/>
      </c>
      <c r="E61" s="232">
        <f>ROUND(HLOOKUP($E$2,bs!$C$1:$AB$110,MATCH(TRIM(B61),TRIM(bs!$B$1:$B$110),0),FALSE),0)/IF(ISNUMBER(SEARCH("亿",$B$1)),100000000,IF(ISNUMBER(SEARCH("万",$B$1)),10000,1))</f>
        <v/>
      </c>
      <c r="F61" s="101">
        <f>E61/$E$80</f>
        <v/>
      </c>
      <c r="G61" s="233">
        <f>ROUND(HLOOKUP($G$2,bs!$C$1:$AB$110,MATCH(TRIM(B61),TRIM(bs!$B$1:$B$110),0),FALSE),0)/IF(ISNUMBER(SEARCH("亿",$B$1)),100000000,IF(ISNUMBER(SEARCH("万",$B$1)),10000,1))</f>
        <v/>
      </c>
      <c r="H61" s="101">
        <f>G61/$G$80</f>
        <v/>
      </c>
      <c r="I61" s="233">
        <f>ROUND(HLOOKUP($I$2,bs!$C$1:$AB$110,MATCH(TRIM(B61),TRIM(bs!$B$1:$B$110),0),FALSE),0)/IF(ISNUMBER(SEARCH("亿",$B$1)),100000000,IF(ISNUMBER(SEARCH("万",$B$1)),10000,1))</f>
        <v/>
      </c>
      <c r="J61" s="101">
        <f>I61/$I$80</f>
        <v/>
      </c>
      <c r="L61" s="103">
        <f>D61+F61+H61+J61</f>
        <v/>
      </c>
      <c r="M61" s="103">
        <f>B61</f>
        <v/>
      </c>
      <c r="N61">
        <f>CONCATENATE(M61,":",$N$2,$N$1,B61,"分别为",TEXT(I61,"#,##0.00"),"万元、",TEXT(G61,"#,##0.00"),"万元、",TEXT(E61,"#,##0.00"),"万元及",TEXT(C61,"#,##0.00"),"万元，","占总负债的比重分别为",TEXT(J61,"0.00%"),"、",TEXT(H61,"0.00%"),"、",TEXT(F61,"0.00%"),"和",TEXT(D61,"0.00%"),"。")</f>
        <v/>
      </c>
    </row>
    <row r="62">
      <c r="B62" s="99" t="inlineStr">
        <is>
          <t xml:space="preserve">  应付分保账款* </t>
        </is>
      </c>
      <c r="C62" s="232">
        <f>ROUND(HLOOKUP($C$2,bs!$C$1:$AB$110,MATCH(TRIM(B62),TRIM(bs!$B$1:$B$110),0),FALSE),0)/IF(ISNUMBER(SEARCH("亿",$B$1)),100000000,IF(ISNUMBER(SEARCH("万",$B$1)),10000,1))</f>
        <v/>
      </c>
      <c r="D62" s="101">
        <f>C62/$C$80</f>
        <v/>
      </c>
      <c r="E62" s="232">
        <f>ROUND(HLOOKUP($E$2,bs!$C$1:$AB$110,MATCH(TRIM(B62),TRIM(bs!$B$1:$B$110),0),FALSE),0)/IF(ISNUMBER(SEARCH("亿",$B$1)),100000000,IF(ISNUMBER(SEARCH("万",$B$1)),10000,1))</f>
        <v/>
      </c>
      <c r="F62" s="101">
        <f>E62/$E$80</f>
        <v/>
      </c>
      <c r="G62" s="233">
        <f>ROUND(HLOOKUP($G$2,bs!$C$1:$AB$110,MATCH(TRIM(B62),TRIM(bs!$B$1:$B$110),0),FALSE),0)/IF(ISNUMBER(SEARCH("亿",$B$1)),100000000,IF(ISNUMBER(SEARCH("万",$B$1)),10000,1))</f>
        <v/>
      </c>
      <c r="H62" s="101">
        <f>G62/$G$80</f>
        <v/>
      </c>
      <c r="I62" s="233">
        <f>ROUND(HLOOKUP($I$2,bs!$C$1:$AB$110,MATCH(TRIM(B62),TRIM(bs!$B$1:$B$110),0),FALSE),0)/IF(ISNUMBER(SEARCH("亿",$B$1)),100000000,IF(ISNUMBER(SEARCH("万",$B$1)),10000,1))</f>
        <v/>
      </c>
      <c r="J62" s="101">
        <f>I62/$I$80</f>
        <v/>
      </c>
      <c r="L62" s="103">
        <f>D62+F62+H62+J62</f>
        <v/>
      </c>
      <c r="M62" s="103">
        <f>B62</f>
        <v/>
      </c>
      <c r="N62">
        <f>CONCATENATE(M62,":",$N$2,$N$1,B62,"分别为",TEXT(I62,"#,##0.00"),"万元、",TEXT(G62,"#,##0.00"),"万元、",TEXT(E62,"#,##0.00"),"万元及",TEXT(C62,"#,##0.00"),"万元，","占总负债的比重分别为",TEXT(J62,"0.00%"),"、",TEXT(H62,"0.00%"),"、",TEXT(F62,"0.00%"),"和",TEXT(D62,"0.00%"),"。")</f>
        <v/>
      </c>
    </row>
    <row r="63">
      <c r="B63" s="99" t="inlineStr">
        <is>
          <t xml:space="preserve">  持有待售负债 </t>
        </is>
      </c>
      <c r="C63" s="232">
        <f>ROUND(HLOOKUP($C$2,bs!$C$1:$AB$110,MATCH(TRIM(B63),TRIM(bs!$B$1:$B$110),0),FALSE),0)/IF(ISNUMBER(SEARCH("亿",$B$1)),100000000,IF(ISNUMBER(SEARCH("万",$B$1)),10000,1))</f>
        <v/>
      </c>
      <c r="D63" s="101">
        <f>C63/$C$80</f>
        <v/>
      </c>
      <c r="E63" s="232">
        <f>ROUND(HLOOKUP($E$2,bs!$C$1:$AB$110,MATCH(TRIM(B63),TRIM(bs!$B$1:$B$110),0),FALSE),0)/IF(ISNUMBER(SEARCH("亿",$B$1)),100000000,IF(ISNUMBER(SEARCH("万",$B$1)),10000,1))</f>
        <v/>
      </c>
      <c r="F63" s="101">
        <f>E63/$E$80</f>
        <v/>
      </c>
      <c r="G63" s="233">
        <f>ROUND(HLOOKUP($G$2,bs!$C$1:$AB$110,MATCH(TRIM(B63),TRIM(bs!$B$1:$B$110),0),FALSE),0)/IF(ISNUMBER(SEARCH("亿",$B$1)),100000000,IF(ISNUMBER(SEARCH("万",$B$1)),10000,1))</f>
        <v/>
      </c>
      <c r="H63" s="101">
        <f>G63/$G$80</f>
        <v/>
      </c>
      <c r="I63" s="233">
        <f>ROUND(HLOOKUP($I$2,bs!$C$1:$AB$110,MATCH(TRIM(B63),TRIM(bs!$B$1:$B$110),0),FALSE),0)/IF(ISNUMBER(SEARCH("亿",$B$1)),100000000,IF(ISNUMBER(SEARCH("万",$B$1)),10000,1))</f>
        <v/>
      </c>
      <c r="J63" s="101">
        <f>I63/$I$80</f>
        <v/>
      </c>
      <c r="L63" s="103">
        <f>D63+F63+H63+J63</f>
        <v/>
      </c>
      <c r="M63" s="103">
        <f>B63</f>
        <v/>
      </c>
      <c r="N63">
        <f>CONCATENATE(M63,":",$N$2,$N$1,B63,"分别为",TEXT(I63,"#,##0.00"),"万元、",TEXT(G63,"#,##0.00"),"万元、",TEXT(E63,"#,##0.00"),"万元及",TEXT(C63,"#,##0.00"),"万元，","占总负债的比重分别为",TEXT(J63,"0.00%"),"、",TEXT(H63,"0.00%"),"、",TEXT(F63,"0.00%"),"和",TEXT(D63,"0.00%"),"。")</f>
        <v/>
      </c>
    </row>
    <row r="64" ht="28" customHeight="1">
      <c r="B64" s="99" t="inlineStr">
        <is>
          <t>一年内到期的非流动负债</t>
        </is>
      </c>
      <c r="C64" s="232">
        <f>ROUND(HLOOKUP($C$2,bs!$C$1:$AB$110,MATCH(TRIM(B64),TRIM(bs!$B$1:$B$110),0),FALSE),0)/IF(ISNUMBER(SEARCH("亿",$B$1)),100000000,IF(ISNUMBER(SEARCH("万",$B$1)),10000,1))</f>
        <v/>
      </c>
      <c r="D64" s="101">
        <f>C64/$C$80</f>
        <v/>
      </c>
      <c r="E64" s="232">
        <f>ROUND(HLOOKUP($E$2,bs!$C$1:$AB$110,MATCH(TRIM(B64),TRIM(bs!$B$1:$B$110),0),FALSE),0)/IF(ISNUMBER(SEARCH("亿",$B$1)),100000000,IF(ISNUMBER(SEARCH("万",$B$1)),10000,1))</f>
        <v/>
      </c>
      <c r="F64" s="101">
        <f>E64/$E$80</f>
        <v/>
      </c>
      <c r="G64" s="233">
        <f>ROUND(HLOOKUP($G$2,bs!$C$1:$AB$110,MATCH(TRIM(B64),TRIM(bs!$B$1:$B$110),0),FALSE),0)/IF(ISNUMBER(SEARCH("亿",$B$1)),100000000,IF(ISNUMBER(SEARCH("万",$B$1)),10000,1))</f>
        <v/>
      </c>
      <c r="H64" s="101">
        <f>G64/$G$80</f>
        <v/>
      </c>
      <c r="I64" s="233">
        <f>ROUND(HLOOKUP($I$2,bs!$C$1:$AB$110,MATCH(TRIM(B64),TRIM(bs!$B$1:$B$110),0),FALSE),0)/IF(ISNUMBER(SEARCH("亿",$B$1)),100000000,IF(ISNUMBER(SEARCH("万",$B$1)),10000,1))</f>
        <v/>
      </c>
      <c r="J64" s="101">
        <f>I64/$I$80</f>
        <v/>
      </c>
      <c r="L64" s="103">
        <f>D64+F64+H64+J64</f>
        <v/>
      </c>
      <c r="M64" s="103">
        <f>B64</f>
        <v/>
      </c>
      <c r="N64">
        <f>CONCATENATE(M64,":",$N$2,$N$1,B64,"分别为",TEXT(I64,"#,##0.00"),"万元、",TEXT(G64,"#,##0.00"),"万元、",TEXT(E64,"#,##0.00"),"万元及",TEXT(C64,"#,##0.00"),"万元，","占总负债的比重分别为",TEXT(J64,"0.00%"),"、",TEXT(H64,"0.00%"),"、",TEXT(F64,"0.00%"),"和",TEXT(D64,"0.00%"),"。")</f>
        <v/>
      </c>
      <c r="P64" t="n">
        <v>0</v>
      </c>
    </row>
    <row r="65">
      <c r="B65" s="99" t="inlineStr">
        <is>
          <t xml:space="preserve">  其他流动负债 </t>
        </is>
      </c>
      <c r="C65" s="232">
        <f>ROUND(HLOOKUP($C$2,bs!$C$1:$AB$110,MATCH(TRIM(B65),TRIM(bs!$B$1:$B$110),0),FALSE),0)/IF(ISNUMBER(SEARCH("亿",$B$1)),100000000,IF(ISNUMBER(SEARCH("万",$B$1)),10000,1))</f>
        <v/>
      </c>
      <c r="D65" s="101">
        <f>C65/$C$80</f>
        <v/>
      </c>
      <c r="E65" s="232">
        <f>ROUND(HLOOKUP($E$2,bs!$C$1:$AB$110,MATCH(TRIM(B65),TRIM(bs!$B$1:$B$110),0),FALSE),0)/IF(ISNUMBER(SEARCH("亿",$B$1)),100000000,IF(ISNUMBER(SEARCH("万",$B$1)),10000,1))</f>
        <v/>
      </c>
      <c r="F65" s="101">
        <f>E65/$E$80</f>
        <v/>
      </c>
      <c r="G65" s="233">
        <f>ROUND(HLOOKUP($G$2,bs!$C$1:$AB$110,MATCH(TRIM(B65),TRIM(bs!$B$1:$B$110),0),FALSE),0)/IF(ISNUMBER(SEARCH("亿",$B$1)),100000000,IF(ISNUMBER(SEARCH("万",$B$1)),10000,1))</f>
        <v/>
      </c>
      <c r="H65" s="101">
        <f>G65/$G$80</f>
        <v/>
      </c>
      <c r="I65" s="233">
        <f>ROUND(HLOOKUP($I$2,bs!$C$1:$AB$110,MATCH(TRIM(B65),TRIM(bs!$B$1:$B$110),0),FALSE),0)/IF(ISNUMBER(SEARCH("亿",$B$1)),100000000,IF(ISNUMBER(SEARCH("万",$B$1)),10000,1))</f>
        <v/>
      </c>
      <c r="J65" s="101">
        <f>I65/$I$80</f>
        <v/>
      </c>
      <c r="L65" s="103">
        <f>D65+F65+H65+J65</f>
        <v/>
      </c>
      <c r="M65" s="103">
        <f>B65</f>
        <v/>
      </c>
      <c r="N65">
        <f>CONCATENATE(M65,":",$N$2,$N$1,B65,"分别为",TEXT(I65,"#,##0.00"),"万元、",TEXT(G65,"#,##0.00"),"万元、",TEXT(E65,"#,##0.00"),"万元及",TEXT(C65,"#,##0.00"),"万元，","占总负债的比重分别为",TEXT(J65,"0.00%"),"、",TEXT(H65,"0.00%"),"、",TEXT(F65,"0.00%"),"和",TEXT(D65,"0.00%"),"。")</f>
        <v/>
      </c>
    </row>
    <row r="66">
      <c r="B66" s="104" t="inlineStr">
        <is>
          <t>流动负债合计</t>
        </is>
      </c>
      <c r="C66" s="232">
        <f>ROUND(HLOOKUP($C$2,bs!$C$1:$AB$110,MATCH(TRIM(B66),TRIM(bs!$B$1:$B$110),0),FALSE),0)/IF(ISNUMBER(SEARCH("亿",$B$1)),100000000,IF(ISNUMBER(SEARCH("万",$B$1)),10000,1))</f>
        <v/>
      </c>
      <c r="D66" s="105">
        <f>C66/$C$80</f>
        <v/>
      </c>
      <c r="E66" s="232">
        <f>ROUND(HLOOKUP($E$2,bs!$C$1:$AB$110,MATCH(TRIM(B66),TRIM(bs!$B$1:$B$110),0),FALSE),0)/IF(ISNUMBER(SEARCH("亿",$B$1)),100000000,IF(ISNUMBER(SEARCH("万",$B$1)),10000,1))</f>
        <v/>
      </c>
      <c r="F66" s="105">
        <f>E66/$E$80</f>
        <v/>
      </c>
      <c r="G66" s="233">
        <f>ROUND(HLOOKUP($G$2,bs!$C$1:$AB$110,MATCH(TRIM(B66),TRIM(bs!$B$1:$B$110),0),FALSE),0)/IF(ISNUMBER(SEARCH("亿",$B$1)),100000000,IF(ISNUMBER(SEARCH("万",$B$1)),10000,1))</f>
        <v/>
      </c>
      <c r="H66" s="105">
        <f>G66/$G$80</f>
        <v/>
      </c>
      <c r="I66" s="233">
        <f>ROUND(HLOOKUP($I$2,bs!$C$1:$AB$110,MATCH(TRIM(B66),TRIM(bs!$B$1:$B$110),0),FALSE),0)/IF(ISNUMBER(SEARCH("亿",$B$1)),100000000,IF(ISNUMBER(SEARCH("万",$B$1)),10000,1))</f>
        <v/>
      </c>
      <c r="J66" s="105">
        <f>I66/$I$80</f>
        <v/>
      </c>
      <c r="L66" s="103">
        <f>D66+F66+H66+J66</f>
        <v/>
      </c>
      <c r="M66" s="103">
        <f>B66</f>
        <v/>
      </c>
      <c r="O66">
        <f>CONCATENATE(N2,N1,B66,"分别为",TEXT(I66,"#,##0.00"),"万元、",TEXT(G66,"#,##0.00"),"万元、",TEXT(E66,"#,##0.00"),"万元及",TEXT(C66,"#,##0.00"),"万元。")</f>
        <v/>
      </c>
      <c r="P66" t="n">
        <v>0</v>
      </c>
    </row>
    <row r="67">
      <c r="B67" s="99" t="inlineStr">
        <is>
          <t>长期借款</t>
        </is>
      </c>
      <c r="C67" s="232">
        <f>ROUND(HLOOKUP($C$2,bs!$C$1:$AB$110,MATCH(TRIM(B67),TRIM(bs!$B$1:$B$110),0),FALSE),0)/IF(ISNUMBER(SEARCH("亿",$B$1)),100000000,IF(ISNUMBER(SEARCH("万",$B$1)),10000,1))</f>
        <v/>
      </c>
      <c r="D67" s="101">
        <f>C67/$C$80</f>
        <v/>
      </c>
      <c r="E67" s="232">
        <f>ROUND(HLOOKUP($E$2,bs!$C$1:$AB$110,MATCH(TRIM(B67),TRIM(bs!$B$1:$B$110),0),FALSE),0)/IF(ISNUMBER(SEARCH("亿",$B$1)),100000000,IF(ISNUMBER(SEARCH("万",$B$1)),10000,1))</f>
        <v/>
      </c>
      <c r="F67" s="101">
        <f>E67/$E$80</f>
        <v/>
      </c>
      <c r="G67" s="233">
        <f>ROUND(HLOOKUP($G$2,bs!$C$1:$AB$110,MATCH(TRIM(B67),TRIM(bs!$B$1:$B$110),0),FALSE),0)/IF(ISNUMBER(SEARCH("亿",$B$1)),100000000,IF(ISNUMBER(SEARCH("万",$B$1)),10000,1))</f>
        <v/>
      </c>
      <c r="H67" s="101">
        <f>G67/$G$80</f>
        <v/>
      </c>
      <c r="I67" s="233">
        <f>ROUND(HLOOKUP($I$2,bs!$C$1:$AB$110,MATCH(TRIM(B67),TRIM(bs!$B$1:$B$110),0),FALSE),0)/IF(ISNUMBER(SEARCH("亿",$B$1)),100000000,IF(ISNUMBER(SEARCH("万",$B$1)),10000,1))</f>
        <v/>
      </c>
      <c r="J67" s="101">
        <f>I67/$I$80</f>
        <v/>
      </c>
      <c r="L67" s="103">
        <f>D67+F67+H67+J67</f>
        <v/>
      </c>
      <c r="M67" s="103">
        <f>B67</f>
        <v/>
      </c>
      <c r="N67">
        <f>CONCATENATE(M67,":",$N$2,$N$1,B67,"分别为",TEXT(I67,"#,##0.00"),"万元、",TEXT(G67,"#,##0.00"),"万元、",TEXT(E67,"#,##0.00"),"万元及",TEXT(C67,"#,##0.00"),"万元，","占总负债的比重分别为",TEXT(J67,"0.00%"),"、",TEXT(H67,"0.00%"),"、",TEXT(F67,"0.00%"),"和",TEXT(D67,"0.00%"),"。")</f>
        <v/>
      </c>
      <c r="P67" t="n">
        <v>0</v>
      </c>
    </row>
    <row r="68">
      <c r="B68" s="99" t="inlineStr">
        <is>
          <t xml:space="preserve">  应付债券 </t>
        </is>
      </c>
      <c r="C68" s="232">
        <f>ROUND(HLOOKUP($C$2,bs!$C$1:$AB$110,MATCH(TRIM(B68),TRIM(bs!$B$1:$B$110),0),FALSE),0)/IF(ISNUMBER(SEARCH("亿",$B$1)),100000000,IF(ISNUMBER(SEARCH("万",$B$1)),10000,1))</f>
        <v/>
      </c>
      <c r="D68" s="101">
        <f>C68/$C$80</f>
        <v/>
      </c>
      <c r="E68" s="232">
        <f>ROUND(HLOOKUP($E$2,bs!$C$1:$AB$110,MATCH(TRIM(B68),TRIM(bs!$B$1:$B$110),0),FALSE),0)/IF(ISNUMBER(SEARCH("亿",$B$1)),100000000,IF(ISNUMBER(SEARCH("万",$B$1)),10000,1))</f>
        <v/>
      </c>
      <c r="F68" s="101">
        <f>E68/$E$80</f>
        <v/>
      </c>
      <c r="G68" s="233">
        <f>ROUND(HLOOKUP($G$2,bs!$C$1:$AB$110,MATCH(TRIM(B68),TRIM(bs!$B$1:$B$110),0),FALSE),0)/IF(ISNUMBER(SEARCH("亿",$B$1)),100000000,IF(ISNUMBER(SEARCH("万",$B$1)),10000,1))</f>
        <v/>
      </c>
      <c r="H68" s="101">
        <f>G68/$G$80</f>
        <v/>
      </c>
      <c r="I68" s="233">
        <f>ROUND(HLOOKUP($I$2,bs!$C$1:$AB$110,MATCH(TRIM(B68),TRIM(bs!$B$1:$B$110),0),FALSE),0)/IF(ISNUMBER(SEARCH("亿",$B$1)),100000000,IF(ISNUMBER(SEARCH("万",$B$1)),10000,1))</f>
        <v/>
      </c>
      <c r="J68" s="101">
        <f>I68/$I$80</f>
        <v/>
      </c>
      <c r="L68" s="103">
        <f>D68+F68+H68+J68</f>
        <v/>
      </c>
      <c r="M68" s="103">
        <f>B68</f>
        <v/>
      </c>
      <c r="N68">
        <f>CONCATENATE(M68,":",$N$2,$N$1,B68,"分别为",TEXT(I68,"#,##0.00"),"万元、",TEXT(G68,"#,##0.00"),"万元、",TEXT(E68,"#,##0.00"),"万元及",TEXT(C68,"#,##0.00"),"万元，","占总负债的比重分别为",TEXT(J68,"0.00%"),"、",TEXT(H68,"0.00%"),"、",TEXT(F68,"0.00%"),"和",TEXT(D68,"0.00%"),"。")</f>
        <v/>
      </c>
    </row>
    <row r="69">
      <c r="B69" s="99" t="inlineStr">
        <is>
          <t xml:space="preserve">    其中：优先股 </t>
        </is>
      </c>
      <c r="C69" s="232">
        <f>ROUND(HLOOKUP($C$2,bs!$C$1:$AB$110,MATCH(TRIM(B69),TRIM(bs!$B$1:$B$110),0),FALSE),0)/IF(ISNUMBER(SEARCH("亿",$B$1)),100000000,IF(ISNUMBER(SEARCH("万",$B$1)),10000,1))</f>
        <v/>
      </c>
      <c r="D69" s="101">
        <f>C69/$C$80</f>
        <v/>
      </c>
      <c r="E69" s="232">
        <f>ROUND(HLOOKUP($E$2,bs!$C$1:$AB$110,MATCH(TRIM(B69),TRIM(bs!$B$1:$B$110),0),FALSE),0)/IF(ISNUMBER(SEARCH("亿",$B$1)),100000000,IF(ISNUMBER(SEARCH("万",$B$1)),10000,1))</f>
        <v/>
      </c>
      <c r="F69" s="101">
        <f>E69/$E$80</f>
        <v/>
      </c>
      <c r="G69" s="233">
        <f>ROUND(HLOOKUP($G$2,bs!$C$1:$AB$110,MATCH(TRIM(B69),TRIM(bs!$B$1:$B$110),0),FALSE),0)/IF(ISNUMBER(SEARCH("亿",$B$1)),100000000,IF(ISNUMBER(SEARCH("万",$B$1)),10000,1))</f>
        <v/>
      </c>
      <c r="H69" s="101">
        <f>G69/$G$80</f>
        <v/>
      </c>
      <c r="I69" s="233">
        <f>ROUND(HLOOKUP($I$2,bs!$C$1:$AB$110,MATCH(TRIM(B69),TRIM(bs!$B$1:$B$110),0),FALSE),0)/IF(ISNUMBER(SEARCH("亿",$B$1)),100000000,IF(ISNUMBER(SEARCH("万",$B$1)),10000,1))</f>
        <v/>
      </c>
      <c r="J69" s="101">
        <f>I69/$I$80</f>
        <v/>
      </c>
      <c r="L69" s="103">
        <f>D69+F69+H69+J69</f>
        <v/>
      </c>
      <c r="M69" s="103">
        <f>B69</f>
        <v/>
      </c>
      <c r="N69">
        <f>CONCATENATE(M69,":",$N$2,$N$1,B69,"分别为",TEXT(I69,"#,##0.00"),"万元、",TEXT(G69,"#,##0.00"),"万元、",TEXT(E69,"#,##0.00"),"万元及",TEXT(C69,"#,##0.00"),"万元，","占总负债的比重分别为",TEXT(J69,"0.00%"),"、",TEXT(H69,"0.00%"),"、",TEXT(F69,"0.00%"),"和",TEXT(D69,"0.00%"),"。")</f>
        <v/>
      </c>
    </row>
    <row r="70">
      <c r="B70" s="99" t="inlineStr">
        <is>
          <t xml:space="preserve">          永续债 </t>
        </is>
      </c>
      <c r="C70" s="232">
        <f>ROUND(HLOOKUP($C$2,bs!$C$1:$AB$110,MATCH(TRIM(B70),TRIM(bs!$B$1:$B$110),0),FALSE),0)/IF(ISNUMBER(SEARCH("亿",$B$1)),100000000,IF(ISNUMBER(SEARCH("万",$B$1)),10000,1))</f>
        <v/>
      </c>
      <c r="D70" s="101">
        <f>C70/$C$80</f>
        <v/>
      </c>
      <c r="E70" s="232">
        <f>ROUND(HLOOKUP($E$2,bs!$C$1:$AB$110,MATCH(TRIM(B70),TRIM(bs!$B$1:$B$110),0),FALSE),0)/IF(ISNUMBER(SEARCH("亿",$B$1)),100000000,IF(ISNUMBER(SEARCH("万",$B$1)),10000,1))</f>
        <v/>
      </c>
      <c r="F70" s="101">
        <f>E70/$E$80</f>
        <v/>
      </c>
      <c r="G70" s="233">
        <f>ROUND(HLOOKUP($G$2,bs!$C$1:$AB$110,MATCH(TRIM(B70),TRIM(bs!$B$1:$B$110),0),FALSE),0)/IF(ISNUMBER(SEARCH("亿",$B$1)),100000000,IF(ISNUMBER(SEARCH("万",$B$1)),10000,1))</f>
        <v/>
      </c>
      <c r="H70" s="101">
        <f>G70/$G$80</f>
        <v/>
      </c>
      <c r="I70" s="233">
        <f>ROUND(HLOOKUP($I$2,bs!$C$1:$AB$110,MATCH(TRIM(B70),TRIM(bs!$B$1:$B$110),0),FALSE),0)/IF(ISNUMBER(SEARCH("亿",$B$1)),100000000,IF(ISNUMBER(SEARCH("万",$B$1)),10000,1))</f>
        <v/>
      </c>
      <c r="J70" s="101">
        <f>I70/$I$80</f>
        <v/>
      </c>
      <c r="L70" s="103">
        <f>D70+F70+H70+J70</f>
        <v/>
      </c>
      <c r="M70" s="103">
        <f>B70</f>
        <v/>
      </c>
      <c r="N70">
        <f>CONCATENATE(M70,":",$N$2,$N$1,B70,"分别为",TEXT(I70,"#,##0.00"),"万元、",TEXT(G70,"#,##0.00"),"万元、",TEXT(E70,"#,##0.00"),"万元及",TEXT(C70,"#,##0.00"),"万元，","占总负债的比重分别为",TEXT(J70,"0.00%"),"、",TEXT(H70,"0.00%"),"、",TEXT(F70,"0.00%"),"和",TEXT(D70,"0.00%"),"。")</f>
        <v/>
      </c>
    </row>
    <row r="71">
      <c r="B71" s="99" t="inlineStr">
        <is>
          <t xml:space="preserve">  租赁负债 </t>
        </is>
      </c>
      <c r="C71" s="232">
        <f>ROUND(HLOOKUP($C$2,bs!$C$1:$AB$110,MATCH(TRIM(B71),TRIM(bs!$B$1:$B$110),0),FALSE),0)/IF(ISNUMBER(SEARCH("亿",$B$1)),100000000,IF(ISNUMBER(SEARCH("万",$B$1)),10000,1))</f>
        <v/>
      </c>
      <c r="D71" s="101">
        <f>C71/$C$80</f>
        <v/>
      </c>
      <c r="E71" s="232">
        <f>ROUND(HLOOKUP($E$2,bs!$C$1:$AB$110,MATCH(TRIM(B71),TRIM(bs!$B$1:$B$110),0),FALSE),0)/IF(ISNUMBER(SEARCH("亿",$B$1)),100000000,IF(ISNUMBER(SEARCH("万",$B$1)),10000,1))</f>
        <v/>
      </c>
      <c r="F71" s="101">
        <f>E71/$E$80</f>
        <v/>
      </c>
      <c r="G71" s="233">
        <f>ROUND(HLOOKUP($G$2,bs!$C$1:$AB$110,MATCH(TRIM(B71),TRIM(bs!$B$1:$B$110),0),FALSE),0)/IF(ISNUMBER(SEARCH("亿",$B$1)),100000000,IF(ISNUMBER(SEARCH("万",$B$1)),10000,1))</f>
        <v/>
      </c>
      <c r="H71" s="101">
        <f>G71/$G$80</f>
        <v/>
      </c>
      <c r="I71" s="233">
        <f>ROUND(HLOOKUP($I$2,bs!$C$1:$AB$110,MATCH(TRIM(B71),TRIM(bs!$B$1:$B$110),0),FALSE),0)/IF(ISNUMBER(SEARCH("亿",$B$1)),100000000,IF(ISNUMBER(SEARCH("万",$B$1)),10000,1))</f>
        <v/>
      </c>
      <c r="J71" s="101">
        <f>I71/$I$80</f>
        <v/>
      </c>
      <c r="L71" s="103">
        <f>D71+F71+H71+J71</f>
        <v/>
      </c>
      <c r="M71" s="103">
        <f>B71</f>
        <v/>
      </c>
      <c r="N71">
        <f>CONCATENATE(M71,":",$N$2,$N$1,B71,"分别为",TEXT(I71,"#,##0.00"),"万元、",TEXT(G71,"#,##0.00"),"万元、",TEXT(E71,"#,##0.00"),"万元及",TEXT(C71,"#,##0.00"),"万元，","占总负债的比重分别为",TEXT(J71,"0.00%"),"、",TEXT(H71,"0.00%"),"、",TEXT(F71,"0.00%"),"和",TEXT(D71,"0.00%"),"。")</f>
        <v/>
      </c>
    </row>
    <row r="72">
      <c r="B72" s="99" t="inlineStr">
        <is>
          <t xml:space="preserve">  专项应付款 </t>
        </is>
      </c>
      <c r="C72" s="232">
        <f>ROUND(HLOOKUP($C$2,bs!$C$1:$AB$110,MATCH(TRIM(B72),TRIM(bs!$B$1:$B$110),0),FALSE),0)/IF(ISNUMBER(SEARCH("亿",$B$1)),100000000,IF(ISNUMBER(SEARCH("万",$B$1)),10000,1))</f>
        <v/>
      </c>
      <c r="D72" s="101">
        <f>C72/$C$80</f>
        <v/>
      </c>
      <c r="E72" s="232">
        <f>ROUND(HLOOKUP($E$2,bs!$C$1:$AB$110,MATCH(TRIM(B72),TRIM(bs!$B$1:$B$110),0),FALSE),0)/IF(ISNUMBER(SEARCH("亿",$B$1)),100000000,IF(ISNUMBER(SEARCH("万",$B$1)),10000,1))</f>
        <v/>
      </c>
      <c r="F72" s="101">
        <f>E72/$E$80</f>
        <v/>
      </c>
      <c r="G72" s="233">
        <f>ROUND(HLOOKUP($G$2,bs!$C$1:$AB$110,MATCH(TRIM(B72),TRIM(bs!$B$1:$B$110),0),FALSE),0)/IF(ISNUMBER(SEARCH("亿",$B$1)),100000000,IF(ISNUMBER(SEARCH("万",$B$1)),10000,1))</f>
        <v/>
      </c>
      <c r="H72" s="101">
        <f>G72/$G$80</f>
        <v/>
      </c>
      <c r="I72" s="233">
        <f>ROUND(HLOOKUP($I$2,bs!$C$1:$AB$110,MATCH(TRIM(B72),TRIM(bs!$B$1:$B$110),0),FALSE),0)/IF(ISNUMBER(SEARCH("亿",$B$1)),100000000,IF(ISNUMBER(SEARCH("万",$B$1)),10000,1))</f>
        <v/>
      </c>
      <c r="J72" s="101">
        <f>I72/$I$80</f>
        <v/>
      </c>
      <c r="L72" s="103">
        <f>D72+F72+H72+J72</f>
        <v/>
      </c>
      <c r="M72" s="103">
        <f>B72</f>
        <v/>
      </c>
      <c r="N72">
        <f>CONCATENATE(M72,":",$N$2,$N$1,B72,"分别为",TEXT(I72,"#,##0.00"),"万元、",TEXT(G72,"#,##0.00"),"万元、",TEXT(E72,"#,##0.00"),"万元及",TEXT(C72,"#,##0.00"),"万元，","占总负债的比重分别为",TEXT(J72,"0.00%"),"、",TEXT(H72,"0.00%"),"、",TEXT(F72,"0.00%"),"和",TEXT(D72,"0.00%"),"。")</f>
        <v/>
      </c>
    </row>
    <row r="73">
      <c r="B73" s="99" t="inlineStr">
        <is>
          <t>长期应付款</t>
        </is>
      </c>
      <c r="C73" s="232">
        <f>ROUND(HLOOKUP($C$2,bs!$C$1:$AB$110,MATCH(TRIM(B73),TRIM(bs!$B$1:$B$110),0),FALSE),0)/IF(ISNUMBER(SEARCH("亿",$B$1)),100000000,IF(ISNUMBER(SEARCH("万",$B$1)),10000,1))</f>
        <v/>
      </c>
      <c r="D73" s="101">
        <f>C73/$C$80</f>
        <v/>
      </c>
      <c r="E73" s="232">
        <f>ROUND(HLOOKUP($E$2,bs!$C$1:$AB$110,MATCH(TRIM(B73),TRIM(bs!$B$1:$B$110),0),FALSE),0)/IF(ISNUMBER(SEARCH("亿",$B$1)),100000000,IF(ISNUMBER(SEARCH("万",$B$1)),10000,1))</f>
        <v/>
      </c>
      <c r="F73" s="101">
        <f>E73/$E$80</f>
        <v/>
      </c>
      <c r="G73" s="233">
        <f>ROUND(HLOOKUP($G$2,bs!$C$1:$AB$110,MATCH(TRIM(B73),TRIM(bs!$B$1:$B$110),0),FALSE),0)/IF(ISNUMBER(SEARCH("亿",$B$1)),100000000,IF(ISNUMBER(SEARCH("万",$B$1)),10000,1))</f>
        <v/>
      </c>
      <c r="H73" s="101">
        <f>G73/$G$80</f>
        <v/>
      </c>
      <c r="I73" s="233">
        <f>ROUND(HLOOKUP($I$2,bs!$C$1:$AB$110,MATCH(TRIM(B73),TRIM(bs!$B$1:$B$110),0),FALSE),0)/IF(ISNUMBER(SEARCH("亿",$B$1)),100000000,IF(ISNUMBER(SEARCH("万",$B$1)),10000,1))</f>
        <v/>
      </c>
      <c r="J73" s="101">
        <f>I73/$I$80</f>
        <v/>
      </c>
      <c r="L73" s="103">
        <f>D73+F73+H73+J73</f>
        <v/>
      </c>
      <c r="M73" s="103">
        <f>B73</f>
        <v/>
      </c>
      <c r="N73">
        <f>CONCATENATE(M73,":",$N$2,$N$1,B73,"分别为",TEXT(I73,"#,##0.00"),"万元、",TEXT(G73,"#,##0.00"),"万元、",TEXT(E73,"#,##0.00"),"万元及",TEXT(C73,"#,##0.00"),"万元，","占总负债的比重分别为",TEXT(J73,"0.00%"),"、",TEXT(H73,"0.00%"),"、",TEXT(F73,"0.00%"),"和",TEXT(D73,"0.00%"),"。")</f>
        <v/>
      </c>
      <c r="P73" t="n">
        <v>0</v>
      </c>
    </row>
    <row r="74">
      <c r="B74" s="99" t="inlineStr">
        <is>
          <t xml:space="preserve">  长期应付职工薪酬</t>
        </is>
      </c>
      <c r="C74" s="232">
        <f>ROUND(HLOOKUP($C$2,bs!$C$1:$AB$110,MATCH(TRIM(B74),TRIM(bs!$B$1:$B$110),0),FALSE),0)/IF(ISNUMBER(SEARCH("亿",$B$1)),100000000,IF(ISNUMBER(SEARCH("万",$B$1)),10000,1))</f>
        <v/>
      </c>
      <c r="D74" s="101">
        <f>C74/$C$80</f>
        <v/>
      </c>
      <c r="E74" s="232">
        <f>ROUND(HLOOKUP($E$2,bs!$C$1:$AB$110,MATCH(TRIM(B74),TRIM(bs!$B$1:$B$110),0),FALSE),0)/IF(ISNUMBER(SEARCH("亿",$B$1)),100000000,IF(ISNUMBER(SEARCH("万",$B$1)),10000,1))</f>
        <v/>
      </c>
      <c r="F74" s="101">
        <f>E74/$E$80</f>
        <v/>
      </c>
      <c r="G74" s="233">
        <f>ROUND(HLOOKUP($G$2,bs!$C$1:$AB$110,MATCH(TRIM(B74),TRIM(bs!$B$1:$B$110),0),FALSE),0)/IF(ISNUMBER(SEARCH("亿",$B$1)),100000000,IF(ISNUMBER(SEARCH("万",$B$1)),10000,1))</f>
        <v/>
      </c>
      <c r="H74" s="101">
        <f>G74/$G$80</f>
        <v/>
      </c>
      <c r="I74" s="233">
        <f>ROUND(HLOOKUP($I$2,bs!$C$1:$AB$110,MATCH(TRIM(B74),TRIM(bs!$B$1:$B$110),0),FALSE),0)/IF(ISNUMBER(SEARCH("亿",$B$1)),100000000,IF(ISNUMBER(SEARCH("万",$B$1)),10000,1))</f>
        <v/>
      </c>
      <c r="J74" s="101">
        <f>I74/$I$80</f>
        <v/>
      </c>
      <c r="L74" s="103">
        <f>D74+F74+H74+J74</f>
        <v/>
      </c>
      <c r="M74" s="103">
        <f>B74</f>
        <v/>
      </c>
      <c r="N74">
        <f>CONCATENATE(M74,":",$N$2,$N$1,B74,"分别为",TEXT(I74,"#,##0.00"),"万元、",TEXT(G74,"#,##0.00"),"万元、",TEXT(E74,"#,##0.00"),"万元及",TEXT(C74,"#,##0.00"),"万元，","占总负债的比重分别为",TEXT(J74,"0.00%"),"、",TEXT(H74,"0.00%"),"、",TEXT(F74,"0.00%"),"和",TEXT(D74,"0.00%"),"。")</f>
        <v/>
      </c>
    </row>
    <row r="75">
      <c r="B75" s="99" t="inlineStr">
        <is>
          <t>预计负债</t>
        </is>
      </c>
      <c r="C75" s="232">
        <f>ROUND(HLOOKUP($C$2,bs!$C$1:$AB$110,MATCH(TRIM(B75),TRIM(bs!$B$1:$B$110),0),FALSE),0)/IF(ISNUMBER(SEARCH("亿",$B$1)),100000000,IF(ISNUMBER(SEARCH("万",$B$1)),10000,1))</f>
        <v/>
      </c>
      <c r="D75" s="101">
        <f>C75/$C$80</f>
        <v/>
      </c>
      <c r="E75" s="232">
        <f>ROUND(HLOOKUP($E$2,bs!$C$1:$AB$110,MATCH(TRIM(B75),TRIM(bs!$B$1:$B$110),0),FALSE),0)/IF(ISNUMBER(SEARCH("亿",$B$1)),100000000,IF(ISNUMBER(SEARCH("万",$B$1)),10000,1))</f>
        <v/>
      </c>
      <c r="F75" s="101">
        <f>E75/$E$80</f>
        <v/>
      </c>
      <c r="G75" s="233">
        <f>ROUND(HLOOKUP($G$2,bs!$C$1:$AB$110,MATCH(TRIM(B75),TRIM(bs!$B$1:$B$110),0),FALSE),0)/IF(ISNUMBER(SEARCH("亿",$B$1)),100000000,IF(ISNUMBER(SEARCH("万",$B$1)),10000,1))</f>
        <v/>
      </c>
      <c r="H75" s="101">
        <f>G75/$G$80</f>
        <v/>
      </c>
      <c r="I75" s="233">
        <f>ROUND(HLOOKUP($I$2,bs!$C$1:$AB$110,MATCH(TRIM(B75),TRIM(bs!$B$1:$B$110),0),FALSE),0)/IF(ISNUMBER(SEARCH("亿",$B$1)),100000000,IF(ISNUMBER(SEARCH("万",$B$1)),10000,1))</f>
        <v/>
      </c>
      <c r="J75" s="101">
        <f>I75/$I$80</f>
        <v/>
      </c>
      <c r="L75" s="103">
        <f>D75+F75+H75+J75</f>
        <v/>
      </c>
      <c r="M75" s="103">
        <f>B75</f>
        <v/>
      </c>
      <c r="N75">
        <f>CONCATENATE(M75,":",$N$2,$N$1,B75,"分别为",TEXT(I75,"#,##0.00"),"万元、",TEXT(G75,"#,##0.00"),"万元、",TEXT(E75,"#,##0.00"),"万元及",TEXT(C75,"#,##0.00"),"万元，","占总负债的比重分别为",TEXT(J75,"0.00%"),"、",TEXT(H75,"0.00%"),"、",TEXT(F75,"0.00%"),"和",TEXT(D75,"0.00%"),"。")</f>
        <v/>
      </c>
      <c r="P75" t="n">
        <v>0</v>
      </c>
    </row>
    <row r="76">
      <c r="B76" s="99" t="inlineStr">
        <is>
          <t>递延收益</t>
        </is>
      </c>
      <c r="C76" s="232">
        <f>ROUND(HLOOKUP($C$2,bs!$C$1:$AB$110,MATCH(TRIM(B76),TRIM(bs!$B$1:$B$110),0),FALSE),0)/IF(ISNUMBER(SEARCH("亿",$B$1)),100000000,IF(ISNUMBER(SEARCH("万",$B$1)),10000,1))</f>
        <v/>
      </c>
      <c r="D76" s="101">
        <f>C76/$C$80</f>
        <v/>
      </c>
      <c r="E76" s="232">
        <f>ROUND(HLOOKUP($E$2,bs!$C$1:$AB$110,MATCH(TRIM(B76),TRIM(bs!$B$1:$B$110),0),FALSE),0)/IF(ISNUMBER(SEARCH("亿",$B$1)),100000000,IF(ISNUMBER(SEARCH("万",$B$1)),10000,1))</f>
        <v/>
      </c>
      <c r="F76" s="101">
        <f>E76/$E$80</f>
        <v/>
      </c>
      <c r="G76" s="233">
        <f>ROUND(HLOOKUP($G$2,bs!$C$1:$AB$110,MATCH(TRIM(B76),TRIM(bs!$B$1:$B$110),0),FALSE),0)/IF(ISNUMBER(SEARCH("亿",$B$1)),100000000,IF(ISNUMBER(SEARCH("万",$B$1)),10000,1))</f>
        <v/>
      </c>
      <c r="H76" s="101">
        <f>G76/$G$80</f>
        <v/>
      </c>
      <c r="I76" s="233">
        <f>ROUND(HLOOKUP($I$2,bs!$C$1:$AB$110,MATCH(TRIM(B76),TRIM(bs!$B$1:$B$110),0),FALSE),0)/IF(ISNUMBER(SEARCH("亿",$B$1)),100000000,IF(ISNUMBER(SEARCH("万",$B$1)),10000,1))</f>
        <v/>
      </c>
      <c r="J76" s="101">
        <f>I76/$I$80</f>
        <v/>
      </c>
      <c r="L76" s="103">
        <f>D76+F76+H76+J76</f>
        <v/>
      </c>
      <c r="M76" s="103">
        <f>B76</f>
        <v/>
      </c>
      <c r="N76">
        <f>CONCATENATE(M76,":",$N$2,$N$1,B76,"分别为",TEXT(I76,"#,##0.00"),"万元、",TEXT(G76,"#,##0.00"),"万元、",TEXT(E76,"#,##0.00"),"万元及",TEXT(C76,"#,##0.00"),"万元，","占总负债的比重分别为",TEXT(J76,"0.00%"),"、",TEXT(H76,"0.00%"),"、",TEXT(F76,"0.00%"),"和",TEXT(D76,"0.00%"),"。")</f>
        <v/>
      </c>
      <c r="P76" t="n">
        <v>0</v>
      </c>
    </row>
    <row r="77">
      <c r="B77" s="99" t="inlineStr">
        <is>
          <t xml:space="preserve">  递延所得税负债 </t>
        </is>
      </c>
      <c r="C77" s="232">
        <f>ROUND(HLOOKUP($C$2,bs!$C$1:$AB$110,MATCH(TRIM(B77),TRIM(bs!$B$1:$B$110),0),FALSE),0)/IF(ISNUMBER(SEARCH("亿",$B$1)),100000000,IF(ISNUMBER(SEARCH("万",$B$1)),10000,1))</f>
        <v/>
      </c>
      <c r="D77" s="101">
        <f>C77/$C$80</f>
        <v/>
      </c>
      <c r="E77" s="232">
        <f>ROUND(HLOOKUP($E$2,bs!$C$1:$AB$110,MATCH(TRIM(B77),TRIM(bs!$B$1:$B$110),0),FALSE),0)/IF(ISNUMBER(SEARCH("亿",$B$1)),100000000,IF(ISNUMBER(SEARCH("万",$B$1)),10000,1))</f>
        <v/>
      </c>
      <c r="F77" s="101">
        <f>E77/$E$80</f>
        <v/>
      </c>
      <c r="G77" s="233">
        <f>ROUND(HLOOKUP($G$2,bs!$C$1:$AB$110,MATCH(TRIM(B77),TRIM(bs!$B$1:$B$110),0),FALSE),0)/IF(ISNUMBER(SEARCH("亿",$B$1)),100000000,IF(ISNUMBER(SEARCH("万",$B$1)),10000,1))</f>
        <v/>
      </c>
      <c r="H77" s="101">
        <f>G77/$G$80</f>
        <v/>
      </c>
      <c r="I77" s="233">
        <f>ROUND(HLOOKUP($I$2,bs!$C$1:$AB$110,MATCH(TRIM(B77),TRIM(bs!$B$1:$B$110),0),FALSE),0)/IF(ISNUMBER(SEARCH("亿",$B$1)),100000000,IF(ISNUMBER(SEARCH("万",$B$1)),10000,1))</f>
        <v/>
      </c>
      <c r="J77" s="101">
        <f>I77/$I$80</f>
        <v/>
      </c>
      <c r="L77" s="103">
        <f>D77+F77+H77+J77</f>
        <v/>
      </c>
      <c r="M77" s="103">
        <f>B77</f>
        <v/>
      </c>
      <c r="N77">
        <f>CONCATENATE(M77,":",$N$2,$N$1,B77,"分别为",TEXT(I77,"#,##0.00"),"万元、",TEXT(G77,"#,##0.00"),"万元、",TEXT(E77,"#,##0.00"),"万元及",TEXT(C77,"#,##0.00"),"万元，","占总负债的比重分别为",TEXT(J77,"0.00%"),"、",TEXT(H77,"0.00%"),"、",TEXT(F77,"0.00%"),"和",TEXT(D77,"0.00%"),"。")</f>
        <v/>
      </c>
    </row>
    <row r="78">
      <c r="B78" s="99" t="inlineStr">
        <is>
          <t xml:space="preserve">  其他非流动负债 </t>
        </is>
      </c>
      <c r="C78" s="232">
        <f>ROUND(HLOOKUP($C$2,bs!$C$1:$AB$110,MATCH(TRIM(B78),TRIM(bs!$B$1:$B$110),0),FALSE),0)/IF(ISNUMBER(SEARCH("亿",$B$1)),100000000,IF(ISNUMBER(SEARCH("万",$B$1)),10000,1))</f>
        <v/>
      </c>
      <c r="D78" s="101">
        <f>C78/$C$80</f>
        <v/>
      </c>
      <c r="E78" s="232">
        <f>ROUND(HLOOKUP($E$2,bs!$C$1:$AB$110,MATCH(TRIM(B78),TRIM(bs!$B$1:$B$110),0),FALSE),0)/IF(ISNUMBER(SEARCH("亿",$B$1)),100000000,IF(ISNUMBER(SEARCH("万",$B$1)),10000,1))</f>
        <v/>
      </c>
      <c r="F78" s="101">
        <f>E78/$E$80</f>
        <v/>
      </c>
      <c r="G78" s="233">
        <f>ROUND(HLOOKUP($G$2,bs!$C$1:$AB$110,MATCH(TRIM(B78),TRIM(bs!$B$1:$B$110),0),FALSE),0)/IF(ISNUMBER(SEARCH("亿",$B$1)),100000000,IF(ISNUMBER(SEARCH("万",$B$1)),10000,1))</f>
        <v/>
      </c>
      <c r="H78" s="101">
        <f>G78/$G$80</f>
        <v/>
      </c>
      <c r="I78" s="233">
        <f>ROUND(HLOOKUP($I$2,bs!$C$1:$AB$110,MATCH(TRIM(B78),TRIM(bs!$B$1:$B$110),0),FALSE),0)/IF(ISNUMBER(SEARCH("亿",$B$1)),100000000,IF(ISNUMBER(SEARCH("万",$B$1)),10000,1))</f>
        <v/>
      </c>
      <c r="J78" s="101">
        <f>I78/$I$80</f>
        <v/>
      </c>
      <c r="L78" s="103">
        <f>D78+F78+H78+J78</f>
        <v/>
      </c>
      <c r="M78" s="103">
        <f>B78</f>
        <v/>
      </c>
      <c r="N78">
        <f>CONCATENATE(M78,":",$N$2,$N$1,B78,"分别为",TEXT(I78,"#,##0.00"),"万元、",TEXT(G78,"#,##0.00"),"万元、",TEXT(E78,"#,##0.00"),"万元及",TEXT(C78,"#,##0.00"),"万元，","占总负债的比重分别为",TEXT(J78,"0.00%"),"、",TEXT(H78,"0.00%"),"、",TEXT(F78,"0.00%"),"和",TEXT(D78,"0.00%"),"。")</f>
        <v/>
      </c>
    </row>
    <row r="79">
      <c r="B79" s="104" t="inlineStr">
        <is>
          <t>非流动负债合计</t>
        </is>
      </c>
      <c r="C79" s="232">
        <f>ROUND(HLOOKUP($C$2,bs!$C$1:$AB$110,MATCH(TRIM(B79),TRIM(bs!$B$1:$B$110),0),FALSE),0)/IF(ISNUMBER(SEARCH("亿",$B$1)),100000000,IF(ISNUMBER(SEARCH("万",$B$1)),10000,1))</f>
        <v/>
      </c>
      <c r="D79" s="105">
        <f>C79/$C$80</f>
        <v/>
      </c>
      <c r="E79" s="232">
        <f>ROUND(HLOOKUP($E$2,bs!$C$1:$AB$110,MATCH(TRIM(B79),TRIM(bs!$B$1:$B$110),0),FALSE),0)/IF(ISNUMBER(SEARCH("亿",$B$1)),100000000,IF(ISNUMBER(SEARCH("万",$B$1)),10000,1))</f>
        <v/>
      </c>
      <c r="F79" s="105">
        <f>E79/$E$80</f>
        <v/>
      </c>
      <c r="G79" s="233">
        <f>ROUND(HLOOKUP($G$2,bs!$C$1:$AB$110,MATCH(TRIM(B79),TRIM(bs!$B$1:$B$110),0),FALSE),0)/IF(ISNUMBER(SEARCH("亿",$B$1)),100000000,IF(ISNUMBER(SEARCH("万",$B$1)),10000,1))</f>
        <v/>
      </c>
      <c r="H79" s="105">
        <f>G79/$G$80</f>
        <v/>
      </c>
      <c r="I79" s="233">
        <f>ROUND(HLOOKUP($I$2,bs!$C$1:$AB$110,MATCH(TRIM(B79),TRIM(bs!$B$1:$B$110),0),FALSE),0)/IF(ISNUMBER(SEARCH("亿",$B$1)),100000000,IF(ISNUMBER(SEARCH("万",$B$1)),10000,1))</f>
        <v/>
      </c>
      <c r="J79" s="105">
        <f>I79/$I$80</f>
        <v/>
      </c>
      <c r="L79" s="103">
        <f>D79+F79+H79+J79</f>
        <v/>
      </c>
      <c r="M79" s="103">
        <f>B79</f>
        <v/>
      </c>
      <c r="O79">
        <f>CONCATENATE($N$2,N1,B79,"分别为",TEXT(I79,"#,##0.00"),"万元、",TEXT(G79,"#,##0.00"),"万元、",TEXT(E79,"#,##0.00"),"万元及",TEXT(C79,"#,##0.00"),"万元，","占总负债的比重分别为",TEXT(J79,"0.00%"),"、",TEXT(H79,"0.00%"),"、",TEXT(F79,"0.00%"),"和",TEXT(D79,"0.00%"),"。")</f>
        <v/>
      </c>
      <c r="P79" t="n">
        <v>0</v>
      </c>
    </row>
    <row r="80">
      <c r="B80" s="104" t="inlineStr">
        <is>
          <t>负债合计</t>
        </is>
      </c>
      <c r="C80" s="232">
        <f>ROUND(HLOOKUP($C$2,bs!$C$1:$AB$110,MATCH(TRIM(B80),TRIM(bs!$B$1:$B$110),0),FALSE),0)/IF(ISNUMBER(SEARCH("亿",$B$1)),100000000,IF(ISNUMBER(SEARCH("万",$B$1)),10000,1))</f>
        <v/>
      </c>
      <c r="D80" s="105">
        <f>C80/$C$80</f>
        <v/>
      </c>
      <c r="E80" s="232">
        <f>ROUND(HLOOKUP($E$2,bs!$C$1:$AB$110,MATCH(TRIM(B80),TRIM(bs!$B$1:$B$110),0),FALSE),0)/IF(ISNUMBER(SEARCH("亿",$B$1)),100000000,IF(ISNUMBER(SEARCH("万",$B$1)),10000,1))</f>
        <v/>
      </c>
      <c r="F80" s="105">
        <f>E80/$E$80</f>
        <v/>
      </c>
      <c r="G80" s="233">
        <f>ROUND(HLOOKUP($G$2,bs!$C$1:$AB$110,MATCH(TRIM(B80),TRIM(bs!$B$1:$B$110),0),FALSE),0)/IF(ISNUMBER(SEARCH("亿",$B$1)),100000000,IF(ISNUMBER(SEARCH("万",$B$1)),10000,1))</f>
        <v/>
      </c>
      <c r="H80" s="105">
        <f>G80/$G$80</f>
        <v/>
      </c>
      <c r="I80" s="233">
        <f>ROUND(HLOOKUP($I$2,bs!$C$1:$AB$110,MATCH(TRIM(B80),TRIM(bs!$B$1:$B$110),0),FALSE),0)/IF(ISNUMBER(SEARCH("亿",$B$1)),100000000,IF(ISNUMBER(SEARCH("万",$B$1)),10000,1))</f>
        <v/>
      </c>
      <c r="J80" s="105">
        <f>I80/$I$80</f>
        <v/>
      </c>
      <c r="K80" s="20" t="inlineStr">
        <is>
          <t>公式不太一样</t>
        </is>
      </c>
      <c r="L80" s="103">
        <f>D80+F80+H80+J80</f>
        <v/>
      </c>
      <c r="M80" s="111" t="inlineStr">
        <is>
          <t>总负债</t>
        </is>
      </c>
      <c r="O80">
        <f>CONCATENATE($N$2,$N$1,M80,"分别为",TEXT(I80,"#,##0.00"),"万元、",TEXT(G80,"#,##0.00"),"万元、",TEXT(E80,"#,##0.00"),"万元及",TEXT(C80,"#,##0.00"),"万元。")</f>
        <v/>
      </c>
      <c r="P80" t="n">
        <v>0</v>
      </c>
    </row>
    <row r="81">
      <c r="B81" s="107" t="n"/>
      <c r="C81" s="108" t="n"/>
      <c r="D81" s="109" t="n"/>
      <c r="E81" s="108" t="n"/>
      <c r="F81" s="109" t="n"/>
      <c r="G81" s="110" t="n"/>
      <c r="H81" s="109" t="n"/>
      <c r="I81" s="110">
        <f>B1</f>
        <v/>
      </c>
      <c r="J81" s="109" t="n"/>
      <c r="L81" s="103" t="n"/>
      <c r="M81" s="103" t="n"/>
      <c r="P81" t="n">
        <v>0</v>
      </c>
    </row>
    <row r="82">
      <c r="B82" s="104" t="inlineStr">
        <is>
          <t>项目</t>
        </is>
      </c>
      <c r="C82" s="96">
        <f>C2</f>
        <v/>
      </c>
      <c r="D82" s="3" t="n"/>
      <c r="E82" s="96">
        <f>E2</f>
        <v/>
      </c>
      <c r="F82" s="3" t="n"/>
      <c r="G82" s="96">
        <f>G2</f>
        <v/>
      </c>
      <c r="H82" s="3" t="n"/>
      <c r="I82" s="96">
        <f>I2</f>
        <v/>
      </c>
      <c r="J82" s="3" t="n"/>
      <c r="L82" s="103" t="n"/>
      <c r="M82" s="103" t="n"/>
      <c r="P82" t="n">
        <v>0</v>
      </c>
    </row>
    <row r="83">
      <c r="B83" s="57" t="n"/>
      <c r="C83" s="98" t="inlineStr">
        <is>
          <t>金额</t>
        </is>
      </c>
      <c r="D83" s="98" t="inlineStr">
        <is>
          <t>占比</t>
        </is>
      </c>
      <c r="E83" s="98" t="inlineStr">
        <is>
          <t>金额</t>
        </is>
      </c>
      <c r="F83" s="98" t="inlineStr">
        <is>
          <t>占比</t>
        </is>
      </c>
      <c r="G83" s="98" t="inlineStr">
        <is>
          <t>金额</t>
        </is>
      </c>
      <c r="H83" s="98" t="inlineStr">
        <is>
          <t>占比</t>
        </is>
      </c>
      <c r="I83" s="98" t="inlineStr">
        <is>
          <t>金额</t>
        </is>
      </c>
      <c r="J83" s="98" t="inlineStr">
        <is>
          <t>占比</t>
        </is>
      </c>
      <c r="L83" s="103" t="n"/>
      <c r="M83" s="103" t="n"/>
      <c r="P83" t="n">
        <v>0</v>
      </c>
    </row>
    <row r="84">
      <c r="B84" s="99" t="inlineStr">
        <is>
          <t>实收资本（或股本）</t>
        </is>
      </c>
      <c r="C84" s="235">
        <f t="array" ref="C84">ROUND(HLOOKUP($C$2,bs!$C$1:$AB$110,MATCH(TRIM(B84),TRIM(bs!$B$1:$B$110),0),FALSE),0)/IF(ISNUMBER(SEARCH("亿",$B$1)),100000000,IF(ISNUMBER(SEARCH("万",$B$1)),10000,1))</f>
        <v/>
      </c>
      <c r="D84" s="101">
        <f>C84/$C$92</f>
        <v/>
      </c>
      <c r="E84" s="232">
        <f t="array" ref="E84">ROUND(HLOOKUP($E$2,bs!$C$1:$AB$110,MATCH(TRIM(B84),TRIM(bs!$B$1:$B$110),0),FALSE),0)/IF(ISNUMBER(SEARCH("亿",$B$1)),100000000,IF(ISNUMBER(SEARCH("万",$B$1)),10000,1))</f>
        <v/>
      </c>
      <c r="F84" s="101">
        <f>E84/$E$92</f>
        <v/>
      </c>
      <c r="G84" s="233">
        <f t="array" ref="G84">ROUND(HLOOKUP($G$2,bs!$C$1:$AB$110,MATCH(TRIM(B84),TRIM(bs!$B$1:$B$110),0),FALSE),0)/IF(ISNUMBER(SEARCH("亿",$B$1)),100000000,IF(ISNUMBER(SEARCH("万",$B$1)),10000,1))</f>
        <v/>
      </c>
      <c r="H84" s="101">
        <f>G84/$G$92</f>
        <v/>
      </c>
      <c r="I84" s="233">
        <f t="array" ref="I84">ROUND(HLOOKUP($I$2,bs!$C$1:$AB$110,MATCH(TRIM(B84),TRIM(bs!$B$1:$B$110),0),FALSE),0)/IF(ISNUMBER(SEARCH("亿",$B$1)),100000000,IF(ISNUMBER(SEARCH("万",$B$1)),10000,1))</f>
        <v/>
      </c>
      <c r="J84" s="101">
        <f>I84/$I$92</f>
        <v/>
      </c>
      <c r="L84" s="103">
        <f>D84+F84+H84+J84</f>
        <v/>
      </c>
      <c r="M84" s="103">
        <f>B84</f>
        <v/>
      </c>
      <c r="N84">
        <f>CONCATENATE(M84,":",$N$2,$N$1,B84,"分别为",TEXT(I84,"#,##0.00"),"万元、",TEXT(G84,"#,##0.00"),"万元、",TEXT(E84,"#,##0.00"),"万元及",TEXT(C84,"#,##0.00"),"万元，","占净资产的比重分别为",TEXT(J84,"0.00%"),"、",TEXT(H84,"0.00%"),"、",TEXT(F84,"0.00%"),"和",TEXT(D84,"0.00%"),"。")</f>
        <v/>
      </c>
      <c r="P84" t="n">
        <v>0</v>
      </c>
    </row>
    <row r="85">
      <c r="B85" s="99" t="inlineStr">
        <is>
          <t>其他权益工具</t>
        </is>
      </c>
      <c r="C85" s="235">
        <f t="array" ref="C85">ROUND(HLOOKUP($C$2,bs!$C$1:$AB$110,MATCH(TRIM(B85),TRIM(bs!$B$1:$B$110),0),FALSE),0)/IF(ISNUMBER(SEARCH("亿",$B$1)),100000000,IF(ISNUMBER(SEARCH("万",$B$1)),10000,1))</f>
        <v/>
      </c>
      <c r="D85" s="101">
        <f>C85/$C$92</f>
        <v/>
      </c>
      <c r="E85" s="232">
        <f t="array" ref="E85">ROUND(HLOOKUP($E$2,bs!$C$1:$AB$110,MATCH(TRIM(B85),TRIM(bs!$B$1:$B$110),0),FALSE),0)/IF(ISNUMBER(SEARCH("亿",$B$1)),100000000,IF(ISNUMBER(SEARCH("万",$B$1)),10000,1))</f>
        <v/>
      </c>
      <c r="F85" s="101">
        <f>E85/$E$92</f>
        <v/>
      </c>
      <c r="G85" s="233">
        <f t="array" ref="G85">ROUND(HLOOKUP($G$2,bs!$C$1:$AB$110,MATCH(TRIM(B85),TRIM(bs!$B$1:$B$110),0),FALSE),0)/IF(ISNUMBER(SEARCH("亿",$B$1)),100000000,IF(ISNUMBER(SEARCH("万",$B$1)),10000,1))</f>
        <v/>
      </c>
      <c r="H85" s="101">
        <f>G85/$G$92</f>
        <v/>
      </c>
      <c r="I85" s="233">
        <f t="array" ref="I85">ROUND(HLOOKUP($I$2,bs!$C$1:$AB$110,MATCH(TRIM(B85),TRIM(bs!$B$1:$B$110),0),FALSE),0)/IF(ISNUMBER(SEARCH("亿",$B$1)),100000000,IF(ISNUMBER(SEARCH("万",$B$1)),10000,1))</f>
        <v/>
      </c>
      <c r="J85" s="101">
        <f>I85/$I$92</f>
        <v/>
      </c>
      <c r="L85" s="103">
        <f>D85+F85+H85+J85</f>
        <v/>
      </c>
      <c r="M85" s="103">
        <f>B85</f>
        <v/>
      </c>
      <c r="N85">
        <f>CONCATENATE(M85,":",$N$2,$N$1,B85,"分别为",TEXT(I85,"#,##0.00"),"万元、",TEXT(G85,"#,##0.00"),"万元、",TEXT(E85,"#,##0.00"),"万元及",TEXT(C85,"#,##0.00"),"万元，","占净资产的比重分别为",TEXT(J85,"0.00%"),"、",TEXT(H85,"0.00%"),"、",TEXT(F85,"0.00%"),"和",TEXT(D85,"0.00%"),"。")</f>
        <v/>
      </c>
    </row>
    <row r="86">
      <c r="B86" s="99" t="inlineStr">
        <is>
          <t>资本公积</t>
        </is>
      </c>
      <c r="C86" s="235">
        <f t="array" ref="C86">ROUND(HLOOKUP($C$2,bs!$C$1:$AB$110,MATCH(TRIM(B86),TRIM(bs!$B$1:$B$110),0),FALSE),0)/IF(ISNUMBER(SEARCH("亿",$B$1)),100000000,IF(ISNUMBER(SEARCH("万",$B$1)),10000,1))</f>
        <v/>
      </c>
      <c r="D86" s="101">
        <f>C86/$C$92</f>
        <v/>
      </c>
      <c r="E86" s="232">
        <f t="array" ref="E86">ROUND(HLOOKUP($E$2,bs!$C$1:$AB$110,MATCH(TRIM(B86),TRIM(bs!$B$1:$B$110),0),FALSE),0)/IF(ISNUMBER(SEARCH("亿",$B$1)),100000000,IF(ISNUMBER(SEARCH("万",$B$1)),10000,1))</f>
        <v/>
      </c>
      <c r="F86" s="101">
        <f>E86/$E$92</f>
        <v/>
      </c>
      <c r="G86" s="233">
        <f t="array" ref="G86">ROUND(HLOOKUP($G$2,bs!$C$1:$AB$110,MATCH(TRIM(B86),TRIM(bs!$B$1:$B$110),0),FALSE),0)/IF(ISNUMBER(SEARCH("亿",$B$1)),100000000,IF(ISNUMBER(SEARCH("万",$B$1)),10000,1))</f>
        <v/>
      </c>
      <c r="H86" s="101">
        <f>G86/$G$92</f>
        <v/>
      </c>
      <c r="I86" s="233">
        <f t="array" ref="I86">ROUND(HLOOKUP($I$2,bs!$C$1:$AB$110,MATCH(TRIM(B86),TRIM(bs!$B$1:$B$110),0),FALSE),0)/IF(ISNUMBER(SEARCH("亿",$B$1)),100000000,IF(ISNUMBER(SEARCH("万",$B$1)),10000,1))</f>
        <v/>
      </c>
      <c r="J86" s="101">
        <f>I86/$I$92</f>
        <v/>
      </c>
      <c r="L86" s="103">
        <f>D86+F86+H86+J86</f>
        <v/>
      </c>
      <c r="M86" s="103">
        <f>B86</f>
        <v/>
      </c>
      <c r="N86">
        <f>CONCATENATE(M86,":",$N$2,$N$1,B86,"分别为",TEXT(I86,"#,##0.00"),"万元、",TEXT(G86,"#,##0.00"),"万元、",TEXT(E86,"#,##0.00"),"万元及",TEXT(C86,"#,##0.00"),"万元，","占净资产的比重分别为",TEXT(J86,"0.00%"),"、",TEXT(H86,"0.00%"),"、",TEXT(F86,"0.00%"),"和",TEXT(D86,"0.00%"),"。")</f>
        <v/>
      </c>
      <c r="P86" t="n">
        <v>0</v>
      </c>
    </row>
    <row r="87">
      <c r="B87" s="99" t="inlineStr">
        <is>
          <t xml:space="preserve">  其他综合收益 </t>
        </is>
      </c>
      <c r="C87" s="235">
        <f t="array" ref="C87">ROUND(HLOOKUP($C$2,bs!$C$1:$AB$110,MATCH(TRIM(B87),TRIM(bs!$B$1:$B$110),0),FALSE),0)/IF(ISNUMBER(SEARCH("亿",$B$1)),100000000,IF(ISNUMBER(SEARCH("万",$B$1)),10000,1))</f>
        <v/>
      </c>
      <c r="D87" s="101">
        <f>C87/$C$92</f>
        <v/>
      </c>
      <c r="E87" s="232">
        <f t="array" ref="E87">ROUND(HLOOKUP($E$2,bs!$C$1:$AB$110,MATCH(TRIM(B87),TRIM(bs!$B$1:$B$110),0),FALSE),0)/IF(ISNUMBER(SEARCH("亿",$B$1)),100000000,IF(ISNUMBER(SEARCH("万",$B$1)),10000,1))</f>
        <v/>
      </c>
      <c r="F87" s="101">
        <f>E87/$E$92</f>
        <v/>
      </c>
      <c r="G87" s="233">
        <f t="array" ref="G87">ROUND(HLOOKUP($G$2,bs!$C$1:$AB$110,MATCH(TRIM(B87),TRIM(bs!$B$1:$B$110),0),FALSE),0)/IF(ISNUMBER(SEARCH("亿",$B$1)),100000000,IF(ISNUMBER(SEARCH("万",$B$1)),10000,1))</f>
        <v/>
      </c>
      <c r="H87" s="101">
        <f>G87/$G$92</f>
        <v/>
      </c>
      <c r="I87" s="233">
        <f t="array" ref="I87">ROUND(HLOOKUP($I$2,bs!$C$1:$AB$110,MATCH(TRIM(B87),TRIM(bs!$B$1:$B$110),0),FALSE),0)/IF(ISNUMBER(SEARCH("亿",$B$1)),100000000,IF(ISNUMBER(SEARCH("万",$B$1)),10000,1))</f>
        <v/>
      </c>
      <c r="J87" s="101">
        <f>I87/$I$92</f>
        <v/>
      </c>
      <c r="L87" s="103">
        <f>D87+F87+H87+J87</f>
        <v/>
      </c>
      <c r="M87" s="103">
        <f>B87</f>
        <v/>
      </c>
      <c r="N87">
        <f>CONCATENATE(M87,":",$N$2,$N$1,B87,"分别为",TEXT(I87,"#,##0.00"),"万元、",TEXT(G87,"#,##0.00"),"万元、",TEXT(E87,"#,##0.00"),"万元及",TEXT(C87,"#,##0.00"),"万元，","占净资产的比重分别为",TEXT(J87,"0.00%"),"、",TEXT(H87,"0.00%"),"、",TEXT(F87,"0.00%"),"和",TEXT(D87,"0.00%"),"。")</f>
        <v/>
      </c>
    </row>
    <row r="88">
      <c r="B88" s="99" t="inlineStr">
        <is>
          <t>盈余公积</t>
        </is>
      </c>
      <c r="C88" s="235">
        <f t="array" ref="C88">ROUND(HLOOKUP($C$2,bs!$C$1:$AB$110,MATCH(TRIM(B88),TRIM(bs!$B$1:$B$110),0),FALSE),0)/IF(ISNUMBER(SEARCH("亿",$B$1)),100000000,IF(ISNUMBER(SEARCH("万",$B$1)),10000,1))</f>
        <v/>
      </c>
      <c r="D88" s="101">
        <f>C88/$C$92</f>
        <v/>
      </c>
      <c r="E88" s="232">
        <f t="array" ref="E88">ROUND(HLOOKUP($E$2,bs!$C$1:$AB$110,MATCH(TRIM(B88),TRIM(bs!$B$1:$B$110),0),FALSE),0)/IF(ISNUMBER(SEARCH("亿",$B$1)),100000000,IF(ISNUMBER(SEARCH("万",$B$1)),10000,1))</f>
        <v/>
      </c>
      <c r="F88" s="101">
        <f>E88/$E$92</f>
        <v/>
      </c>
      <c r="G88" s="233">
        <f t="array" ref="G88">ROUND(HLOOKUP($G$2,bs!$C$1:$AB$110,MATCH(TRIM(B88),TRIM(bs!$B$1:$B$110),0),FALSE),0)/IF(ISNUMBER(SEARCH("亿",$B$1)),100000000,IF(ISNUMBER(SEARCH("万",$B$1)),10000,1))</f>
        <v/>
      </c>
      <c r="H88" s="101">
        <f>G88/$G$92</f>
        <v/>
      </c>
      <c r="I88" s="233">
        <f t="array" ref="I88">ROUND(HLOOKUP($I$2,bs!$C$1:$AB$110,MATCH(TRIM(B88),TRIM(bs!$B$1:$B$110),0),FALSE),0)/IF(ISNUMBER(SEARCH("亿",$B$1)),100000000,IF(ISNUMBER(SEARCH("万",$B$1)),10000,1))</f>
        <v/>
      </c>
      <c r="J88" s="101">
        <f>I88/$I$92</f>
        <v/>
      </c>
      <c r="L88" s="103">
        <f>D88+F88+H88+J88</f>
        <v/>
      </c>
      <c r="M88" s="103">
        <f>B88</f>
        <v/>
      </c>
      <c r="N88">
        <f>CONCATENATE(M88,":",$N$2,$N$1,B88,"分别为",TEXT(I88,"#,##0.00"),"万元、",TEXT(G88,"#,##0.00"),"万元、",TEXT(E88,"#,##0.00"),"万元及",TEXT(C88,"#,##0.00"),"万元，","占净资产的比重分别为",TEXT(J88,"0.00%"),"、",TEXT(H88,"0.00%"),"、",TEXT(F88,"0.00%"),"和",TEXT(D88,"0.00%"),"。")</f>
        <v/>
      </c>
      <c r="P88" t="n">
        <v>0</v>
      </c>
    </row>
    <row r="89">
      <c r="B89" s="99" t="inlineStr">
        <is>
          <t>未分配利润</t>
        </is>
      </c>
      <c r="C89" s="235">
        <f t="array" ref="C89">ROUND(HLOOKUP($C$2,bs!$C$1:$AB$110,MATCH(TRIM(B89),TRIM(bs!$B$1:$B$110),0),FALSE),0)/IF(ISNUMBER(SEARCH("亿",$B$1)),100000000,IF(ISNUMBER(SEARCH("万",$B$1)),10000,1))</f>
        <v/>
      </c>
      <c r="D89" s="101">
        <f>C89/$C$92</f>
        <v/>
      </c>
      <c r="E89" s="232">
        <f t="array" ref="E89">ROUND(HLOOKUP($E$2,bs!$C$1:$AB$110,MATCH(TRIM(B89),TRIM(bs!$B$1:$B$110),0),FALSE),0)/IF(ISNUMBER(SEARCH("亿",$B$1)),100000000,IF(ISNUMBER(SEARCH("万",$B$1)),10000,1))</f>
        <v/>
      </c>
      <c r="F89" s="101">
        <f>E89/$E$92</f>
        <v/>
      </c>
      <c r="G89" s="233">
        <f t="array" ref="G89">ROUND(HLOOKUP($G$2,bs!$C$1:$AB$110,MATCH(TRIM(B89),TRIM(bs!$B$1:$B$110),0),FALSE),0)/IF(ISNUMBER(SEARCH("亿",$B$1)),100000000,IF(ISNUMBER(SEARCH("万",$B$1)),10000,1))</f>
        <v/>
      </c>
      <c r="H89" s="101">
        <f>G89/$G$92</f>
        <v/>
      </c>
      <c r="I89" s="233">
        <f t="array" ref="I89">ROUND(HLOOKUP($I$2,bs!$C$1:$AB$110,MATCH(TRIM(B89),TRIM(bs!$B$1:$B$110),0),FALSE),0)/IF(ISNUMBER(SEARCH("亿",$B$1)),100000000,IF(ISNUMBER(SEARCH("万",$B$1)),10000,1))</f>
        <v/>
      </c>
      <c r="J89" s="101">
        <f>I89/$I$92</f>
        <v/>
      </c>
      <c r="L89" s="103">
        <f>D89+F89+H89+J89</f>
        <v/>
      </c>
      <c r="M89" s="103">
        <f>B89</f>
        <v/>
      </c>
      <c r="N89">
        <f>CONCATENATE(M89,":",$N$2,$N$1,B89,"分别为",TEXT(I89,"#,##0.00"),"万元、",TEXT(G89,"#,##0.00"),"万元、",TEXT(E89,"#,##0.00"),"万元及",TEXT(C89,"#,##0.00"),"万元，","占净资产的比重分别为",TEXT(J89,"0.00%"),"、",TEXT(H89,"0.00%"),"、",TEXT(F89,"0.00%"),"和",TEXT(D89,"0.00%"),"。")</f>
        <v/>
      </c>
      <c r="P89" t="n">
        <v>0</v>
      </c>
    </row>
    <row r="90" ht="41" customHeight="1">
      <c r="B90" s="104" t="inlineStr">
        <is>
          <t>归属于母公司所有者权益（或股东权益）合计</t>
        </is>
      </c>
      <c r="C90" s="235">
        <f t="array" ref="C90">ROUND(HLOOKUP($C$2,bs!$C$1:$AB$110,MATCH(TRIM(B90),TRIM(bs!$B$1:$B$110),0),FALSE),0)/IF(ISNUMBER(SEARCH("亿",$B$1)),100000000,IF(ISNUMBER(SEARCH("万",$B$1)),10000,1))</f>
        <v/>
      </c>
      <c r="D90" s="105">
        <f>C90/$C$92</f>
        <v/>
      </c>
      <c r="E90" s="232">
        <f t="array" ref="E90">ROUND(HLOOKUP($E$2,bs!$C$1:$AB$110,MATCH(TRIM(B90),TRIM(bs!$B$1:$B$110),0),FALSE),0)/IF(ISNUMBER(SEARCH("亿",$B$1)),100000000,IF(ISNUMBER(SEARCH("万",$B$1)),10000,1))</f>
        <v/>
      </c>
      <c r="F90" s="105">
        <f>E90/$E$92</f>
        <v/>
      </c>
      <c r="G90" s="233">
        <f t="array" ref="G90">ROUND(HLOOKUP($G$2,bs!$C$1:$AB$110,MATCH(TRIM(B90),TRIM(bs!$B$1:$B$110),0),FALSE),0)/IF(ISNUMBER(SEARCH("亿",$B$1)),100000000,IF(ISNUMBER(SEARCH("万",$B$1)),10000,1))</f>
        <v/>
      </c>
      <c r="H90" s="105">
        <f>G90/$G$92</f>
        <v/>
      </c>
      <c r="I90" s="233">
        <f t="array" ref="I90">ROUND(HLOOKUP($I$2,bs!$C$1:$AB$110,MATCH(TRIM(B90),TRIM(bs!$B$1:$B$110),0),FALSE),0)/IF(ISNUMBER(SEARCH("亿",$B$1)),100000000,IF(ISNUMBER(SEARCH("万",$B$1)),10000,1))</f>
        <v/>
      </c>
      <c r="J90" s="105">
        <f>I90/$I$92</f>
        <v/>
      </c>
      <c r="L90" s="103">
        <f>D90+F90+H90+J90</f>
        <v/>
      </c>
      <c r="M90" s="103">
        <f>B90</f>
        <v/>
      </c>
      <c r="N90">
        <f>CONCATENATE(M90,":",$N$2,$N$1,B90,"分别为",TEXT(I90,"#,##0.00"),"万元、",TEXT(G90,"#,##0.00"),"万元、",TEXT(E90,"#,##0.00"),"万元及",TEXT(C90,"#,##0.00"),"万元，","占净资产的比重分别为",TEXT(J90,"0.00%"),"、",TEXT(H90,"0.00%"),"、",TEXT(F90,"0.00%"),"和",TEXT(D90,"0.00%"),"。")</f>
        <v/>
      </c>
      <c r="P90" t="n">
        <v>0</v>
      </c>
    </row>
    <row r="91">
      <c r="B91" s="104" t="inlineStr">
        <is>
          <t>少数股东权益</t>
        </is>
      </c>
      <c r="C91" s="235">
        <f t="array" ref="C91">ROUND(HLOOKUP($C$2,bs!$C$1:$AB$110,MATCH(TRIM(B91),TRIM(bs!$B$1:$B$110),0),FALSE),0)/IF(ISNUMBER(SEARCH("亿",$B$1)),100000000,IF(ISNUMBER(SEARCH("万",$B$1)),10000,1))</f>
        <v/>
      </c>
      <c r="D91" s="101">
        <f>C91/$C$92</f>
        <v/>
      </c>
      <c r="E91" s="232">
        <f t="array" ref="E91">ROUND(HLOOKUP($E$2,bs!$C$1:$AB$110,MATCH(TRIM(B91),TRIM(bs!$B$1:$B$110),0),FALSE),0)/IF(ISNUMBER(SEARCH("亿",$B$1)),100000000,IF(ISNUMBER(SEARCH("万",$B$1)),10000,1))</f>
        <v/>
      </c>
      <c r="F91" s="101">
        <f>E91/$E$92</f>
        <v/>
      </c>
      <c r="G91" s="233">
        <f t="array" ref="G91">ROUND(HLOOKUP($G$2,bs!$C$1:$AB$110,MATCH(TRIM(B91),TRIM(bs!$B$1:$B$110),0),FALSE),0)/IF(ISNUMBER(SEARCH("亿",$B$1)),100000000,IF(ISNUMBER(SEARCH("万",$B$1)),10000,1))</f>
        <v/>
      </c>
      <c r="H91" s="101">
        <f>G91/$G$92</f>
        <v/>
      </c>
      <c r="I91" s="233">
        <f t="array" ref="I91">ROUND(HLOOKUP($I$2,bs!$C$1:$AB$110,MATCH(TRIM(B91),TRIM(bs!$B$1:$B$110),0),FALSE),0)/IF(ISNUMBER(SEARCH("亿",$B$1)),100000000,IF(ISNUMBER(SEARCH("万",$B$1)),10000,1))</f>
        <v/>
      </c>
      <c r="J91" s="101">
        <f>I91/$I$92</f>
        <v/>
      </c>
      <c r="L91" s="103">
        <f>D91+F91+H91+J91</f>
        <v/>
      </c>
      <c r="M91" s="103">
        <f>B91</f>
        <v/>
      </c>
      <c r="N91">
        <f>CONCATENATE(M91,":",$N$2,$N$1,B91,"分别为",TEXT(I91,"#,##0.00"),"万元、",TEXT(G91,"#,##0.00"),"万元、",TEXT(E91,"#,##0.00"),"万元及",TEXT(C91,"#,##0.00"),"万元，","占净资产的比重分别为",TEXT(J91,"0.00%"),"、",TEXT(H91,"0.00%"),"、",TEXT(F91,"0.00%"),"和",TEXT(D91,"0.00%"),"。")</f>
        <v/>
      </c>
      <c r="P91" t="n">
        <v>0</v>
      </c>
    </row>
    <row r="92" ht="28" customHeight="1">
      <c r="B92" s="104" t="inlineStr">
        <is>
          <t>所有者权益（或股东权益）合计</t>
        </is>
      </c>
      <c r="C92" s="235">
        <f t="array" ref="C92">ROUND(HLOOKUP($C$2,bs!$C$1:$AB$110,MATCH(TRIM(B92),TRIM(bs!$B$1:$B$110),0),FALSE),0)/IF(ISNUMBER(SEARCH("亿",$B$1)),100000000,IF(ISNUMBER(SEARCH("万",$B$1)),10000,1))</f>
        <v/>
      </c>
      <c r="D92" s="105">
        <f>C92/$C$92</f>
        <v/>
      </c>
      <c r="E92" s="232">
        <f t="array" ref="E92">ROUND(HLOOKUP($E$2,bs!$C$1:$AB$110,MATCH(TRIM(B92),TRIM(bs!$B$1:$B$110),0),FALSE),0)/IF(ISNUMBER(SEARCH("亿",$B$1)),100000000,IF(ISNUMBER(SEARCH("万",$B$1)),10000,1))</f>
        <v/>
      </c>
      <c r="F92" s="105">
        <f>E92/$E$92</f>
        <v/>
      </c>
      <c r="G92" s="233">
        <f t="array" ref="G92">ROUND(HLOOKUP($G$2,bs!$C$1:$AB$110,MATCH(TRIM(B92),TRIM(bs!$B$1:$B$110),0),FALSE),0)/IF(ISNUMBER(SEARCH("亿",$B$1)),100000000,IF(ISNUMBER(SEARCH("万",$B$1)),10000,1))</f>
        <v/>
      </c>
      <c r="H92" s="105">
        <f>G92/$G$92</f>
        <v/>
      </c>
      <c r="I92" s="233">
        <f t="array" ref="I92">ROUND(HLOOKUP($I$2,bs!$C$1:$AB$110,MATCH(TRIM(B92),TRIM(bs!$B$1:$B$110),0),FALSE),0)/IF(ISNUMBER(SEARCH("亿",$B$1)),100000000,IF(ISNUMBER(SEARCH("万",$B$1)),10000,1))</f>
        <v/>
      </c>
      <c r="J92" s="105">
        <f>I92/$I$92</f>
        <v/>
      </c>
      <c r="L92" s="103">
        <f>D92+F92+H92+J92</f>
        <v/>
      </c>
      <c r="M92" s="113" t="inlineStr">
        <is>
          <t>净资产</t>
        </is>
      </c>
      <c r="O92">
        <f>CONCATENATE($N$2,$N$1,"净资产","分别为",TEXT(I92,"#,##0.00"),"万元、",TEXT(G92,"#,##0.00"),"万元、",TEXT(E92,"#,##0.00"),"万元及",TEXT(C92,"#,##0.00"),"万元。")</f>
        <v/>
      </c>
      <c r="P92" t="n">
        <v>0</v>
      </c>
    </row>
    <row r="94">
      <c r="C94" s="91">
        <f>MATCH(TRIM(B92),TRIM(bs!$B$1:$B$110),0)</f>
        <v/>
      </c>
    </row>
    <row r="95">
      <c r="B95" s="90" t="inlineStr">
        <is>
          <t>总资产情况</t>
        </is>
      </c>
    </row>
    <row r="96">
      <c r="B96" s="90" t="inlineStr">
        <is>
          <t>流动资产总体情况</t>
        </is>
      </c>
    </row>
    <row r="97">
      <c r="B97" s="90" t="inlineStr">
        <is>
          <t>占比大于2%的科目分析</t>
        </is>
      </c>
    </row>
    <row r="98">
      <c r="B98" s="90" t="inlineStr">
        <is>
          <t>非流动资产总体情况</t>
        </is>
      </c>
    </row>
  </sheetData>
  <autoFilter ref="L3:L92"/>
  <mergeCells count="16">
    <mergeCell ref="I82:J82"/>
    <mergeCell ref="G82:H82"/>
    <mergeCell ref="B47:B48"/>
    <mergeCell ref="C47:D47"/>
    <mergeCell ref="C2:D2"/>
    <mergeCell ref="G47:H47"/>
    <mergeCell ref="G2:H2"/>
    <mergeCell ref="E2:F2"/>
    <mergeCell ref="I47:J47"/>
    <mergeCell ref="I2:J2"/>
    <mergeCell ref="C82:D82"/>
    <mergeCell ref="B1:J1"/>
    <mergeCell ref="B2:B3"/>
    <mergeCell ref="B82:B83"/>
    <mergeCell ref="E47:F47"/>
    <mergeCell ref="E82:F82"/>
  </mergeCells>
  <conditionalFormatting sqref="D4:D17 D22:D43">
    <cfRule type="top10" rank="25" priority="5" dxfId="0" percent="1"/>
    <cfRule type="top10" rank="50" priority="6" percent="1"/>
  </conditionalFormatting>
  <conditionalFormatting sqref="D4:D17 D22:D43 F4:F17 F22:F43 H4:H17 H28:H43 J4:J17 J22:J43">
    <cfRule type="cellIs" priority="1" operator="greaterThan" dxfId="0">
      <formula>0.02</formula>
    </cfRule>
  </conditionalFormatting>
  <conditionalFormatting sqref="F4:F17 F22:F43">
    <cfRule type="top10" rank="20" priority="4" dxfId="0" percent="1"/>
  </conditionalFormatting>
  <conditionalFormatting sqref="H4:H17 H19:H43">
    <cfRule type="cellIs" priority="3" operator="greaterThan" dxfId="0">
      <formula>0.05</formula>
    </cfRule>
  </conditionalFormatting>
  <conditionalFormatting sqref="J4:J17 J22:J43">
    <cfRule type="cellIs" priority="2" operator="greaterThan" dxfId="0">
      <formula>0.05</formula>
    </cfRule>
  </conditionalFormatting>
  <dataValidations count="1">
    <dataValidation sqref="B1" showDropDown="0" showInputMessage="1" showErrorMessage="1" allowBlank="1" type="list">
      <formula1>"单位：元,单位：万元,单位：亿元"</formula1>
    </dataValidation>
  </dataValidation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15">
    <outlinePr summaryBelow="1" summaryRight="1"/>
    <pageSetUpPr/>
  </sheetPr>
  <dimension ref="A1:M53"/>
  <sheetViews>
    <sheetView topLeftCell="D1" workbookViewId="0">
      <selection activeCell="H2" sqref="H2:H11"/>
    </sheetView>
  </sheetViews>
  <sheetFormatPr baseColWidth="8" defaultColWidth="9" defaultRowHeight="15.2"/>
  <cols>
    <col width="36.2857142857143" customWidth="1" min="1" max="1"/>
    <col width="19.5714285714286" customWidth="1" min="2" max="2"/>
    <col width="17.2857142857143" customWidth="1" min="3" max="3"/>
    <col width="17.7142857142857" customWidth="1" min="4" max="4"/>
    <col width="17.2857142857143" customWidth="1" min="5" max="5"/>
    <col width="14.2857142857143" customWidth="1" min="6" max="6"/>
    <col width="26.7142857142857" customWidth="1" min="7" max="7"/>
    <col width="13.2857142857143" customWidth="1" min="8" max="8"/>
    <col width="13.5714285714286" customWidth="1" min="9" max="9"/>
    <col width="14.2857142857143" customWidth="1" min="10" max="10"/>
    <col width="13.5714285714286" customWidth="1" min="11" max="11"/>
  </cols>
  <sheetData>
    <row r="1" ht="17.6" customHeight="1">
      <c r="A1" s="76" t="inlineStr">
        <is>
          <t>项目</t>
        </is>
      </c>
      <c r="B1" s="77">
        <f>'财务分析（2022）版'!B3</f>
        <v/>
      </c>
      <c r="C1" s="77">
        <f>'财务分析（2022）版'!C3</f>
        <v/>
      </c>
      <c r="D1" s="77">
        <f>'财务分析（2022）版'!D3</f>
        <v/>
      </c>
      <c r="E1" s="236">
        <f>'财务分析（2022）版'!E3</f>
        <v/>
      </c>
      <c r="F1" t="inlineStr">
        <is>
          <t>单位：万元</t>
        </is>
      </c>
      <c r="G1" s="79">
        <f>A1</f>
        <v/>
      </c>
      <c r="H1" s="80">
        <f>B1</f>
        <v/>
      </c>
      <c r="I1" s="80">
        <f>C1</f>
        <v/>
      </c>
      <c r="J1" s="80">
        <f>D1</f>
        <v/>
      </c>
      <c r="K1" s="237">
        <f>E1</f>
        <v/>
      </c>
    </row>
    <row r="2" ht="17.6" customHeight="1">
      <c r="A2" s="76" t="inlineStr">
        <is>
          <t>经营活动现金流量净额</t>
        </is>
      </c>
      <c r="B2" s="238">
        <f>B3-B4</f>
        <v/>
      </c>
      <c r="C2" s="238">
        <f>C3-C4</f>
        <v/>
      </c>
      <c r="D2" s="238">
        <f>D3-D4</f>
        <v/>
      </c>
      <c r="E2" s="238">
        <f>E3-E4</f>
        <v/>
      </c>
      <c r="G2" s="79">
        <f>A2</f>
        <v/>
      </c>
      <c r="H2" s="239">
        <f>ROUND(B2,0)/IF(LEN($F$1)&gt;4,10000,1)</f>
        <v/>
      </c>
      <c r="I2" s="239">
        <f>ROUND(C2,0)/IF(LEN($F$1)&gt;4,10000,1)</f>
        <v/>
      </c>
      <c r="J2" s="239">
        <f>ROUND(D2,0)/IF(LEN($F$1)&gt;4,10000,1)</f>
        <v/>
      </c>
      <c r="K2" s="239">
        <f>ROUND(E2,0)/IF(LEN($F$1)&gt;4,10000,1)</f>
        <v/>
      </c>
      <c r="M2">
        <f>CONCATENATE(资产负债权益结构分析!$N$2,资产负债权益结构分析!$N$1,G2,"分别为",ROUND(K2/10000,2),"亿元、",ROUND(J2/10000,2),"亿元、",ROUND(I2/10000,2),"亿元和",ROUND(H2/10000,2),"亿元。")</f>
        <v/>
      </c>
    </row>
    <row r="3" ht="17.6" customHeight="1">
      <c r="A3" s="84" t="inlineStr">
        <is>
          <t>经营活动现金流入</t>
        </is>
      </c>
      <c r="B3" s="240">
        <f>HLOOKUP(B1,cf!$C$1:$Z$57,MATCH(TRIM(A3),TRIM(cf!$B$1:$B$110),0),FALSE)</f>
        <v/>
      </c>
      <c r="C3" s="240">
        <f>HLOOKUP(C1,cf!$C$1:$Z$57,MATCH(TRIM(A3),TRIM(cf!$B$1:$B$110),0),FALSE)</f>
        <v/>
      </c>
      <c r="D3" s="240">
        <f>HLOOKUP(D1,cf!$C$1:$Z$57,MATCH(TRIM(A3),TRIM(cf!$B$1:$B$110),0),FALSE)</f>
        <v/>
      </c>
      <c r="E3" s="240">
        <f>HLOOKUP(E1,cf!$C$1:$Z$57,MATCH(TRIM(A3),TRIM(cf!$B$1:$B$110),0),FALSE)</f>
        <v/>
      </c>
      <c r="G3" s="86">
        <f>A3</f>
        <v/>
      </c>
      <c r="H3" s="241">
        <f>ROUND(B3,0)/IF(LEN($F$1)&gt;4,10000,1)</f>
        <v/>
      </c>
      <c r="I3" s="241">
        <f>ROUND(C3,0)/IF(LEN($F$1)&gt;4,10000,1)</f>
        <v/>
      </c>
      <c r="J3" s="241">
        <f>ROUND(D3,0)/IF(LEN($F$1)&gt;4,10000,1)</f>
        <v/>
      </c>
      <c r="K3" s="241">
        <f>ROUND(E3,0)/IF(LEN($F$1)&gt;4,10000,1)</f>
        <v/>
      </c>
      <c r="M3">
        <f>CONCATENATE(资产负债权益结构分析!$N$2,资产负债权益结构分析!$N$1,G3,"分别为",ROUND(K3/10000,2),"亿元、",ROUND(J3/10000,2),"亿元、",ROUND(I3/10000,2),"亿元和",ROUND(H3/10000,2),"亿元。")</f>
        <v/>
      </c>
    </row>
    <row r="4" ht="17.6" customHeight="1">
      <c r="A4" s="88" t="inlineStr">
        <is>
          <t>经营活动现金流出</t>
        </is>
      </c>
      <c r="B4" s="240">
        <f>HLOOKUP(B1,cf!$C$1:$Z$57,MATCH(TRIM(A4),TRIM(cf!$B$1:$B$110),0),FALSE)</f>
        <v/>
      </c>
      <c r="C4" s="240">
        <f>HLOOKUP(C1,cf!$C$1:$Z$57,MATCH(TRIM(A4),TRIM(cf!$B$1:$B$110),0),FALSE)</f>
        <v/>
      </c>
      <c r="D4" s="240">
        <f>HLOOKUP(D1,cf!$C$1:$Z$57,MATCH(TRIM(A4),TRIM(cf!$B$1:$B$110),0),FALSE)</f>
        <v/>
      </c>
      <c r="E4" s="240">
        <f>HLOOKUP(E1,cf!$C$1:$Z$57,MATCH(TRIM(A4),TRIM(cf!$B$1:$B$110),0),FALSE)</f>
        <v/>
      </c>
      <c r="G4" s="86">
        <f>A4</f>
        <v/>
      </c>
      <c r="H4" s="241">
        <f>ROUND(B4,0)/IF(LEN($F$1)&gt;4,10000,1)</f>
        <v/>
      </c>
      <c r="I4" s="241">
        <f>ROUND(C4,0)/IF(LEN($F$1)&gt;4,10000,1)</f>
        <v/>
      </c>
      <c r="J4" s="241">
        <f>ROUND(D4,0)/IF(LEN($F$1)&gt;4,10000,1)</f>
        <v/>
      </c>
      <c r="K4" s="241">
        <f>ROUND(E4,0)/IF(LEN($F$1)&gt;4,10000,1)</f>
        <v/>
      </c>
      <c r="M4">
        <f>CONCATENATE(资产负债权益结构分析!$N$2,资产负债权益结构分析!$N$1,G4,"分别为",ROUND(K4/10000,2),"亿元、",ROUND(J4/10000,2),"亿元、",ROUND(I4/10000,2),"亿元和",ROUND(H4/10000,2),"亿元。")</f>
        <v/>
      </c>
    </row>
    <row r="5" ht="17.6" customHeight="1">
      <c r="A5" s="76" t="inlineStr">
        <is>
          <t>投资活动现金流量净额</t>
        </is>
      </c>
      <c r="B5" s="238">
        <f>B6-B7</f>
        <v/>
      </c>
      <c r="C5" s="238">
        <f>C6-C7</f>
        <v/>
      </c>
      <c r="D5" s="238">
        <f>D6-D7</f>
        <v/>
      </c>
      <c r="E5" s="238">
        <f>E6-E7</f>
        <v/>
      </c>
      <c r="G5" s="79">
        <f>A5</f>
        <v/>
      </c>
      <c r="H5" s="239">
        <f>ROUND(B5,0)/IF(LEN($F$1)&gt;4,10000,1)</f>
        <v/>
      </c>
      <c r="I5" s="239">
        <f>ROUND(C5,0)/IF(LEN($F$1)&gt;4,10000,1)</f>
        <v/>
      </c>
      <c r="J5" s="239">
        <f>ROUND(D5,0)/IF(LEN($F$1)&gt;4,10000,1)</f>
        <v/>
      </c>
      <c r="K5" s="239">
        <f>ROUND(E5,0)/IF(LEN($F$1)&gt;4,10000,1)</f>
        <v/>
      </c>
      <c r="M5">
        <f>CONCATENATE(资产负债权益结构分析!$N$2,资产负债权益结构分析!$N$1,G5,"分别为",ROUND(K5/10000,2),"亿元、",ROUND(J5/10000,2),"亿元、",ROUND(I5/10000,2),"亿元和",ROUND(H5/10000,2),"亿元。")</f>
        <v/>
      </c>
    </row>
    <row r="6" ht="17.6" customHeight="1">
      <c r="A6" s="88" t="inlineStr">
        <is>
          <t>投资活动现金流入</t>
        </is>
      </c>
      <c r="B6" s="240">
        <f>HLOOKUP(B1,cf!$C$1:$Z$57,MATCH(TRIM(A6),TRIM(cf!$B$1:$B$110),0),FALSE)</f>
        <v/>
      </c>
      <c r="C6" s="240">
        <f>HLOOKUP(C1,cf!$C$1:$Z$57,MATCH(TRIM(A6),TRIM(cf!$B$1:$B$110),0),FALSE)</f>
        <v/>
      </c>
      <c r="D6" s="240">
        <f>HLOOKUP(D1,cf!$C$1:$Z$57,MATCH(TRIM(A6),TRIM(cf!$B$1:$B$110),0),FALSE)</f>
        <v/>
      </c>
      <c r="E6" s="240">
        <f>HLOOKUP(E1,cf!$C$1:$Z$57,MATCH(TRIM(A6),TRIM(cf!$B$1:$B$110),0),FALSE)</f>
        <v/>
      </c>
      <c r="G6" s="86">
        <f>A6</f>
        <v/>
      </c>
      <c r="H6" s="241">
        <f>ROUND(B6,0)/IF(LEN($F$1)&gt;4,10000,1)</f>
        <v/>
      </c>
      <c r="I6" s="241">
        <f>ROUND(C6,0)/IF(LEN($F$1)&gt;4,10000,1)</f>
        <v/>
      </c>
      <c r="J6" s="241">
        <f>ROUND(D6,0)/IF(LEN($F$1)&gt;4,10000,1)</f>
        <v/>
      </c>
      <c r="K6" s="241">
        <f>ROUND(E6,0)/IF(LEN($F$1)&gt;4,10000,1)</f>
        <v/>
      </c>
      <c r="M6">
        <f>CONCATENATE(资产负债权益结构分析!$N$2,资产负债权益结构分析!$N$1,G6,"分别为",ROUND(K6/10000,2),"亿元、",ROUND(J6/10000,2),"亿元、",ROUND(I6/10000,2),"亿元和",ROUND(H6/10000,2),"亿元。")</f>
        <v/>
      </c>
    </row>
    <row r="7" ht="17.6" customHeight="1">
      <c r="A7" s="88" t="inlineStr">
        <is>
          <t>投资活动现金流出</t>
        </is>
      </c>
      <c r="B7" s="240">
        <f>HLOOKUP(B1,cf!$C$1:$Z$57,MATCH(TRIM(A7),TRIM(cf!$B$1:$B$110),0),FALSE)</f>
        <v/>
      </c>
      <c r="C7" s="240">
        <f>HLOOKUP(C1,cf!$C$1:$Z$57,MATCH(TRIM(A7),TRIM(cf!$B$1:$B$110),0),FALSE)</f>
        <v/>
      </c>
      <c r="D7" s="240">
        <f>HLOOKUP(D1,cf!$C$1:$Z$57,MATCH(TRIM(A7),TRIM(cf!$B$1:$B$110),0),FALSE)</f>
        <v/>
      </c>
      <c r="E7" s="240">
        <f>HLOOKUP(E1,cf!$C$1:$Z$57,MATCH(TRIM(A7),TRIM(cf!$B$1:$B$110),0),FALSE)</f>
        <v/>
      </c>
      <c r="G7" s="86">
        <f>A7</f>
        <v/>
      </c>
      <c r="H7" s="241">
        <f>ROUND(B7,0)/IF(LEN($F$1)&gt;4,10000,1)</f>
        <v/>
      </c>
      <c r="I7" s="241">
        <f>ROUND(C7,0)/IF(LEN($F$1)&gt;4,10000,1)</f>
        <v/>
      </c>
      <c r="J7" s="241">
        <f>ROUND(D7,0)/IF(LEN($F$1)&gt;4,10000,1)</f>
        <v/>
      </c>
      <c r="K7" s="241">
        <f>ROUND(E7,0)/IF(LEN($F$1)&gt;4,10000,1)</f>
        <v/>
      </c>
      <c r="M7">
        <f>CONCATENATE(资产负债权益结构分析!$N$2,资产负债权益结构分析!$N$1,G7,"分别为",ROUND(K7/10000,2),"亿元、",ROUND(J7/10000,2),"亿元、",ROUND(I7/10000,2),"亿元和",ROUND(H7/10000,2),"亿元。")</f>
        <v/>
      </c>
    </row>
    <row r="8" ht="17.6" customHeight="1">
      <c r="A8" s="76" t="inlineStr">
        <is>
          <t>筹资活动现金流量净额</t>
        </is>
      </c>
      <c r="B8" s="238">
        <f>B9-B10</f>
        <v/>
      </c>
      <c r="C8" s="238">
        <f>C9-C10</f>
        <v/>
      </c>
      <c r="D8" s="238">
        <f>D9-D10</f>
        <v/>
      </c>
      <c r="E8" s="238">
        <f>E9-E10</f>
        <v/>
      </c>
      <c r="G8" s="79">
        <f>A8</f>
        <v/>
      </c>
      <c r="H8" s="239">
        <f>ROUND(B8,0)/IF(LEN($F$1)&gt;4,10000,1)</f>
        <v/>
      </c>
      <c r="I8" s="239">
        <f>ROUND(C8,0)/IF(LEN($F$1)&gt;4,10000,1)</f>
        <v/>
      </c>
      <c r="J8" s="239">
        <f>ROUND(D8,0)/IF(LEN($F$1)&gt;4,10000,1)</f>
        <v/>
      </c>
      <c r="K8" s="239">
        <f>ROUND(E8,0)/IF(LEN($F$1)&gt;4,10000,1)</f>
        <v/>
      </c>
      <c r="M8">
        <f>CONCATENATE(资产负债权益结构分析!$N$2,资产负债权益结构分析!$N$1,G8,"分别为",ROUND(K8/10000,2),"亿元、",ROUND(J8/10000,2),"亿元、",ROUND(I8/10000,2),"亿元和",ROUND(H8/10000,2),"亿元。")</f>
        <v/>
      </c>
    </row>
    <row r="9" ht="17.6" customHeight="1">
      <c r="A9" s="88" t="inlineStr">
        <is>
          <t>筹资活动现金流入</t>
        </is>
      </c>
      <c r="B9" s="240">
        <f>HLOOKUP(B1,cf!$C$1:$Z$57,MATCH(TRIM(A9),TRIM(cf!$B$1:$B$110),0),FALSE)</f>
        <v/>
      </c>
      <c r="C9" s="240">
        <f>HLOOKUP(C1,cf!$C$1:$Z$57,MATCH(TRIM(A9),TRIM(cf!$B$1:$B$110),0),FALSE)</f>
        <v/>
      </c>
      <c r="D9" s="240">
        <f>HLOOKUP(D1,cf!$C$1:$Z$57,MATCH(TRIM(A9),TRIM(cf!$B$1:$B$110),0),FALSE)</f>
        <v/>
      </c>
      <c r="E9" s="240">
        <f>HLOOKUP(E1,cf!$C$1:$Z$57,MATCH(TRIM(A9),TRIM(cf!$B$1:$B$110),0),FALSE)</f>
        <v/>
      </c>
      <c r="G9" s="86">
        <f>A9</f>
        <v/>
      </c>
      <c r="H9" s="241">
        <f>ROUND(B9,0)/IF(LEN($F$1)&gt;4,10000,1)</f>
        <v/>
      </c>
      <c r="I9" s="241">
        <f>ROUND(C9,0)/IF(LEN($F$1)&gt;4,10000,1)</f>
        <v/>
      </c>
      <c r="J9" s="241">
        <f>ROUND(D9,0)/IF(LEN($F$1)&gt;4,10000,1)</f>
        <v/>
      </c>
      <c r="K9" s="241">
        <f>ROUND(E9,0)/IF(LEN($F$1)&gt;4,10000,1)</f>
        <v/>
      </c>
      <c r="M9">
        <f>CONCATENATE(资产负债权益结构分析!$N$2,资产负债权益结构分析!$N$1,G9,"分别为",ROUND(K9/10000,2),"亿元、",ROUND(J9/10000,2),"亿元、",ROUND(I9/10000,2),"亿元和",ROUND(H9/10000,2),"亿元。")</f>
        <v/>
      </c>
    </row>
    <row r="10" ht="17.6" customHeight="1">
      <c r="A10" s="88" t="inlineStr">
        <is>
          <t>筹资活动现金流出</t>
        </is>
      </c>
      <c r="B10" s="240">
        <f>HLOOKUP(B1,cf!$C$1:$Z$57,MATCH(TRIM(A10),TRIM(cf!$B$1:$B$110),0),FALSE)</f>
        <v/>
      </c>
      <c r="C10" s="240">
        <f>HLOOKUP(C1,cf!$C$1:$Z$57,MATCH(TRIM(A10),TRIM(cf!$B$1:$B$110),0),FALSE)</f>
        <v/>
      </c>
      <c r="D10" s="240">
        <f>HLOOKUP(D1,cf!$C$1:$Z$57,MATCH(TRIM(A10),TRIM(cf!$B$1:$B$110),0),FALSE)</f>
        <v/>
      </c>
      <c r="E10" s="240">
        <f>HLOOKUP(E1,cf!$C$1:$Z$57,MATCH(TRIM(A10),TRIM(cf!$B$1:$B$110),0),FALSE)</f>
        <v/>
      </c>
      <c r="G10" s="86">
        <f>A10</f>
        <v/>
      </c>
      <c r="H10" s="241">
        <f>ROUND(B10,0)/IF(LEN($F$1)&gt;4,10000,1)</f>
        <v/>
      </c>
      <c r="I10" s="241">
        <f>ROUND(C10,0)/IF(LEN($F$1)&gt;4,10000,1)</f>
        <v/>
      </c>
      <c r="J10" s="241">
        <f>ROUND(D10,0)/IF(LEN($F$1)&gt;4,10000,1)</f>
        <v/>
      </c>
      <c r="K10" s="241">
        <f>ROUND(E10,0)/IF(LEN($F$1)&gt;4,10000,1)</f>
        <v/>
      </c>
      <c r="M10">
        <f>CONCATENATE(资产负债权益结构分析!$N$2,资产负债权益结构分析!$N$1,G10,"分别为",ROUND(K10/10000,2),"亿元、",ROUND(J10/10000,2),"亿元、",ROUND(I10/10000,2),"亿元和",ROUND(H10/10000,2),"亿元。")</f>
        <v/>
      </c>
    </row>
    <row r="11" ht="36" customHeight="1">
      <c r="A11" s="88" t="inlineStr">
        <is>
          <t>分配股利、利润或偿付利息支付的现金</t>
        </is>
      </c>
      <c r="B11" s="240">
        <f>HLOOKUP(B1,cf!$C$1:$Z$57,MATCH(TRIM(A11),TRIM(cf!$B$1:$B$110),0),FALSE)</f>
        <v/>
      </c>
      <c r="C11" s="240">
        <f>HLOOKUP(C1,cf!$C$1:$Z$57,MATCH(TRIM(A11),TRIM(cf!$B$1:$B$110),0),FALSE)</f>
        <v/>
      </c>
      <c r="D11" s="240">
        <f>HLOOKUP(D1,cf!$C$1:$Z$57,MATCH(TRIM(A11),TRIM(cf!$B$1:$B$110),0),FALSE)</f>
        <v/>
      </c>
      <c r="E11" s="240">
        <f>HLOOKUP(E1,cf!$C$1:$Z$57,MATCH(TRIM(A11),TRIM(cf!$B$1:$B$110),0),FALSE)</f>
        <v/>
      </c>
      <c r="G11" s="89">
        <f>A11</f>
        <v/>
      </c>
      <c r="H11" s="241">
        <f>ROUND(B11,0)/IF(LEN($F$1)&gt;4,10000,1)</f>
        <v/>
      </c>
      <c r="I11" s="241">
        <f>ROUND(C11,0)/IF(LEN($F$1)&gt;4,10000,1)</f>
        <v/>
      </c>
      <c r="J11" s="241">
        <f>ROUND(D11,0)/IF(LEN($F$1)&gt;4,10000,1)</f>
        <v/>
      </c>
      <c r="K11" s="241">
        <f>ROUND(E11,0)/IF(LEN($F$1)&gt;4,10000,1)</f>
        <v/>
      </c>
      <c r="M11">
        <f>CONCATENATE(资产负债权益结构分析!$N$2,资产负债权益结构分析!$N$1,G11,"分别为",ROUND(K11/10000,2),"亿元、",ROUND(J11/10000,2),"亿元、",ROUND(I11/10000,2),"亿元和",ROUND(H11/10000,2),"亿元。")</f>
        <v/>
      </c>
    </row>
    <row r="16">
      <c r="B16">
        <f>MATCH(TRIM(A3),TRIM(cf!$B$1:$B$110),0)</f>
        <v/>
      </c>
    </row>
    <row r="53">
      <c r="I53">
        <f>CONCATENATE(资产负债权益结构分析!N1,G2,"分别为",ROUND(K2/10000,2),"亿元、",ROUND(J2/10000,2),"亿元、",ROUND(I2/10000,2),"亿元和",ROUND(H2/10000,2),"亿元。")</f>
        <v/>
      </c>
    </row>
  </sheetData>
  <dataValidations count="1">
    <dataValidation sqref="F1" showDropDown="0" showInputMessage="1" showErrorMessage="1" allowBlank="1" type="list">
      <formula1>"单位：元,单位：万元"</formula1>
    </dataValidation>
  </dataValidation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16">
    <outlinePr summaryBelow="1" summaryRight="1"/>
    <pageSetUpPr/>
  </sheetPr>
  <dimension ref="A1:K39"/>
  <sheetViews>
    <sheetView topLeftCell="C18" workbookViewId="0">
      <selection activeCell="H30" sqref="H30"/>
    </sheetView>
  </sheetViews>
  <sheetFormatPr baseColWidth="8" defaultColWidth="9" defaultRowHeight="15.2"/>
  <cols>
    <col width="28.7142857142857" customWidth="1" min="1" max="1"/>
    <col width="23.7142857142857" customWidth="1" min="2" max="2"/>
    <col width="18.2857142857143" customWidth="1" min="3" max="3"/>
    <col width="17.7142857142857" customWidth="1" min="4" max="4"/>
    <col width="19.4285714285714" customWidth="1" min="5" max="5"/>
    <col width="27.5714285714286" customWidth="1" min="7" max="7"/>
    <col width="17.2857142857143" customWidth="1" min="8" max="11"/>
  </cols>
  <sheetData>
    <row r="1" ht="16.8" customHeight="1">
      <c r="A1" s="50" t="inlineStr">
        <is>
          <t>项目</t>
        </is>
      </c>
      <c r="B1" s="51">
        <f>'财务分析（2022）版'!B3</f>
        <v/>
      </c>
      <c r="C1" s="52">
        <f>'财务分析（2022）版'!C3</f>
        <v/>
      </c>
      <c r="D1" s="52">
        <f>'财务分析（2022）版'!D3</f>
        <v/>
      </c>
      <c r="E1" s="52">
        <f>'财务分析（2022）版'!E3</f>
        <v/>
      </c>
      <c r="F1" s="53" t="n"/>
      <c r="G1" s="54" t="inlineStr">
        <is>
          <t>项目</t>
        </is>
      </c>
      <c r="H1" s="55">
        <f>B1</f>
        <v/>
      </c>
      <c r="I1" s="55">
        <f>C1</f>
        <v/>
      </c>
      <c r="J1" s="55">
        <f>D1</f>
        <v/>
      </c>
      <c r="K1" s="55">
        <f>E1</f>
        <v/>
      </c>
    </row>
    <row r="2" ht="16.8" customHeight="1">
      <c r="B2" s="56" t="inlineStr">
        <is>
          <t>金额</t>
        </is>
      </c>
      <c r="C2" s="56" t="inlineStr">
        <is>
          <t>金额</t>
        </is>
      </c>
      <c r="D2" s="56" t="inlineStr">
        <is>
          <t>金额</t>
        </is>
      </c>
      <c r="E2" s="56" t="inlineStr">
        <is>
          <t>金额</t>
        </is>
      </c>
      <c r="F2" s="53" t="n"/>
      <c r="G2" s="57" t="n"/>
      <c r="H2" s="58" t="inlineStr">
        <is>
          <t>金额</t>
        </is>
      </c>
      <c r="I2" s="58" t="inlineStr">
        <is>
          <t>金额</t>
        </is>
      </c>
      <c r="J2" s="58" t="inlineStr">
        <is>
          <t>金额</t>
        </is>
      </c>
      <c r="K2" s="58" t="inlineStr">
        <is>
          <t>金额</t>
        </is>
      </c>
    </row>
    <row r="3" ht="34" customHeight="1">
      <c r="A3" s="59" t="inlineStr">
        <is>
          <t xml:space="preserve">销售商品、提供劳务收到的现金 </t>
        </is>
      </c>
      <c r="B3" s="242">
        <f>HLOOKUP(B1,cf!$C$1:$CI$39,MATCH(TRIM(A3),TRIM(cf!$B$1:$B$110),0),FALSE)</f>
        <v/>
      </c>
      <c r="C3" s="242">
        <f>HLOOKUP(C1,cf!$C$1:$CI$39,MATCH(TRIM(A3),TRIM(cf!$B$1:$B$110),0),FALSE)</f>
        <v/>
      </c>
      <c r="D3" s="242">
        <f>HLOOKUP(D1,cf!$C$1:$CI$39,MATCH(TRIM(A3),TRIM(cf!$B$1:$B$110),0),FALSE)</f>
        <v/>
      </c>
      <c r="E3" s="242">
        <f>HLOOKUP(E1,cf!$C$1:$CI$39,MATCH(TRIM(A3),TRIM(cf!$B$1:$B$110),0),FALSE)</f>
        <v/>
      </c>
      <c r="F3" s="53" t="n"/>
      <c r="G3" s="61">
        <f>A3</f>
        <v/>
      </c>
      <c r="H3" s="243">
        <f>ROUND(B3/10000,0)</f>
        <v/>
      </c>
      <c r="I3" s="243">
        <f>ROUND(C3/10000,0)</f>
        <v/>
      </c>
      <c r="J3" s="243">
        <f>ROUND(D3/10000,0)</f>
        <v/>
      </c>
      <c r="K3" s="243">
        <f>ROUND(E3/10000,0)</f>
        <v/>
      </c>
    </row>
    <row r="4" ht="17" customHeight="1">
      <c r="A4" s="63" t="inlineStr">
        <is>
          <t>营业收入</t>
        </is>
      </c>
      <c r="B4" s="244">
        <f>HLOOKUP(B1,pl!$C$1:$CF$46,MATCH(TRIM(A4),TRIM(pl!$B$1:$B$110),0),FALSE)</f>
        <v/>
      </c>
      <c r="C4" s="244">
        <f>HLOOKUP(C1,pl!$C$1:$CF$46,MATCH(TRIM(A4),TRIM(pl!$B$1:$B$110),0),FALSE)</f>
        <v/>
      </c>
      <c r="D4" s="242">
        <f>HLOOKUP(D1,pl!$C$1:$CF$46,MATCH(TRIM(A4),TRIM(pl!$B$1:$B$110),0),FALSE)</f>
        <v/>
      </c>
      <c r="E4" s="244">
        <f>HLOOKUP(E1,pl!$C$1:$CF$46,MATCH(TRIM(A4),TRIM(pl!$B$1:$B$110),0),FALSE)</f>
        <v/>
      </c>
      <c r="F4" s="53" t="n"/>
      <c r="G4" s="61">
        <f>A4</f>
        <v/>
      </c>
      <c r="H4" s="243">
        <f>ROUND(B4/10000,0)</f>
        <v/>
      </c>
      <c r="I4" s="243">
        <f>ROUND(C4/10000,0)</f>
        <v/>
      </c>
      <c r="J4" s="243">
        <f>ROUND(D4/10000,0)</f>
        <v/>
      </c>
      <c r="K4" s="243">
        <f>ROUND(E4/10000,0)</f>
        <v/>
      </c>
    </row>
    <row r="5" ht="31.5" customHeight="1">
      <c r="A5" s="65" t="inlineStr">
        <is>
          <t>购买商品、接受劳务支付的现金</t>
        </is>
      </c>
      <c r="B5" s="242">
        <f>HLOOKUP(B1,cf!$C$1:$CI$68,MATCH(TRIM(A5),TRIM(cf!$B$1:$B$110),0),FALSE)</f>
        <v/>
      </c>
      <c r="C5" s="242">
        <f>HLOOKUP(C1,cf!$C$1:$CI$68,MATCH(TRIM(A5),TRIM(cf!$B$1:$B$110),0),FALSE)</f>
        <v/>
      </c>
      <c r="D5" s="242">
        <f>HLOOKUP(D1,cf!$C$1:$CI$68,MATCH(TRIM(A5),TRIM(cf!$B$1:$B$110),0),FALSE)</f>
        <v/>
      </c>
      <c r="E5" s="242">
        <f>HLOOKUP(E1,cf!$C$1:$CI$68,MATCH(TRIM(A5),TRIM(cf!$B$1:$B$110),0),FALSE)</f>
        <v/>
      </c>
      <c r="F5" s="53" t="n"/>
      <c r="G5" s="61">
        <f>A5</f>
        <v/>
      </c>
      <c r="H5" s="243">
        <f>ROUND(B5/10000,0)</f>
        <v/>
      </c>
      <c r="I5" s="243">
        <f>ROUND(C5/10000,0)</f>
        <v/>
      </c>
      <c r="J5" s="243">
        <f>ROUND(D5/10000,0)</f>
        <v/>
      </c>
      <c r="K5" s="243">
        <f>ROUND(E5/10000,0)</f>
        <v/>
      </c>
    </row>
    <row r="6" ht="23.25" customHeight="1">
      <c r="A6" s="63" t="inlineStr">
        <is>
          <t>营业成本</t>
        </is>
      </c>
      <c r="B6" s="242">
        <f>HLOOKUP(B1,pl!$C$1:$CF$46,MATCH(TRIM(A6),TRIM(pl!$B$1:$B$110),0),FALSE)</f>
        <v/>
      </c>
      <c r="C6" s="242">
        <f>HLOOKUP(C1,pl!$C$1:$CF$46,MATCH(TRIM(A6),TRIM(pl!$B$1:$B$110),0),FALSE)</f>
        <v/>
      </c>
      <c r="D6" s="242">
        <f>HLOOKUP(D1,pl!$C$1:$CF$46,MATCH(TRIM(A6),TRIM(pl!$B$1:$B$110),0),FALSE)</f>
        <v/>
      </c>
      <c r="E6" s="242">
        <f>HLOOKUP(E1,pl!$C$1:$CF$46,MATCH(TRIM(A6),TRIM(pl!$B$1:$B$110),0),FALSE)</f>
        <v/>
      </c>
      <c r="F6" s="53" t="n"/>
      <c r="G6" s="61">
        <f>A6</f>
        <v/>
      </c>
      <c r="H6" s="243">
        <f>ROUND(B6/10000,0)</f>
        <v/>
      </c>
      <c r="I6" s="243">
        <f>ROUND(C6/10000,0)</f>
        <v/>
      </c>
      <c r="J6" s="243">
        <f>ROUND(D6/10000,0)</f>
        <v/>
      </c>
      <c r="K6" s="243">
        <f>ROUND(E6/10000,0)</f>
        <v/>
      </c>
    </row>
    <row r="7" ht="43.5" customHeight="1">
      <c r="A7" s="65" t="inlineStr">
        <is>
          <t>分配股利、利润或偿付利息支付的现金</t>
        </is>
      </c>
      <c r="B7" s="242">
        <f>HLOOKUP(B1,cf!$C$1:$CI$68,MATCH(TRIM(A7),TRIM(cf!$B$1:$B$110),0),FALSE)</f>
        <v/>
      </c>
      <c r="C7" s="242">
        <f>HLOOKUP(C1,cf!$C$1:$CI$68,MATCH(TRIM(A7),TRIM(cf!$B$1:$B$110),0),FALSE)</f>
        <v/>
      </c>
      <c r="D7" s="242">
        <f>HLOOKUP(D1,cf!$C$1:$CI$68,MATCH(TRIM(A7),TRIM(cf!$B$1:$B$110),0),FALSE)</f>
        <v/>
      </c>
      <c r="E7" s="242">
        <f>HLOOKUP(E1,cf!$C$1:$CI$68,MATCH(TRIM(A7),TRIM(cf!$B$1:$B$110),0),FALSE)</f>
        <v/>
      </c>
      <c r="F7" s="53" t="n"/>
      <c r="G7" s="61">
        <f>A7</f>
        <v/>
      </c>
      <c r="H7" s="243">
        <f>ROUND(B7/10000,0)</f>
        <v/>
      </c>
      <c r="I7" s="243">
        <f>ROUND(C7/10000,0)</f>
        <v/>
      </c>
      <c r="J7" s="243">
        <f>ROUND(D7/10000,0)</f>
        <v/>
      </c>
      <c r="K7" s="243">
        <f>ROUND(E7/10000,0)</f>
        <v/>
      </c>
    </row>
    <row r="8" ht="17" customHeight="1">
      <c r="A8" s="65" t="inlineStr">
        <is>
          <t>财务费用</t>
        </is>
      </c>
      <c r="B8" s="242">
        <f>HLOOKUP($B$1,pl!$C$1:$W$71,MATCH(TRIM(A8),TRIM(pl!$B$1:$B$110),0),FALSE)</f>
        <v/>
      </c>
      <c r="C8" s="242">
        <f>HLOOKUP(C1,pl!$C$1:$W$71,MATCH(TRIM(A8),TRIM(pl!$B$1:$B$110),0),FALSE)</f>
        <v/>
      </c>
      <c r="D8" s="242">
        <f>HLOOKUP(D$1,pl!$C$1:$W$71,MATCH(TRIM($A8),TRIM(pl!$B$1:$B$110),0),FALSE)</f>
        <v/>
      </c>
      <c r="E8" s="242">
        <f>HLOOKUP(E$1,pl!$C$1:$W$71,MATCH(TRIM($A8),TRIM(pl!$B$1:$B$110),0),FALSE)</f>
        <v/>
      </c>
      <c r="F8" s="53" t="n"/>
      <c r="G8" s="61">
        <f>A8</f>
        <v/>
      </c>
      <c r="H8" s="243">
        <f>ROUND(B8/10000,0)</f>
        <v/>
      </c>
      <c r="I8" s="243">
        <f>ROUND(C8/10000,0)</f>
        <v/>
      </c>
      <c r="J8" s="243">
        <f>ROUND(D8/10000,0)</f>
        <v/>
      </c>
      <c r="K8" s="243">
        <f>ROUND(E8/10000,0)</f>
        <v/>
      </c>
    </row>
    <row r="9" ht="17" customHeight="1">
      <c r="A9" s="63" t="inlineStr">
        <is>
          <t>经营活动产生的现金流量净额</t>
        </is>
      </c>
      <c r="B9" s="242">
        <f>HLOOKUP(B$1,cf!$C$1:$CI$68,MATCH(TRIM($A9),TRIM(cf!$B$1:$B$110),0),FALSE)</f>
        <v/>
      </c>
      <c r="C9" s="242">
        <f>HLOOKUP(C$1,cf!$C$1:$CI$68,MATCH(TRIM($A9),TRIM(cf!$B$1:$B$110),0),FALSE)</f>
        <v/>
      </c>
      <c r="D9" s="242">
        <f>HLOOKUP(D$1,cf!$C$1:$CI$68,MATCH(TRIM($A9),TRIM(cf!$B$1:$B$110),0),FALSE)</f>
        <v/>
      </c>
      <c r="E9" s="242">
        <f>HLOOKUP(E$1,cf!$C$1:$CI$68,MATCH(TRIM($A9),TRIM(cf!$B$1:$B$110),0),FALSE)</f>
        <v/>
      </c>
      <c r="F9" s="53" t="n"/>
      <c r="G9" s="61">
        <f>A9</f>
        <v/>
      </c>
      <c r="H9" s="243">
        <f>ROUND(B9/10000,0)</f>
        <v/>
      </c>
      <c r="I9" s="243">
        <f>ROUND(C9/10000,0)</f>
        <v/>
      </c>
      <c r="J9" s="243">
        <f>ROUND(D9/10000,0)</f>
        <v/>
      </c>
      <c r="K9" s="243">
        <f>ROUND(E9/10000,0)</f>
        <v/>
      </c>
    </row>
    <row r="10" ht="17" customHeight="1">
      <c r="A10" s="65" t="inlineStr">
        <is>
          <t>净利润</t>
        </is>
      </c>
      <c r="B10" s="242">
        <f>HLOOKUP(B$1,pl!$C$1:$CF$46,MATCH(TRIM($A10),TRIM(pl!$B$1:$B$110),0),FALSE)</f>
        <v/>
      </c>
      <c r="C10" s="242">
        <f>HLOOKUP(C$1,pl!$C$1:$CF$46,MATCH(TRIM($A10),TRIM(pl!$B$1:$B$110),0),FALSE)</f>
        <v/>
      </c>
      <c r="D10" s="242">
        <f>HLOOKUP(D$1,pl!$C$1:$CF$46,MATCH(TRIM($A10),TRIM(pl!$B$1:$B$110),0),FALSE)</f>
        <v/>
      </c>
      <c r="E10" s="242">
        <f>HLOOKUP(E$1,pl!$C$1:$CF$46,MATCH(TRIM($A10),TRIM(pl!$B$1:$B$110),0),FALSE)</f>
        <v/>
      </c>
      <c r="F10" s="53" t="n"/>
      <c r="G10" s="61">
        <f>A10</f>
        <v/>
      </c>
      <c r="H10" s="243">
        <f>ROUND(B10/10000,0)</f>
        <v/>
      </c>
      <c r="I10" s="243">
        <f>ROUND(C10/10000,0)</f>
        <v/>
      </c>
      <c r="J10" s="243">
        <f>ROUND(D10/10000,0)</f>
        <v/>
      </c>
      <c r="K10" s="243">
        <f>ROUND(E10/10000,0)</f>
        <v/>
      </c>
    </row>
    <row r="11" ht="17" customHeight="1">
      <c r="A11" s="65" t="inlineStr">
        <is>
          <t>盈利现金比</t>
        </is>
      </c>
      <c r="B11" s="242">
        <f>B9/B10</f>
        <v/>
      </c>
      <c r="C11" s="242">
        <f>C9/C10</f>
        <v/>
      </c>
      <c r="D11" s="242">
        <f>D9/D10</f>
        <v/>
      </c>
      <c r="E11" s="242">
        <f>E9/E10</f>
        <v/>
      </c>
      <c r="F11" s="53" t="n"/>
      <c r="G11" s="61">
        <f>A11</f>
        <v/>
      </c>
      <c r="H11" s="243">
        <f>B11</f>
        <v/>
      </c>
      <c r="I11" s="243">
        <f>C11</f>
        <v/>
      </c>
      <c r="J11" s="243">
        <f>D11</f>
        <v/>
      </c>
      <c r="K11" s="243">
        <f>E11</f>
        <v/>
      </c>
    </row>
    <row r="12">
      <c r="G12" s="20" t="inlineStr">
        <is>
          <t>短期借款</t>
        </is>
      </c>
      <c r="H12">
        <f>bs!#REF!</f>
        <v/>
      </c>
      <c r="I12">
        <f>bs!E54</f>
        <v/>
      </c>
      <c r="J12">
        <f>bs!F54</f>
        <v/>
      </c>
      <c r="K12">
        <f>bs!#REF!</f>
        <v/>
      </c>
    </row>
    <row r="13">
      <c r="G13" t="inlineStr">
        <is>
          <t>销售商品收到的现金</t>
        </is>
      </c>
      <c r="H13" t="n">
        <v>57403</v>
      </c>
      <c r="I13" t="n">
        <v>88363</v>
      </c>
      <c r="J13" t="n">
        <v>120993</v>
      </c>
      <c r="K13" t="n">
        <v>110718</v>
      </c>
    </row>
    <row r="14">
      <c r="G14" s="20" t="inlineStr">
        <is>
          <t>应收票据</t>
        </is>
      </c>
    </row>
    <row r="19">
      <c r="G19" s="18" t="n"/>
      <c r="H19" s="66" t="n"/>
      <c r="I19" s="66" t="n"/>
      <c r="J19" s="66" t="n"/>
      <c r="K19" s="245" t="n"/>
    </row>
    <row r="20">
      <c r="G20" s="68" t="inlineStr">
        <is>
          <t>应收票据</t>
        </is>
      </c>
      <c r="H20" s="69" t="n"/>
      <c r="I20" s="69" t="n"/>
      <c r="J20" s="69" t="n"/>
      <c r="K20" s="69" t="n"/>
    </row>
    <row r="21">
      <c r="G21" s="68" t="inlineStr">
        <is>
          <t>应收账款</t>
        </is>
      </c>
      <c r="H21" s="69" t="n"/>
      <c r="I21" s="69" t="n"/>
      <c r="J21" s="69" t="n"/>
      <c r="K21" s="69" t="n"/>
    </row>
    <row r="22">
      <c r="G22" s="18" t="n"/>
      <c r="H22" s="39" t="n"/>
      <c r="I22" s="39" t="n"/>
      <c r="J22" s="39" t="n"/>
      <c r="K22" s="39" t="n"/>
    </row>
    <row r="23">
      <c r="G23" s="68" t="inlineStr">
        <is>
          <t>销售商品、提供劳务收到的现金</t>
        </is>
      </c>
      <c r="H23" s="69" t="n"/>
      <c r="I23" s="69" t="n"/>
      <c r="J23" s="69" t="n"/>
      <c r="K23" s="69" t="n"/>
    </row>
    <row r="24">
      <c r="G24" s="17" t="inlineStr">
        <is>
          <t>合计</t>
        </is>
      </c>
      <c r="H24" s="246">
        <f>H23</f>
        <v/>
      </c>
      <c r="I24" s="246">
        <f>SUM(I23)</f>
        <v/>
      </c>
      <c r="J24" s="246">
        <f>SUM(J21,J23)</f>
        <v/>
      </c>
      <c r="K24" s="246">
        <f>SUM(K21,K20,K23)</f>
        <v/>
      </c>
    </row>
    <row r="25" ht="46" customHeight="1">
      <c r="G25" s="17" t="inlineStr">
        <is>
          <t>合计备注</t>
        </is>
      </c>
      <c r="H25" s="71">
        <f>I25</f>
        <v/>
      </c>
      <c r="I25" s="71">
        <f>G23</f>
        <v/>
      </c>
      <c r="J25" s="72" t="inlineStr">
        <is>
          <t>应收账款+销售商品、提供劳务收到的现金</t>
        </is>
      </c>
      <c r="K25" s="72" t="inlineStr">
        <is>
          <t>应收票据+应收账款+销售商品、提供劳务收到的现金</t>
        </is>
      </c>
    </row>
    <row r="26">
      <c r="G26" s="247" t="inlineStr">
        <is>
          <t>营业收入</t>
        </is>
      </c>
      <c r="H26" s="248" t="n">
        <v>913276863.59</v>
      </c>
      <c r="I26" s="248" t="n">
        <v>1114615416.79</v>
      </c>
      <c r="J26" s="246" t="n">
        <v>1011661321.48</v>
      </c>
      <c r="K26" s="246" t="n">
        <v>1014548010.3</v>
      </c>
    </row>
    <row r="29">
      <c r="G29" s="18" t="n"/>
      <c r="H29" s="66" t="n">
        <v>43465</v>
      </c>
      <c r="I29" s="66" t="n">
        <v>43830</v>
      </c>
      <c r="J29" s="66" t="n">
        <v>44196</v>
      </c>
      <c r="K29" s="245" t="n">
        <v>44530</v>
      </c>
    </row>
    <row r="30">
      <c r="G30" s="68" t="inlineStr">
        <is>
          <t>取得借款所收到的现金</t>
        </is>
      </c>
      <c r="H30" s="249" t="n"/>
      <c r="I30" s="249" t="n"/>
      <c r="J30" s="249" t="n"/>
      <c r="K30" s="249" t="n"/>
    </row>
    <row r="31">
      <c r="G31" s="68" t="inlineStr">
        <is>
          <t>筹资活动产生的现金流量净额</t>
        </is>
      </c>
      <c r="H31" s="250" t="n"/>
      <c r="I31" s="250" t="n"/>
      <c r="J31" s="250" t="n"/>
      <c r="K31" s="250" t="n"/>
    </row>
    <row r="32">
      <c r="G32" s="250" t="inlineStr">
        <is>
          <t>短期借款</t>
        </is>
      </c>
      <c r="H32" s="250" t="n"/>
      <c r="I32" s="250" t="n"/>
      <c r="J32" s="250" t="n"/>
      <c r="K32" s="250" t="n"/>
    </row>
    <row r="33">
      <c r="G33" s="68" t="inlineStr">
        <is>
          <t>应收票据</t>
        </is>
      </c>
      <c r="H33" s="69" t="n"/>
      <c r="I33" s="69" t="n"/>
      <c r="J33" s="69" t="n"/>
      <c r="K33" s="69" t="n"/>
    </row>
    <row r="34">
      <c r="G34" s="68" t="inlineStr">
        <is>
          <t>应收账款</t>
        </is>
      </c>
      <c r="H34" s="69" t="n"/>
      <c r="I34" s="69" t="n"/>
      <c r="J34" s="69" t="n"/>
      <c r="K34" s="69" t="n"/>
    </row>
    <row r="35">
      <c r="G35" s="18" t="n"/>
      <c r="H35" s="66" t="n">
        <v>43465</v>
      </c>
      <c r="I35" s="66" t="n">
        <v>43830</v>
      </c>
      <c r="J35" s="66" t="n">
        <v>44196</v>
      </c>
      <c r="K35" s="245" t="n">
        <v>44530</v>
      </c>
    </row>
    <row r="36">
      <c r="G36" s="68" t="inlineStr">
        <is>
          <t>偿还债务所支付的现金</t>
        </is>
      </c>
      <c r="H36" s="250" t="n"/>
      <c r="I36" s="250" t="n"/>
      <c r="J36" s="250" t="n"/>
      <c r="K36" s="250" t="n"/>
    </row>
    <row r="37">
      <c r="G37" s="68" t="inlineStr">
        <is>
          <t>分配股利、利润或偿付利息支付的现金</t>
        </is>
      </c>
      <c r="H37" s="250" t="n"/>
      <c r="I37" s="250" t="n"/>
      <c r="J37" s="250" t="n"/>
      <c r="K37" s="250" t="n"/>
    </row>
    <row r="38">
      <c r="G38" s="68" t="inlineStr">
        <is>
          <t>支付的其他与筹资活动有关的现金</t>
        </is>
      </c>
      <c r="H38" s="250" t="n"/>
      <c r="I38" s="250" t="n"/>
      <c r="J38" s="250" t="n"/>
      <c r="K38" s="250" t="n"/>
    </row>
    <row r="39">
      <c r="G39" s="68" t="inlineStr">
        <is>
          <t>筹资活动现金流出小计</t>
        </is>
      </c>
      <c r="H39" s="250" t="n"/>
      <c r="I39" s="250" t="n"/>
      <c r="J39" s="250" t="n"/>
      <c r="K39" s="250" t="n"/>
    </row>
  </sheetData>
  <mergeCells count="2">
    <mergeCell ref="G1:G2"/>
    <mergeCell ref="A1:A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17">
    <outlinePr summaryBelow="1" summaryRight="1"/>
    <pageSetUpPr/>
  </sheetPr>
  <dimension ref="B2:F10"/>
  <sheetViews>
    <sheetView workbookViewId="0">
      <selection activeCell="J33" sqref="J33"/>
    </sheetView>
  </sheetViews>
  <sheetFormatPr baseColWidth="8" defaultColWidth="9" defaultRowHeight="15.2"/>
  <cols>
    <col width="19.4285714285714" customWidth="1" min="2" max="2"/>
    <col width="12.2857142857143" customWidth="1" min="3" max="3"/>
    <col width="13.5714285714286" customWidth="1" min="4" max="6"/>
  </cols>
  <sheetData>
    <row r="2" ht="15.95" customHeight="1">
      <c r="F2">
        <f>'财务分析-万位'!G6</f>
        <v/>
      </c>
    </row>
    <row r="3" ht="18.75" customHeight="1">
      <c r="B3" s="45" t="inlineStr">
        <is>
          <t>科目</t>
        </is>
      </c>
      <c r="C3" s="46">
        <f>'财务分析（2022）版'!B3</f>
        <v/>
      </c>
      <c r="D3" s="46">
        <f>'财务分析（2022）版'!C3</f>
        <v/>
      </c>
      <c r="E3" s="46">
        <f>'财务分析（2022）版'!D3</f>
        <v/>
      </c>
      <c r="F3" s="46">
        <f>'财务分析（2022）版'!E3</f>
        <v/>
      </c>
    </row>
    <row r="4" ht="18.75" customHeight="1">
      <c r="B4" s="47" t="inlineStr">
        <is>
          <t>总资产</t>
        </is>
      </c>
      <c r="C4" s="48">
        <f>'财务分析（2022）版'!B55</f>
        <v/>
      </c>
      <c r="D4" s="48">
        <f>'财务分析（2022）版'!C55</f>
        <v/>
      </c>
      <c r="E4" s="48">
        <f>'财务分析（2022）版'!D55</f>
        <v/>
      </c>
      <c r="F4" s="48">
        <f>'财务分析（2022）版'!E55</f>
        <v/>
      </c>
    </row>
    <row r="5" ht="18.75" customHeight="1">
      <c r="B5" s="47" t="inlineStr">
        <is>
          <t>净资产</t>
        </is>
      </c>
      <c r="C5" s="48">
        <f>'财务分析（2022）版'!B108</f>
        <v/>
      </c>
      <c r="D5" s="48">
        <f>'财务分析（2022）版'!C108</f>
        <v/>
      </c>
      <c r="E5" s="48">
        <f>'财务分析（2022）版'!D108</f>
        <v/>
      </c>
      <c r="F5" s="48">
        <f>'财务分析（2022）版'!E108</f>
        <v/>
      </c>
    </row>
    <row r="6" ht="18.75" customHeight="1">
      <c r="B6" s="47" t="inlineStr">
        <is>
          <t>资产负债率</t>
        </is>
      </c>
      <c r="C6" s="49">
        <f>'财务分析（2022）版'!B143</f>
        <v/>
      </c>
      <c r="D6" s="49">
        <f>'财务分析（2022）版'!C143</f>
        <v/>
      </c>
      <c r="E6" s="49">
        <f>'财务分析（2022）版'!D143</f>
        <v/>
      </c>
      <c r="F6" s="49">
        <f>'财务分析（2022）版'!E143</f>
        <v/>
      </c>
    </row>
    <row r="7" ht="18.75" customHeight="1">
      <c r="B7" s="47" t="inlineStr">
        <is>
          <t>营业收入</t>
        </is>
      </c>
      <c r="C7" s="48">
        <f>'财务分析（2022）版'!B111</f>
        <v/>
      </c>
      <c r="D7" s="48">
        <f>'财务分析（2022）版'!C111</f>
        <v/>
      </c>
      <c r="E7" s="48">
        <f>'财务分析（2022）版'!D111</f>
        <v/>
      </c>
      <c r="F7" s="48">
        <f>'财务分析（2022）版'!E111</f>
        <v/>
      </c>
    </row>
    <row r="8" ht="18.75" customHeight="1">
      <c r="B8" s="47" t="inlineStr">
        <is>
          <t>利润总额</t>
        </is>
      </c>
      <c r="C8" s="48">
        <f>'财务分析（2022）版'!B121</f>
        <v/>
      </c>
      <c r="D8" s="48">
        <f>'财务分析（2022）版'!C121</f>
        <v/>
      </c>
      <c r="E8" s="48">
        <f>'财务分析（2022）版'!D121</f>
        <v/>
      </c>
      <c r="F8" s="48">
        <f>'财务分析（2022）版'!E121</f>
        <v/>
      </c>
    </row>
    <row r="9" ht="18.75" customHeight="1">
      <c r="B9" s="47" t="inlineStr">
        <is>
          <t>经营性现金净流量</t>
        </is>
      </c>
      <c r="C9" s="48">
        <f>'财务分析（2022）版'!B130</f>
        <v/>
      </c>
      <c r="D9" s="48">
        <f>'财务分析（2022）版'!C130</f>
        <v/>
      </c>
      <c r="E9" s="48">
        <f>'财务分析（2022）版'!D130</f>
        <v/>
      </c>
      <c r="F9" s="48">
        <f>'财务分析（2022）版'!E130</f>
        <v/>
      </c>
    </row>
    <row r="10" ht="18.75" customHeight="1">
      <c r="B10" s="47" t="inlineStr">
        <is>
          <t>筹资性现金净流量</t>
        </is>
      </c>
      <c r="C10" s="48">
        <f>'财务分析（2022）版'!B136</f>
        <v/>
      </c>
      <c r="D10" s="48">
        <f>'财务分析（2022）版'!C136</f>
        <v/>
      </c>
      <c r="E10" s="48">
        <f>'财务分析（2022）版'!D136</f>
        <v/>
      </c>
      <c r="F10" s="48">
        <f>'财务分析（2022）版'!E136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6">
    <outlinePr summaryBelow="1" summaryRight="1"/>
    <pageSetUpPr/>
  </sheetPr>
  <dimension ref="A1:F25"/>
  <sheetViews>
    <sheetView workbookViewId="0">
      <selection activeCell="B10" sqref="B10:F10"/>
    </sheetView>
  </sheetViews>
  <sheetFormatPr baseColWidth="8" defaultColWidth="9.142857142857141" defaultRowHeight="15.2"/>
  <cols>
    <col width="20.7142857142857" customWidth="1" min="1" max="2"/>
    <col width="24.5714285714286" customWidth="1" min="3" max="3"/>
    <col width="23" customWidth="1" min="4" max="4"/>
    <col width="25.7142857142857" customWidth="1" min="5" max="5"/>
    <col width="24" customWidth="1" min="6" max="6"/>
    <col width="20.7142857142857" customWidth="1" min="7" max="7"/>
  </cols>
  <sheetData>
    <row r="1" ht="18.35" customHeight="1">
      <c r="A1" s="26" t="n"/>
      <c r="B1" s="27" t="n"/>
      <c r="C1" s="251">
        <f>'财务分析（2022）版'!B3</f>
        <v/>
      </c>
      <c r="D1" s="252">
        <f>'财务分析（2022）版'!C3</f>
        <v/>
      </c>
      <c r="E1" s="252">
        <f>'财务分析（2022）版'!D3</f>
        <v/>
      </c>
      <c r="F1" s="252">
        <f>'财务分析（2022）版'!E3</f>
        <v/>
      </c>
    </row>
    <row r="2" ht="18.75" customHeight="1">
      <c r="A2" s="30" t="n"/>
      <c r="B2" s="31" t="inlineStr">
        <is>
          <t>刚性债务总额</t>
        </is>
      </c>
      <c r="C2" s="253">
        <f>C23</f>
        <v/>
      </c>
      <c r="D2" s="253">
        <f>D23</f>
        <v/>
      </c>
      <c r="E2" s="253">
        <f>E23</f>
        <v/>
      </c>
      <c r="F2" s="253">
        <f>F23</f>
        <v/>
      </c>
    </row>
    <row r="3" ht="30" customHeight="1">
      <c r="A3" s="30" t="inlineStr">
        <is>
          <t>按类型分</t>
        </is>
      </c>
      <c r="B3" s="31" t="inlineStr">
        <is>
          <t>银行借款</t>
        </is>
      </c>
      <c r="C3" s="253">
        <f>C16+C20</f>
        <v/>
      </c>
      <c r="D3" s="253">
        <f>D16+D20</f>
        <v/>
      </c>
      <c r="E3" s="253">
        <f>E16+E20</f>
        <v/>
      </c>
      <c r="F3" s="253">
        <f>F16+F20</f>
        <v/>
      </c>
    </row>
    <row r="4" ht="18.75" customHeight="1">
      <c r="A4" s="33" t="n"/>
      <c r="B4" s="31" t="inlineStr">
        <is>
          <t>非标借款</t>
        </is>
      </c>
      <c r="C4" s="253">
        <f>C22</f>
        <v/>
      </c>
      <c r="D4" s="253">
        <f>D22</f>
        <v/>
      </c>
      <c r="E4" s="253">
        <f>E22</f>
        <v/>
      </c>
      <c r="F4" s="253">
        <f>F22</f>
        <v/>
      </c>
    </row>
    <row r="5" ht="18.75" customHeight="1">
      <c r="A5" s="33" t="n"/>
      <c r="B5" s="31" t="inlineStr">
        <is>
          <t xml:space="preserve">  其中：信托</t>
        </is>
      </c>
      <c r="C5" s="253" t="inlineStr">
        <is>
          <t>-</t>
        </is>
      </c>
      <c r="D5" s="253" t="inlineStr">
        <is>
          <t>-</t>
        </is>
      </c>
      <c r="E5" s="253" t="inlineStr">
        <is>
          <t>-</t>
        </is>
      </c>
      <c r="F5" s="254" t="inlineStr">
        <is>
          <t>-</t>
        </is>
      </c>
    </row>
    <row r="6" ht="18.75" customHeight="1">
      <c r="A6" s="33" t="n"/>
      <c r="B6" s="31" t="inlineStr">
        <is>
          <t>其中：租赁</t>
        </is>
      </c>
      <c r="C6" s="253" t="inlineStr">
        <is>
          <t>-</t>
        </is>
      </c>
      <c r="D6" s="253" t="inlineStr">
        <is>
          <t>-</t>
        </is>
      </c>
      <c r="E6" s="253" t="inlineStr">
        <is>
          <t>-</t>
        </is>
      </c>
      <c r="F6" s="254" t="inlineStr">
        <is>
          <t>-</t>
        </is>
      </c>
    </row>
    <row r="7" ht="18.75" customHeight="1">
      <c r="A7" s="35" t="n"/>
      <c r="B7" s="31" t="inlineStr">
        <is>
          <t>债券融资</t>
        </is>
      </c>
      <c r="C7" s="253">
        <f>C21</f>
        <v/>
      </c>
      <c r="D7" s="253">
        <f>D21</f>
        <v/>
      </c>
      <c r="E7" s="253">
        <f>E21</f>
        <v/>
      </c>
      <c r="F7" s="253">
        <f>F21</f>
        <v/>
      </c>
    </row>
    <row r="8" ht="30" customHeight="1">
      <c r="A8" s="30" t="inlineStr">
        <is>
          <t>按期限分</t>
        </is>
      </c>
      <c r="B8" s="31" t="inlineStr">
        <is>
          <t>一年内到期</t>
        </is>
      </c>
      <c r="C8" s="253">
        <f>C19</f>
        <v/>
      </c>
      <c r="D8" s="253">
        <f>D19</f>
        <v/>
      </c>
      <c r="E8" s="253">
        <f>E19</f>
        <v/>
      </c>
      <c r="F8" s="253">
        <f>F19</f>
        <v/>
      </c>
    </row>
    <row r="9" ht="18.75" customHeight="1">
      <c r="A9" s="35" t="n"/>
      <c r="B9" s="36" t="inlineStr">
        <is>
          <t>一年以上</t>
        </is>
      </c>
      <c r="C9" s="255">
        <f>C2-C8</f>
        <v/>
      </c>
      <c r="D9" s="255">
        <f>D2-D8</f>
        <v/>
      </c>
      <c r="E9" s="255">
        <f>E2-E8</f>
        <v/>
      </c>
      <c r="F9" s="255">
        <f>F2-F8</f>
        <v/>
      </c>
    </row>
    <row r="10" ht="58.5" customHeight="1">
      <c r="A10" s="38" t="inlineStr">
        <is>
          <t>租赁期内每年到期债务情况</t>
        </is>
      </c>
      <c r="B10" s="39" t="n"/>
      <c r="C10" s="2" t="n"/>
      <c r="D10" s="2" t="n"/>
      <c r="E10" s="2" t="n"/>
      <c r="F10" s="3" t="n"/>
    </row>
    <row r="11" ht="92" customHeight="1">
      <c r="A11" s="20" t="inlineStr">
        <is>
          <t>刚性债务=短期借款+应付票据+一年内到期的长期借款+应付短期融资券+长期借款+应付债券+其他具期债务</t>
        </is>
      </c>
      <c r="E11" s="40" t="inlineStr">
        <is>
          <t>“刚性负债”=短期借款 应付票据（敞口） 应交税金 一年内到期的长期负债 应付债券 长期借款。短期刚性负债=短期借款 应付票据（敞口） 应交税金 一年内到期的长期负债</t>
        </is>
      </c>
      <c r="F11" t="inlineStr">
        <is>
          <t xml:space="preserve"> </t>
        </is>
      </c>
    </row>
    <row r="12">
      <c r="A12" s="20" t="inlineStr">
        <is>
          <t>银行借款为报表中长期借款与短期借款之和</t>
        </is>
      </c>
    </row>
    <row r="13">
      <c r="A13" s="20" t="inlineStr">
        <is>
          <t>非标借款为长期应付款科目</t>
        </is>
      </c>
    </row>
    <row r="14">
      <c r="A14" s="20" t="inlineStr">
        <is>
          <t>一年内到期为：一年内到期非流动负债科目</t>
        </is>
      </c>
    </row>
    <row r="15">
      <c r="A15" s="20" t="inlineStr">
        <is>
          <t>单位：元</t>
        </is>
      </c>
      <c r="C15" s="256">
        <f>C1</f>
        <v/>
      </c>
      <c r="D15" s="256">
        <f>D1</f>
        <v/>
      </c>
      <c r="E15" s="256">
        <f>E1</f>
        <v/>
      </c>
      <c r="F15" s="256">
        <f>F1</f>
        <v/>
      </c>
    </row>
    <row r="16">
      <c r="B16" s="20" t="inlineStr">
        <is>
          <t>短期借款</t>
        </is>
      </c>
      <c r="C16" s="257">
        <f>ROUND(HLOOKUP(C$1,bs!$C$1:$AB$110,MATCH(TRIM($B16),TRIM(bs!$B$1:$B$110),0),FALSE),0)/IF(LEN($A$15)&gt;4,10000,1)</f>
        <v/>
      </c>
      <c r="D16" s="257">
        <f>ROUND(HLOOKUP(D$1,bs!$C$1:$AB$110,MATCH(TRIM($B16),TRIM(bs!$B$1:$B$110),0),FALSE),0)/IF(LEN($A$15)&gt;4,10000,1)</f>
        <v/>
      </c>
      <c r="E16" s="257">
        <f>ROUND(HLOOKUP(E$1,bs!$C$1:$AB$110,MATCH(TRIM($B16),TRIM(bs!$B$1:$B$110),0),FALSE),0)/IF(LEN($A$15)&gt;4,10000,1)</f>
        <v/>
      </c>
      <c r="F16" s="257">
        <f>ROUND(HLOOKUP(F$1,bs!$C$1:$AB$110,MATCH(TRIM($B16),TRIM(bs!$B$1:$B$110),0),FALSE),0)/IF(LEN($A$15)&gt;4,10000,1)</f>
        <v/>
      </c>
    </row>
    <row r="17">
      <c r="B17" s="20" t="inlineStr">
        <is>
          <t>应付票据</t>
        </is>
      </c>
      <c r="C17" s="257">
        <f>ROUND(HLOOKUP($C1,bs!$C$1:$AB$110,MATCH(TRIM($B17),TRIM(bs!$B$1:$B$110),0),FALSE),0)/IF(LEN($A$15)&gt;4,10000,1)</f>
        <v/>
      </c>
      <c r="D17" s="257">
        <f>ROUND(HLOOKUP($C1,bs!$C$1:$AB$110,MATCH(TRIM($B17),TRIM(bs!$B$1:$B$110),0),FALSE),0)/IF(LEN($A$15)&gt;4,10000,1)</f>
        <v/>
      </c>
      <c r="E17" s="257">
        <f>ROUND(HLOOKUP($C1,bs!$C$1:$AB$110,MATCH(TRIM($B17),TRIM(bs!$B$1:$B$110),0),FALSE),0)/IF(LEN($A$15)&gt;4,10000,1)</f>
        <v/>
      </c>
      <c r="F17" s="257">
        <f>ROUND(HLOOKUP($C1,bs!$C$1:$AB$110,MATCH(TRIM($B17),TRIM(bs!$B$1:$B$110),0),FALSE),0)/IF(LEN($A$15)&gt;4,10000,1)</f>
        <v/>
      </c>
    </row>
    <row r="18">
      <c r="B18" s="20" t="inlineStr">
        <is>
          <t>应交税费</t>
        </is>
      </c>
      <c r="C18" s="257">
        <f>ROUND(HLOOKUP(C$1,bs!$C$1:$AB$110,MATCH(TRIM($B18),TRIM(bs!$B$1:$B$110),0),FALSE),0)/IF(LEN($A$15)&gt;4,10000,1)</f>
        <v/>
      </c>
      <c r="D18" s="257">
        <f>ROUND(HLOOKUP(D$1,bs!$C$1:$AB$110,MATCH(TRIM($B18),TRIM(bs!$B$1:$B$110),0),FALSE),0)/IF(LEN($A$15)&gt;4,10000,1)</f>
        <v/>
      </c>
      <c r="E18" s="257">
        <f>ROUND(HLOOKUP(E$1,bs!$C$1:$AB$110,MATCH(TRIM($B18),TRIM(bs!$B$1:$B$110),0),FALSE),0)/IF(LEN($A$15)&gt;4,10000,1)</f>
        <v/>
      </c>
      <c r="F18" s="257">
        <f>ROUND(HLOOKUP(F$1,bs!$C$1:$AB$110,MATCH(TRIM($B18),TRIM(bs!$B$1:$B$110),0),FALSE),0)/IF(LEN($A$15)&gt;4,10000,1)</f>
        <v/>
      </c>
    </row>
    <row r="19">
      <c r="B19" s="43" t="inlineStr">
        <is>
          <t xml:space="preserve">  一年内到期的非流动负债 </t>
        </is>
      </c>
      <c r="C19" s="257">
        <f>ROUND(HLOOKUP(C$1,bs!$C$1:$AB$110,MATCH(TRIM($B19),TRIM(bs!$B$1:$B$110),0),FALSE),0)/IF(LEN($A$15)&gt;4,10000,1)</f>
        <v/>
      </c>
      <c r="D19" s="257">
        <f>ROUND(HLOOKUP(D$1,bs!$C$1:$AB$110,MATCH(TRIM($B19),TRIM(bs!$B$1:$B$110),0),FALSE),0)/IF(LEN($A$15)&gt;4,10000,1)</f>
        <v/>
      </c>
      <c r="E19" s="257">
        <f>ROUND(HLOOKUP(E$1,bs!$C$1:$AB$110,MATCH(TRIM($B19),TRIM(bs!$B$1:$B$110),0),FALSE),0)/IF(LEN($A$15)&gt;4,10000,1)</f>
        <v/>
      </c>
      <c r="F19" s="257">
        <f>ROUND(HLOOKUP(F$1,bs!$C$1:$AB$110,MATCH(TRIM($B19),TRIM(bs!$B$1:$B$110),0),FALSE),0)/IF(LEN($A$15)&gt;4,10000,1)</f>
        <v/>
      </c>
    </row>
    <row r="20">
      <c r="B20" s="20" t="inlineStr">
        <is>
          <t>长期借款</t>
        </is>
      </c>
      <c r="C20" s="257">
        <f>ROUND(HLOOKUP(C$1,bs!$C$1:$AB$110,MATCH(TRIM($B20),TRIM(bs!$B$1:$B$110),0),FALSE),0)/IF(LEN($A$15)&gt;4,10000,1)</f>
        <v/>
      </c>
      <c r="D20" s="257">
        <f>ROUND(HLOOKUP(D$1,bs!$C$1:$AB$110,MATCH(TRIM($B20),TRIM(bs!$B$1:$B$110),0),FALSE),0)/IF(LEN($A$15)&gt;4,10000,1)</f>
        <v/>
      </c>
      <c r="E20" s="257">
        <f>ROUND(HLOOKUP(E$1,bs!$C$1:$AB$110,MATCH(TRIM($B20),TRIM(bs!$B$1:$B$110),0),FALSE),0)/IF(LEN($A$15)&gt;4,10000,1)</f>
        <v/>
      </c>
      <c r="F20" s="257">
        <f>ROUND(HLOOKUP(F$1,bs!$C$1:$AB$110,MATCH(TRIM($B20),TRIM(bs!$B$1:$B$110),0),FALSE),0)/IF(LEN($A$15)&gt;4,10000,1)</f>
        <v/>
      </c>
    </row>
    <row r="21">
      <c r="B21" s="20" t="inlineStr">
        <is>
          <t>应付债券</t>
        </is>
      </c>
      <c r="C21" s="257">
        <f>ROUND(HLOOKUP(C$1,bs!$C$1:$AB$110,MATCH(TRIM($B21),TRIM(bs!$B$1:$B$110),0),FALSE),0)/IF(LEN($A$15)&gt;4,10000,1)</f>
        <v/>
      </c>
      <c r="D21" s="257">
        <f>ROUND(HLOOKUP(D$1,bs!$C$1:$AB$110,MATCH(TRIM($B21),TRIM(bs!$B$1:$B$110),0),FALSE),0)/IF(LEN($A$15)&gt;4,10000,1)</f>
        <v/>
      </c>
      <c r="E21" s="257">
        <f>ROUND(HLOOKUP(E$1,bs!$C$1:$AB$110,MATCH(TRIM($B21),TRIM(bs!$B$1:$B$110),0),FALSE),0)/IF(LEN($A$15)&gt;4,10000,1)</f>
        <v/>
      </c>
      <c r="F21" s="257">
        <f>ROUND(HLOOKUP(F$1,bs!$C$1:$AB$110,MATCH(TRIM($B21),TRIM(bs!$B$1:$B$110),0),FALSE),0)/IF(LEN($A$15)&gt;4,10000,1)</f>
        <v/>
      </c>
    </row>
    <row r="22">
      <c r="B22" s="20" t="inlineStr">
        <is>
          <t>长期应付款</t>
        </is>
      </c>
      <c r="C22" s="257">
        <f>ROUND(HLOOKUP(C$1,bs!$C$1:$AB$110,MATCH(TRIM($B22),TRIM(bs!$B$1:$B$110),0),FALSE),0)/IF(LEN($A$15)&gt;4,10000,1)</f>
        <v/>
      </c>
      <c r="D22" s="257">
        <f>ROUND(HLOOKUP(D$1,bs!$C$1:$AB$110,MATCH(TRIM($B22),TRIM(bs!$B$1:$B$110),0),FALSE),0)/IF(LEN($A$15)&gt;4,10000,1)</f>
        <v/>
      </c>
      <c r="E22" s="257">
        <f>ROUND(HLOOKUP(E$1,bs!$C$1:$AB$110,MATCH(TRIM($B22),TRIM(bs!$B$1:$B$110),0),FALSE),0)/IF(LEN($A$15)&gt;4,10000,1)</f>
        <v/>
      </c>
      <c r="F22" s="257">
        <f>ROUND(HLOOKUP(F$1,bs!$C$1:$AB$110,MATCH(TRIM($B22),TRIM(bs!$B$1:$B$110),0),FALSE),0)/IF(LEN($A$15)&gt;4,10000,1)</f>
        <v/>
      </c>
    </row>
    <row r="23">
      <c r="B23" s="20" t="inlineStr">
        <is>
          <t>刚性债务</t>
        </is>
      </c>
      <c r="C23" s="257">
        <f>SUM(C16,C19,C20,C22)</f>
        <v/>
      </c>
      <c r="D23" s="257">
        <f>SUM(D16,D19,D20,D22)</f>
        <v/>
      </c>
      <c r="E23" s="257">
        <f>SUM(E16,E19,E20,E22)</f>
        <v/>
      </c>
      <c r="F23" s="257">
        <f>SUM(F16,F19,F20,F22)</f>
        <v/>
      </c>
    </row>
    <row r="24">
      <c r="C24" s="258" t="n"/>
      <c r="D24" s="258" t="n"/>
      <c r="E24" s="258" t="n"/>
      <c r="F24" s="258" t="n"/>
    </row>
    <row r="25">
      <c r="C25" s="258" t="n"/>
      <c r="D25" s="258" t="n"/>
      <c r="E25" s="258" t="n"/>
      <c r="F25" s="258" t="n"/>
    </row>
  </sheetData>
  <mergeCells count="3">
    <mergeCell ref="B10:F10"/>
    <mergeCell ref="A3:A7"/>
    <mergeCell ref="A8:A9"/>
  </mergeCells>
  <dataValidations count="1">
    <dataValidation sqref="A15" showDropDown="0" showInputMessage="1" showErrorMessage="1" allowBlank="1" type="list">
      <formula1>"单位：元,单位：万元"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9">
    <outlinePr summaryBelow="1" summaryRight="1"/>
    <pageSetUpPr/>
  </sheetPr>
  <dimension ref="A1:A6"/>
  <sheetViews>
    <sheetView workbookViewId="0">
      <selection activeCell="F21" sqref="F21"/>
    </sheetView>
  </sheetViews>
  <sheetFormatPr baseColWidth="8" defaultColWidth="9" defaultRowHeight="15.2" outlineLevelRow="5"/>
  <sheetData>
    <row r="1">
      <c r="A1" s="20" t="inlineStr">
        <is>
          <t>更新报表可以制作动态报表</t>
        </is>
      </c>
    </row>
    <row r="2">
      <c r="A2" t="inlineStr">
        <is>
          <t>2022.1.19</t>
        </is>
      </c>
    </row>
    <row r="3" ht="16" customHeight="1">
      <c r="A3" t="inlineStr">
        <is>
          <t>1、与可行格式一致</t>
        </is>
      </c>
    </row>
    <row r="4">
      <c r="A4" t="inlineStr">
        <is>
          <t>2023.09.18</t>
        </is>
      </c>
    </row>
    <row r="5" ht="16" customHeight="1">
      <c r="A5" t="inlineStr">
        <is>
          <t>1、按照新的报表格式进行了更改</t>
        </is>
      </c>
    </row>
    <row r="6" ht="16" customHeight="1">
      <c r="A6" t="inlineStr">
        <is>
          <t>2025.11.26增加wps jsa代码可以从OCR系统直接复制过来数据。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">
    <tabColor indexed="13"/>
    <outlinePr summaryBelow="1" summaryRight="1"/>
    <pageSetUpPr/>
  </sheetPr>
  <dimension ref="A1:I8"/>
  <sheetViews>
    <sheetView workbookViewId="0">
      <selection activeCell="I7" sqref="I7"/>
    </sheetView>
  </sheetViews>
  <sheetFormatPr baseColWidth="8" defaultColWidth="9" defaultRowHeight="15.2" outlineLevelRow="7"/>
  <cols>
    <col width="18" customWidth="1" min="1" max="1"/>
    <col width="15.1428571428571" customWidth="1" min="4" max="4"/>
    <col width="9.71428571428571" customWidth="1" min="5" max="5"/>
    <col width="10.2857142857143" customWidth="1" min="8" max="8"/>
  </cols>
  <sheetData>
    <row r="1">
      <c r="A1" s="21" t="inlineStr">
        <is>
          <t>最新一期报表的时间</t>
        </is>
      </c>
      <c r="B1" s="21" t="inlineStr">
        <is>
          <t>年</t>
        </is>
      </c>
      <c r="C1" s="21" t="inlineStr">
        <is>
          <t>月</t>
        </is>
      </c>
      <c r="D1" s="21" t="inlineStr">
        <is>
          <t>日期</t>
        </is>
      </c>
    </row>
    <row r="2">
      <c r="A2" s="22" t="inlineStr">
        <is>
          <t>2024.12</t>
        </is>
      </c>
      <c r="B2" s="23">
        <f>LEFT(A2,4)</f>
        <v/>
      </c>
      <c r="C2" s="23">
        <f>RIGHT(A2,2)</f>
        <v/>
      </c>
      <c r="D2" s="24">
        <f>TEXT(DATE(B2,C2+1,0),"e/m/d")</f>
        <v/>
      </c>
      <c r="E2" s="25">
        <f>B2&amp;B1&amp;C2&amp;C1</f>
        <v/>
      </c>
      <c r="F2">
        <f>$B$2-I2</f>
        <v/>
      </c>
      <c r="G2" t="inlineStr">
        <is>
          <t>/12/31</t>
        </is>
      </c>
      <c r="H2">
        <f>F2&amp;$G$2</f>
        <v/>
      </c>
      <c r="I2" t="n">
        <v>1</v>
      </c>
    </row>
    <row r="3">
      <c r="F3">
        <f>$B$2-I3</f>
        <v/>
      </c>
      <c r="H3">
        <f>F3&amp;$G$2</f>
        <v/>
      </c>
      <c r="I3" t="n">
        <v>2</v>
      </c>
    </row>
    <row r="4">
      <c r="A4" s="25" t="n"/>
      <c r="F4">
        <f>$B$2-I4</f>
        <v/>
      </c>
      <c r="H4">
        <f>F4&amp;$G$2</f>
        <v/>
      </c>
      <c r="I4" t="n">
        <v>3</v>
      </c>
    </row>
    <row r="5">
      <c r="F5">
        <f>$B$2-I5</f>
        <v/>
      </c>
      <c r="H5">
        <f>F5&amp;$G$2</f>
        <v/>
      </c>
      <c r="I5" t="n">
        <v>4</v>
      </c>
    </row>
    <row r="6">
      <c r="F6">
        <f>$B$2-I6</f>
        <v/>
      </c>
      <c r="H6">
        <f>F6&amp;$G$2</f>
        <v/>
      </c>
      <c r="I6" t="n">
        <v>5</v>
      </c>
    </row>
    <row r="7">
      <c r="F7">
        <f>$B$2-I7</f>
        <v/>
      </c>
      <c r="H7">
        <f>F7&amp;$G$2</f>
        <v/>
      </c>
      <c r="I7" t="n">
        <v>6</v>
      </c>
    </row>
    <row r="8">
      <c r="F8">
        <f>$B$2-I8</f>
        <v/>
      </c>
      <c r="H8">
        <f>F8&amp;$G$2</f>
        <v/>
      </c>
      <c r="I8" t="n">
        <v>7</v>
      </c>
    </row>
  </sheetData>
  <pageMargins left="0.7" right="0.7" top="0.75" bottom="0.75" header="0.3" footer="0.3"/>
  <pageSetup orientation="portrait" paperSize="9"/>
</worksheet>
</file>

<file path=xl/worksheets/sheet16.xml><?xml version="1.0" encoding="utf-8"?>
<worksheet xmlns="http://schemas.openxmlformats.org/spreadsheetml/2006/main">
  <sheetPr codeName="Sheet7">
    <outlinePr summaryBelow="1" summaryRight="1"/>
    <pageSetUpPr/>
  </sheetPr>
  <dimension ref="A1:F7"/>
  <sheetViews>
    <sheetView workbookViewId="0">
      <selection activeCell="A8" sqref="A8"/>
    </sheetView>
  </sheetViews>
  <sheetFormatPr baseColWidth="8" defaultColWidth="9.142857142857141" defaultRowHeight="15.2" outlineLevelRow="6"/>
  <cols>
    <col width="5.28571428571429" customWidth="1" min="1" max="1"/>
    <col width="12.7142857142857" customWidth="1" min="2" max="2"/>
    <col width="19.1428571428571" customWidth="1" min="3" max="3"/>
    <col width="14.7142857142857" customWidth="1" min="4" max="4"/>
    <col width="24.4285714285714" customWidth="1" min="5" max="5"/>
    <col width="4.71428571428571" customWidth="1" min="6" max="6"/>
  </cols>
  <sheetData>
    <row r="1" ht="15.6" customHeight="1">
      <c r="A1" s="10" t="n"/>
      <c r="B1" s="10" t="n"/>
      <c r="C1" s="11" t="n"/>
      <c r="D1" s="11" t="n"/>
      <c r="E1" s="11" t="n"/>
      <c r="F1" s="11" t="n"/>
    </row>
    <row r="2" ht="15.6" customHeight="1">
      <c r="A2" s="12" t="n"/>
      <c r="B2" s="13" t="n"/>
      <c r="C2" s="259" t="n"/>
      <c r="D2" s="260" t="n"/>
      <c r="E2" s="12" t="n"/>
      <c r="F2" s="12" t="n"/>
    </row>
    <row r="3" ht="15.6" customHeight="1">
      <c r="A3" s="12" t="n"/>
      <c r="B3" s="13" t="n"/>
      <c r="C3" s="261" t="n"/>
      <c r="D3" s="260" t="n"/>
      <c r="E3" s="12" t="n"/>
      <c r="F3" s="12" t="n"/>
    </row>
    <row r="4" ht="15.6" customHeight="1">
      <c r="A4" s="12" t="n"/>
      <c r="B4" s="13" t="n"/>
      <c r="C4" s="261" t="n"/>
      <c r="D4" s="260" t="n"/>
      <c r="E4" s="12" t="n"/>
      <c r="F4" s="12" t="n"/>
    </row>
    <row r="5">
      <c r="A5" s="17" t="n"/>
      <c r="B5" s="18" t="n"/>
      <c r="C5" s="18" t="n"/>
      <c r="D5" s="250" t="n"/>
      <c r="E5" s="18" t="n"/>
      <c r="F5" s="18" t="n"/>
    </row>
    <row r="6">
      <c r="B6" t="inlineStr">
        <is>
          <t>bug</t>
        </is>
      </c>
    </row>
    <row r="7">
      <c r="B7" s="20" t="inlineStr">
        <is>
          <t>现金流量表7501计算，没加上7401的错误</t>
        </is>
      </c>
    </row>
  </sheetData>
  <pageMargins left="0.75" right="0.75" top="1" bottom="1" header="0.5" footer="0.5"/>
  <pageSetup orientation="portrait" paperSize="9"/>
</worksheet>
</file>

<file path=xl/worksheets/sheet17.xml><?xml version="1.0" encoding="utf-8"?>
<worksheet xmlns="http://schemas.openxmlformats.org/spreadsheetml/2006/main">
  <sheetPr codeName="Sheet11">
    <outlinePr summaryBelow="1" summaryRight="1"/>
    <pageSetUpPr/>
  </sheetPr>
  <dimension ref="A1:E9"/>
  <sheetViews>
    <sheetView workbookViewId="0">
      <selection activeCell="E8" sqref="A2:E8"/>
    </sheetView>
  </sheetViews>
  <sheetFormatPr baseColWidth="8" defaultColWidth="9" defaultRowHeight="15.2"/>
  <cols>
    <col width="5" customWidth="1" min="1" max="1"/>
    <col width="39.4285714285714" customWidth="1" min="2" max="2"/>
    <col width="12.8571428571429" customWidth="1" min="3" max="3"/>
    <col width="20.7142857142857" customWidth="1" min="4" max="4"/>
    <col width="14.8571428571429" customWidth="1" min="5" max="5"/>
  </cols>
  <sheetData>
    <row r="1" ht="16.8" customHeight="1">
      <c r="A1" s="1" t="inlineStr">
        <is>
          <t>应收账款前五大</t>
        </is>
      </c>
      <c r="B1" s="2" t="n"/>
      <c r="C1" s="2" t="n"/>
      <c r="D1" s="2" t="n"/>
      <c r="E1" s="3" t="n"/>
    </row>
    <row r="2" ht="16.8" customHeight="1">
      <c r="A2" s="1" t="inlineStr">
        <is>
          <t>序号</t>
        </is>
      </c>
      <c r="B2" s="1" t="inlineStr">
        <is>
          <t>客户名称</t>
        </is>
      </c>
      <c r="C2" s="1" t="inlineStr">
        <is>
          <t>款项性质</t>
        </is>
      </c>
      <c r="D2" s="1" t="inlineStr">
        <is>
          <t>2023年12月31日金额</t>
        </is>
      </c>
      <c r="E2" s="1" t="inlineStr">
        <is>
          <t>占报表金额比例</t>
        </is>
      </c>
    </row>
    <row r="3" ht="16.8" customHeight="1">
      <c r="A3" s="4" t="n">
        <v>1</v>
      </c>
      <c r="B3" s="4" t="inlineStr">
        <is>
          <t>中国移动通信集团上海有限公司</t>
        </is>
      </c>
      <c r="C3" s="4" t="inlineStr">
        <is>
          <t>经营租赁</t>
        </is>
      </c>
      <c r="D3" s="262" t="n">
        <v>38153768.4100311</v>
      </c>
      <c r="E3" s="6">
        <f>D3/bs!$D$9</f>
        <v/>
      </c>
    </row>
    <row r="4" ht="16.8" customHeight="1">
      <c r="A4" s="4" t="n">
        <v>2</v>
      </c>
      <c r="B4" s="4" t="inlineStr">
        <is>
          <t>中国移动通信集团广东有限公司广州分公司</t>
        </is>
      </c>
      <c r="C4" s="4" t="inlineStr">
        <is>
          <t>经营租赁</t>
        </is>
      </c>
      <c r="D4" s="262" t="n">
        <v>19345181.8145461</v>
      </c>
      <c r="E4" s="6">
        <f>D4/bs!$D$9</f>
        <v/>
      </c>
    </row>
    <row r="5" ht="16.8" customHeight="1">
      <c r="A5" s="4" t="n">
        <v>3</v>
      </c>
      <c r="B5" s="4" t="inlineStr">
        <is>
          <t>中国移动通信集团广东有限公司深圳分公司</t>
        </is>
      </c>
      <c r="C5" s="4" t="inlineStr">
        <is>
          <t>经营租赁</t>
        </is>
      </c>
      <c r="D5" s="262" t="n">
        <v>15144306.6453982</v>
      </c>
      <c r="E5" s="6">
        <f>D5/bs!$D$9</f>
        <v/>
      </c>
    </row>
    <row r="6" ht="16.8" customHeight="1">
      <c r="A6" s="4" t="n">
        <v>4</v>
      </c>
      <c r="B6" s="7" t="inlineStr">
        <is>
          <t>中铁广州工程局集团管线工程有限公司</t>
        </is>
      </c>
      <c r="C6" s="4" t="inlineStr">
        <is>
          <t>通信工程服务</t>
        </is>
      </c>
      <c r="D6" s="263" t="n">
        <v>14230500</v>
      </c>
      <c r="E6" s="6">
        <f>D6/bs!$D$9</f>
        <v/>
      </c>
    </row>
    <row r="7" ht="16.8" customHeight="1">
      <c r="A7" s="4" t="n">
        <v>5</v>
      </c>
      <c r="B7" s="7" t="inlineStr">
        <is>
          <t>中国电信股份有限公司上海分公司</t>
        </is>
      </c>
      <c r="C7" s="4" t="inlineStr">
        <is>
          <t>经营租赁</t>
        </is>
      </c>
      <c r="D7" s="263" t="n">
        <v>11559092.5317092</v>
      </c>
      <c r="E7" s="6">
        <f>D7/bs!$D$9</f>
        <v/>
      </c>
    </row>
    <row r="8" ht="16.8" customHeight="1">
      <c r="A8" s="9" t="n"/>
      <c r="B8" s="9" t="n"/>
      <c r="C8" s="4" t="inlineStr">
        <is>
          <t>合计金额</t>
        </is>
      </c>
      <c r="D8" s="262">
        <f>SUM(D3:D7)</f>
        <v/>
      </c>
      <c r="E8" s="6">
        <f>D8/bs!$D$9</f>
        <v/>
      </c>
    </row>
    <row r="9" ht="16.8" customHeight="1">
      <c r="A9" s="9" t="n"/>
      <c r="B9" s="9" t="n"/>
      <c r="C9" s="4" t="n"/>
      <c r="D9" s="262" t="n"/>
      <c r="E9" s="9" t="n"/>
    </row>
  </sheetData>
  <mergeCells count="1">
    <mergeCell ref="A1:E1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徐晓冬</dc:creator>
  <dc:title xmlns:dc="http://purl.org/dc/elements/1.1/">报表模板</dc:title>
  <dc:description xmlns:dc="http://purl.org/dc/elements/1.1/">2023年新版</dc:description>
  <dcterms:created xmlns:dcterms="http://purl.org/dc/terms/" xmlns:xsi="http://www.w3.org/2001/XMLSchema-instance" xsi:type="dcterms:W3CDTF">2012-10-11T05:54:00Z</dcterms:created>
  <dcterms:modified xmlns:dcterms="http://purl.org/dc/terms/" xmlns:xsi="http://www.w3.org/2001/XMLSchema-instance" xsi:type="dcterms:W3CDTF">2026-02-27T15:21:04Z</dcterms:modified>
  <cp:lastModifiedBy>徐晓冬</cp:lastModifiedBy>
  <cp:category>报表模板</cp:category>
  <cp:keywords>报表模板</cp:keywords>
</cp:coreProperties>
</file>

<file path=docProps/custom.xml><?xml version="1.0" encoding="utf-8"?>
<Properties xmlns="http://schemas.openxmlformats.org/officeDocument/2006/custom-properties">
  <property name="KSOProductBuildVer" fmtid="{D5CDD505-2E9C-101B-9397-08002B2CF9AE}" pid="2">
    <vt:lpwstr xmlns:vt="http://schemas.openxmlformats.org/officeDocument/2006/docPropsVTypes">2052-12.1.25201.25201</vt:lpwstr>
  </property>
  <property name="ICV" fmtid="{D5CDD505-2E9C-101B-9397-08002B2CF9AE}" pid="3">
    <vt:lpwstr xmlns:vt="http://schemas.openxmlformats.org/officeDocument/2006/docPropsVTypes">D7C7F2545298C68903DB9E697DD4789C_43</vt:lpwstr>
  </property>
  <property name="部门" fmtid="{D5CDD505-2E9C-101B-9397-08002B2CF9AE}" pid="4">
    <vt:lpwstr xmlns:vt="http://schemas.openxmlformats.org/officeDocument/2006/docPropsVTypes">业务四部</vt:lpwstr>
  </property>
  <property name="CalculationRule" fmtid="{D5CDD505-2E9C-101B-9397-08002B2CF9AE}" pid="5">
    <vt:i4 xmlns:vt="http://schemas.openxmlformats.org/officeDocument/2006/docPropsVTypes">0</vt:i4>
  </property>
</Properties>
</file>