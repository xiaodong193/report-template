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5788" windowHeight="14185" firstSheet="5" activeTab="6"/>
  </bookViews>
  <sheets>
    <sheet name="bs" sheetId="4" r:id="rId1"/>
    <sheet name="pl" sheetId="9" r:id="rId2"/>
    <sheet name="cf" sheetId="13" r:id="rId3"/>
    <sheet name="财务分析（2022）版" sheetId="25" r:id="rId4"/>
    <sheet name="财务分析-万位" sheetId="8" state="hidden" r:id="rId5"/>
    <sheet name="资产负债权益结构分析" sheetId="22" r:id="rId6"/>
    <sheet name="现金流分析表" sheetId="19" r:id="rId7"/>
    <sheet name="财务对比分析表" sheetId="20" r:id="rId8"/>
    <sheet name="财务变化表" sheetId="21" r:id="rId9"/>
    <sheet name="刚性负债情况" sheetId="26" r:id="rId10"/>
    <sheet name="版本更新说明" sheetId="24" r:id="rId11"/>
    <sheet name="初始设置" sheetId="23" r:id="rId12"/>
    <sheet name="Sheet1" sheetId="27" r:id="rId13"/>
  </sheets>
  <definedNames>
    <definedName name="_xlnm._FilterDatabase" localSheetId="3" hidden="1">'财务分析（2022）版'!$F$5:$H$163</definedName>
    <definedName name="_xlnm._FilterDatabase" localSheetId="5" hidden="1">资产负债权益结构分析!$L$3:$L$92</definedName>
    <definedName name="_xlnm._FilterDatabase" localSheetId="0" hidden="1">bs!$A$1:$E$111</definedName>
    <definedName name="_xlnm._FilterDatabase" localSheetId="2" hidden="1">cf!$A$1:$E$57</definedName>
    <definedName name="_xlnm._FilterDatabase" localSheetId="1" hidden="1">pl!$A$1:$E$70</definedName>
    <definedName name="_xlnm.Print_Area" localSheetId="3">'财务分析（2022）版'!$A$1:$E$163</definedName>
  </definedNames>
  <calcPr calcId="144525"/>
  <customWorkbookViews>
    <customWorkbookView name="显示全部视图" guid="{EFE5EB9F-962C-4232-9E60-22B2AE19D01B}" maximized="1" xWindow="-8" yWindow="-8" windowWidth="1456" windowHeight="876" activeSheetId="4"/>
  </customWorkbookViews>
</workbook>
</file>

<file path=xl/sharedStrings.xml><?xml version="1.0" encoding="utf-8"?>
<sst xmlns="http://schemas.openxmlformats.org/spreadsheetml/2006/main" count="691" uniqueCount="515">
  <si>
    <t>项目编号</t>
  </si>
  <si>
    <t>项目名称（元）</t>
  </si>
  <si>
    <r>
      <rPr>
        <sz val="9"/>
        <color rgb="FF000000"/>
        <rFont val="宋体"/>
        <charset val="134"/>
      </rPr>
      <t>流动资产：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</si>
  <si>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货币资金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</si>
  <si>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结算备付金</t>
    </r>
    <r>
      <rPr>
        <sz val="9"/>
        <color rgb="FF000000"/>
        <rFont val="Dialog.plain"/>
        <charset val="134"/>
      </rPr>
      <t xml:space="preserve">*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</si>
  <si>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拆出资金</t>
    </r>
    <r>
      <rPr>
        <sz val="9"/>
        <color rgb="FF000000"/>
        <rFont val="Dialog.plain"/>
        <charset val="134"/>
      </rPr>
      <t xml:space="preserve">*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</si>
  <si>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交易性金融资产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</si>
  <si>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衍生金融资产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</si>
  <si>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应收票据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</si>
  <si>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应收账款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</si>
  <si>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应收款项融资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</si>
  <si>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预付款项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</si>
  <si>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应收保费</t>
    </r>
    <r>
      <rPr>
        <sz val="9"/>
        <color rgb="FF000000"/>
        <rFont val="Dialog.plain"/>
        <charset val="134"/>
      </rPr>
      <t xml:space="preserve">*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</si>
  <si>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应收分保账款</t>
    </r>
    <r>
      <rPr>
        <sz val="9"/>
        <color rgb="FF000000"/>
        <rFont val="Dialog.plain"/>
        <charset val="134"/>
      </rPr>
      <t xml:space="preserve">*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</si>
  <si>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应收分保合同准备金</t>
    </r>
    <r>
      <rPr>
        <sz val="9"/>
        <color rgb="FF000000"/>
        <rFont val="Dialog.plain"/>
        <charset val="134"/>
      </rPr>
      <t xml:space="preserve">*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</si>
  <si>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其他应收款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</si>
  <si>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  </t>
    </r>
    <r>
      <rPr>
        <sz val="9"/>
        <color rgb="FF000000"/>
        <rFont val="宋体"/>
        <charset val="134"/>
      </rPr>
      <t>其中：应收利息</t>
    </r>
  </si>
  <si>
    <r>
      <rPr>
        <sz val="9"/>
        <color rgb="FF000000"/>
        <rFont val="Dialog.plain"/>
        <charset val="134"/>
      </rPr>
      <t xml:space="preserve">             </t>
    </r>
    <r>
      <rPr>
        <sz val="9"/>
        <color rgb="FF000000"/>
        <rFont val="宋体"/>
        <charset val="134"/>
      </rPr>
      <t>应收股利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</si>
  <si>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买入返售金融资产</t>
    </r>
    <r>
      <rPr>
        <sz val="9"/>
        <color rgb="FF000000"/>
        <rFont val="Dialog.plain"/>
        <charset val="134"/>
      </rPr>
      <t xml:space="preserve">*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</si>
  <si>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存货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</si>
  <si>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合同资产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</si>
  <si>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持有待售资产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</si>
  <si>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一年内到期的非流动资产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</si>
  <si>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其他流动资产</t>
    </r>
    <r>
      <rPr>
        <sz val="9"/>
        <color rgb="FF000000"/>
        <rFont val="Dialog.plain"/>
        <charset val="134"/>
      </rPr>
      <t xml:space="preserve"> </t>
    </r>
  </si>
  <si>
    <r>
      <rPr>
        <b/>
        <sz val="9"/>
        <color indexed="8"/>
        <rFont val="Dialog.plain"/>
        <charset val="134"/>
      </rPr>
      <t xml:space="preserve">    </t>
    </r>
    <r>
      <rPr>
        <b/>
        <sz val="9"/>
        <color indexed="8"/>
        <rFont val="宋体"/>
        <charset val="134"/>
      </rPr>
      <t>流动资产合计</t>
    </r>
    <r>
      <rPr>
        <b/>
        <sz val="9"/>
        <color indexed="8"/>
        <rFont val="Dialog.plain"/>
        <charset val="134"/>
      </rPr>
      <t xml:space="preserve"> </t>
    </r>
  </si>
  <si>
    <r>
      <rPr>
        <sz val="9"/>
        <color rgb="FF000000"/>
        <rFont val="宋体"/>
        <charset val="134"/>
      </rPr>
      <t>非流动资产：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</si>
  <si>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发放贷款和垫款</t>
    </r>
    <r>
      <rPr>
        <sz val="9"/>
        <color rgb="FF000000"/>
        <rFont val="Dialog.plain"/>
        <charset val="134"/>
      </rPr>
      <t xml:space="preserve">*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</si>
  <si>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债权投资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</si>
  <si>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其他债权投资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</si>
  <si>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长期应收款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</si>
  <si>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长期股权投资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</si>
  <si>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可供出售金融资产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</si>
  <si>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持有至到期投资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</si>
  <si>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其他权益工具投资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</si>
  <si>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其他非流动金融资产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</si>
  <si>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投资性房地产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</si>
  <si>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固定资产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</si>
  <si>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累计折旧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</si>
  <si>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固定资产减值准备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</si>
  <si>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固定资产净额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</si>
  <si>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固定资产清理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</si>
  <si>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工程物资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</si>
  <si>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在建工程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</si>
  <si>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生产性生物资产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</si>
  <si>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油气资产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</si>
  <si>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使用权资产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</si>
  <si>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无形资产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</si>
  <si>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开发支出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</si>
  <si>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商誉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</si>
  <si>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长期待摊费用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</si>
  <si>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递延所得税资产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</si>
  <si>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rgb="FF000000"/>
        <rFont val="Dialog.plain"/>
        <charset val="134"/>
      </rPr>
      <t xml:space="preserve">  </t>
    </r>
    <r>
      <rPr>
        <sz val="9"/>
        <color rgb="FF000000"/>
        <rFont val="宋体"/>
        <charset val="134"/>
      </rPr>
      <t>其他非流动资产</t>
    </r>
    <r>
      <rPr>
        <sz val="9"/>
        <color rgb="FF000000"/>
        <rFont val="Dialog.plain"/>
        <charset val="134"/>
      </rPr>
      <t xml:space="preserve"> </t>
    </r>
  </si>
  <si>
    <r>
      <rPr>
        <b/>
        <sz val="9"/>
        <color indexed="8"/>
        <rFont val="宋体"/>
        <charset val="134"/>
      </rPr>
      <t>非流动资产合计</t>
    </r>
    <r>
      <rPr>
        <b/>
        <sz val="9"/>
        <color indexed="8"/>
        <rFont val="Dialog.plain"/>
        <charset val="134"/>
      </rPr>
      <t xml:space="preserve"> </t>
    </r>
  </si>
  <si>
    <r>
      <rPr>
        <b/>
        <sz val="9"/>
        <color indexed="8"/>
        <rFont val="Dialog.plain"/>
        <charset val="134"/>
      </rPr>
      <t xml:space="preserve">      </t>
    </r>
    <r>
      <rPr>
        <b/>
        <sz val="9"/>
        <color indexed="8"/>
        <rFont val="宋体"/>
        <charset val="134"/>
      </rPr>
      <t>资产总计</t>
    </r>
    <r>
      <rPr>
        <b/>
        <sz val="9"/>
        <color indexed="8"/>
        <rFont val="Dialog.plain"/>
        <charset val="134"/>
      </rPr>
      <t xml:space="preserve"> </t>
    </r>
  </si>
  <si>
    <t>应付</t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</si>
  <si>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短期借款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</si>
  <si>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向中央银行借款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</si>
  <si>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拆入资金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</si>
  <si>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交易性金融负债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</si>
  <si>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衍生金融负债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</si>
  <si>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应付票据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</si>
  <si>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应付账款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</si>
  <si>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预收款项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</si>
  <si>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合同负债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</si>
  <si>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卖出回购金融资产款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</si>
  <si>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吸收存款及同业存放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</si>
  <si>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代理买卖证券款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</si>
  <si>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代理承销证券款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</si>
  <si>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应付职工薪酬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</si>
  <si>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应交税费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</si>
  <si>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其他应付款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</si>
  <si>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 </t>
    </r>
    <r>
      <rPr>
        <sz val="9"/>
        <color indexed="8"/>
        <rFont val="宋体"/>
        <charset val="134"/>
      </rPr>
      <t>其中：应付利息</t>
    </r>
  </si>
  <si>
    <r>
      <rPr>
        <sz val="9"/>
        <color indexed="8"/>
        <rFont val="Dialog.plain"/>
        <charset val="134"/>
      </rPr>
      <t xml:space="preserve">         </t>
    </r>
    <r>
      <rPr>
        <sz val="9"/>
        <color indexed="8"/>
        <rFont val="宋体"/>
        <charset val="134"/>
      </rPr>
      <t>应付股利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</si>
  <si>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应付手续费及佣金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</si>
  <si>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应付分保账款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</si>
  <si>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持有待售负债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</si>
  <si>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一年内到期的非流动负债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</si>
  <si>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其他流动负债</t>
    </r>
    <r>
      <rPr>
        <sz val="9"/>
        <color indexed="8"/>
        <rFont val="Dialog.plain"/>
        <charset val="134"/>
      </rPr>
      <t xml:space="preserve"> </t>
    </r>
  </si>
  <si>
    <r>
      <rPr>
        <b/>
        <sz val="9"/>
        <color indexed="8"/>
        <rFont val="Dialog.plain"/>
        <charset val="134"/>
      </rPr>
      <t xml:space="preserve">    </t>
    </r>
    <r>
      <rPr>
        <b/>
        <sz val="9"/>
        <color indexed="8"/>
        <rFont val="宋体"/>
        <charset val="134"/>
      </rPr>
      <t>流动负债合计</t>
    </r>
    <r>
      <rPr>
        <b/>
        <sz val="9"/>
        <color indexed="8"/>
        <rFont val="Dialog.plain"/>
        <charset val="134"/>
      </rPr>
      <t xml:space="preserve"> </t>
    </r>
  </si>
  <si>
    <t xml:space="preserve">非流动负债： </t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</si>
  <si>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保险合同准备金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</si>
  <si>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长期借款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</si>
  <si>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应付债券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</si>
  <si>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  </t>
    </r>
    <r>
      <rPr>
        <sz val="9"/>
        <color indexed="8"/>
        <rFont val="宋体"/>
        <charset val="134"/>
      </rPr>
      <t>其中：优先股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</si>
  <si>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        </t>
    </r>
    <r>
      <rPr>
        <sz val="9"/>
        <color indexed="8"/>
        <rFont val="宋体"/>
        <charset val="134"/>
      </rPr>
      <t>永续债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</si>
  <si>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租赁负债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</si>
  <si>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专项应付款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</si>
  <si>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长期应付款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</si>
  <si>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长期应付职工薪酬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</si>
  <si>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预计负债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</si>
  <si>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递延收益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</si>
  <si>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递延所得税负债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</si>
  <si>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其他非流动负债</t>
    </r>
    <r>
      <rPr>
        <sz val="9"/>
        <color indexed="8"/>
        <rFont val="Dialog.plain"/>
        <charset val="134"/>
      </rPr>
      <t xml:space="preserve"> </t>
    </r>
  </si>
  <si>
    <r>
      <rPr>
        <b/>
        <sz val="9"/>
        <color indexed="8"/>
        <rFont val="Dialog.plain"/>
        <charset val="134"/>
      </rPr>
      <t xml:space="preserve">    </t>
    </r>
    <r>
      <rPr>
        <b/>
        <sz val="9"/>
        <color indexed="8"/>
        <rFont val="宋体"/>
        <charset val="134"/>
      </rPr>
      <t>非流动负债合计</t>
    </r>
    <r>
      <rPr>
        <b/>
        <sz val="9"/>
        <color indexed="8"/>
        <rFont val="Dialog.plain"/>
        <charset val="134"/>
      </rPr>
      <t xml:space="preserve"> </t>
    </r>
  </si>
  <si>
    <r>
      <rPr>
        <b/>
        <sz val="9"/>
        <color indexed="8"/>
        <rFont val="Dialog.plain"/>
        <charset val="134"/>
      </rPr>
      <t xml:space="preserve">      </t>
    </r>
    <r>
      <rPr>
        <b/>
        <sz val="9"/>
        <color indexed="8"/>
        <rFont val="宋体"/>
        <charset val="134"/>
      </rPr>
      <t>负债合计</t>
    </r>
  </si>
  <si>
    <t xml:space="preserve">所有者权益（或股东权益）： </t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</si>
  <si>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实收资本（或股本）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</si>
  <si>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其他权益工具</t>
    </r>
    <r>
      <rPr>
        <sz val="9"/>
        <color indexed="8"/>
        <rFont val="Dialog.plain"/>
        <charset val="134"/>
      </rPr>
      <t xml:space="preserve"> </t>
    </r>
  </si>
  <si>
    <t xml:space="preserve">    其中：优先股 </t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</si>
  <si>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资本公积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</si>
  <si>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减：库存股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</si>
  <si>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其他综合收益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</si>
  <si>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专项储备</t>
    </r>
    <r>
      <rPr>
        <sz val="9"/>
        <color indexed="8"/>
        <rFont val="Dialog.plain"/>
        <charset val="134"/>
      </rPr>
      <t xml:space="preserve"> 400561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</si>
  <si>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盈余公积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</si>
  <si>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一般风险准备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</si>
  <si>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未分配利润</t>
    </r>
    <r>
      <rPr>
        <sz val="9"/>
        <color indexed="8"/>
        <rFont val="Dialog.plain"/>
        <charset val="134"/>
      </rPr>
      <t xml:space="preserve"> </t>
    </r>
  </si>
  <si>
    <t>归属于母公司所有者权益（或股东权益）合计</t>
  </si>
  <si>
    <r>
      <rPr>
        <sz val="9"/>
        <color indexed="8"/>
        <rFont val="Dialog.plain"/>
        <charset val="134"/>
      </rPr>
      <t xml:space="preserve">  </t>
    </r>
    <r>
      <rPr>
        <sz val="9"/>
        <color indexed="8"/>
        <rFont val="宋体"/>
        <charset val="134"/>
      </rPr>
      <t>少数股东权益</t>
    </r>
    <r>
      <rPr>
        <sz val="9"/>
        <color indexed="8"/>
        <rFont val="Dialog.plain"/>
        <charset val="134"/>
      </rPr>
      <t xml:space="preserve"> </t>
    </r>
  </si>
  <si>
    <r>
      <rPr>
        <b/>
        <sz val="9"/>
        <color indexed="8"/>
        <rFont val="Dialog.plain"/>
        <charset val="134"/>
      </rPr>
      <t xml:space="preserve">  </t>
    </r>
    <r>
      <rPr>
        <b/>
        <sz val="9"/>
        <color indexed="8"/>
        <rFont val="宋体"/>
        <charset val="134"/>
      </rPr>
      <t>所有者权益（或股东权益）合计</t>
    </r>
    <r>
      <rPr>
        <b/>
        <sz val="9"/>
        <color indexed="8"/>
        <rFont val="Dialog.plain"/>
        <charset val="134"/>
      </rPr>
      <t xml:space="preserve"> </t>
    </r>
  </si>
  <si>
    <r>
      <rPr>
        <b/>
        <sz val="9"/>
        <color indexed="8"/>
        <rFont val="Dialog.plain"/>
        <charset val="134"/>
      </rPr>
      <t xml:space="preserve"> </t>
    </r>
    <r>
      <rPr>
        <b/>
        <sz val="9"/>
        <color indexed="8"/>
        <rFont val="宋体"/>
        <charset val="134"/>
      </rPr>
      <t>负债和所有者权益（或股东权益）总计</t>
    </r>
    <r>
      <rPr>
        <b/>
        <sz val="9"/>
        <color indexed="8"/>
        <rFont val="Dialog.plain"/>
        <charset val="134"/>
      </rPr>
      <t xml:space="preserve"> </t>
    </r>
  </si>
  <si>
    <t xml:space="preserve">一、营业总收入 </t>
  </si>
  <si>
    <r>
      <rPr>
        <sz val="9"/>
        <color indexed="8"/>
        <rFont val="宋体"/>
        <charset val="134"/>
      </rPr>
      <t xml:space="preserve">  </t>
    </r>
    <r>
      <rPr>
        <sz val="9"/>
        <color indexed="8"/>
        <rFont val="宋体"/>
        <charset val="134"/>
      </rPr>
      <t>其中：营业收入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</si>
  <si>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</t>
    </r>
    <r>
      <rPr>
        <sz val="9"/>
        <color indexed="8"/>
        <rFont val="宋体"/>
        <charset val="134"/>
      </rPr>
      <t>利息收入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</si>
  <si>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已赚保费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</si>
  <si>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手续费及佣金收入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</si>
  <si>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其他业务收入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</si>
  <si>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二、营业总成本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</si>
  <si>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其中：营业成本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</si>
  <si>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</t>
    </r>
    <r>
      <rPr>
        <sz val="9"/>
        <color indexed="8"/>
        <rFont val="宋体"/>
        <charset val="134"/>
      </rPr>
      <t>其中：主营业务成本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</si>
  <si>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其他业务成本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</si>
  <si>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利息支出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</si>
  <si>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手续费及佣金支出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</si>
  <si>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退保金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</si>
  <si>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赔付支出净额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</si>
  <si>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提取保险责任准备金净额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</si>
  <si>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保单红利支出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</si>
  <si>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分保费用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</si>
  <si>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 xml:space="preserve">        税金及附加</t>
    </r>
    <r>
      <rPr>
        <sz val="9"/>
        <color rgb="FF000000"/>
        <rFont val="宋体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</si>
  <si>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销售费用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</si>
  <si>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管理费用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</si>
  <si>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研发费用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</si>
  <si>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财务费用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</si>
  <si>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</t>
    </r>
    <r>
      <rPr>
        <sz val="9"/>
        <color indexed="8"/>
        <rFont val="宋体"/>
        <charset val="134"/>
      </rPr>
      <t>其中：利息费用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</si>
  <si>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  </t>
    </r>
    <r>
      <rPr>
        <sz val="9"/>
        <color indexed="8"/>
        <rFont val="宋体"/>
        <charset val="134"/>
      </rPr>
      <t>利息收入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</si>
  <si>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</t>
    </r>
    <r>
      <rPr>
        <sz val="9"/>
        <color indexed="8"/>
        <rFont val="宋体"/>
        <charset val="134"/>
      </rPr>
      <t>加：其他收益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</si>
  <si>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</t>
    </r>
    <r>
      <rPr>
        <sz val="9"/>
        <color indexed="8"/>
        <rFont val="宋体"/>
        <charset val="134"/>
      </rPr>
      <t>投资收益（损失以</t>
    </r>
    <r>
      <rPr>
        <sz val="9"/>
        <color indexed="8"/>
        <rFont val="Dialog.plain"/>
        <charset val="134"/>
      </rPr>
      <t>“-”</t>
    </r>
    <r>
      <rPr>
        <sz val="9"/>
        <color indexed="8"/>
        <rFont val="宋体"/>
        <charset val="134"/>
      </rPr>
      <t>号填列）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</si>
  <si>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其中：对联营企业和合营企业投资收益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</si>
  <si>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</t>
    </r>
    <r>
      <rPr>
        <sz val="9"/>
        <color indexed="8"/>
        <rFont val="宋体"/>
        <charset val="134"/>
      </rPr>
      <t>以摊余成本计量的金融资产终止确认收益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</si>
  <si>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</t>
    </r>
    <r>
      <rPr>
        <sz val="9"/>
        <color indexed="8"/>
        <rFont val="宋体"/>
        <charset val="134"/>
      </rPr>
      <t>汇兑收益（损失以</t>
    </r>
    <r>
      <rPr>
        <sz val="9"/>
        <color indexed="8"/>
        <rFont val="Dialog.plain"/>
        <charset val="134"/>
      </rPr>
      <t>“-”</t>
    </r>
    <r>
      <rPr>
        <sz val="9"/>
        <color indexed="8"/>
        <rFont val="宋体"/>
        <charset val="134"/>
      </rPr>
      <t>号填列）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</si>
  <si>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 xml:space="preserve">      </t>
    </r>
    <r>
      <rPr>
        <sz val="9"/>
        <color indexed="8"/>
        <rFont val="宋体"/>
        <charset val="134"/>
      </rPr>
      <t>净敞口套期收益（损失以</t>
    </r>
    <r>
      <rPr>
        <sz val="9"/>
        <color indexed="8"/>
        <rFont val="Dialog.plain"/>
        <charset val="134"/>
      </rPr>
      <t>“-”</t>
    </r>
    <r>
      <rPr>
        <sz val="9"/>
        <color indexed="8"/>
        <rFont val="宋体"/>
        <charset val="134"/>
      </rPr>
      <t>号填列）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</si>
  <si>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</t>
    </r>
    <r>
      <rPr>
        <sz val="9"/>
        <color indexed="8"/>
        <rFont val="宋体"/>
        <charset val="134"/>
      </rPr>
      <t>公允价值变动收益（损失以</t>
    </r>
    <r>
      <rPr>
        <sz val="9"/>
        <color indexed="8"/>
        <rFont val="Dialog.plain"/>
        <charset val="134"/>
      </rPr>
      <t>“-”</t>
    </r>
    <r>
      <rPr>
        <sz val="9"/>
        <color indexed="8"/>
        <rFont val="宋体"/>
        <charset val="134"/>
      </rPr>
      <t>号填列）</t>
    </r>
  </si>
  <si>
    <r>
      <rPr>
        <sz val="9"/>
        <color indexed="8"/>
        <rFont val="宋体"/>
        <charset val="134"/>
      </rPr>
      <t xml:space="preserve">      </t>
    </r>
    <r>
      <rPr>
        <sz val="9"/>
        <color indexed="8"/>
        <rFont val="宋体"/>
        <charset val="134"/>
      </rPr>
      <t>信用减值损失（损失以</t>
    </r>
    <r>
      <rPr>
        <sz val="9"/>
        <color indexed="8"/>
        <rFont val="Dialog.plain"/>
        <charset val="134"/>
      </rPr>
      <t>“-”</t>
    </r>
    <r>
      <rPr>
        <sz val="9"/>
        <color indexed="8"/>
        <rFont val="宋体"/>
        <charset val="134"/>
      </rPr>
      <t>号填列）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</si>
  <si>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</t>
    </r>
    <r>
      <rPr>
        <sz val="9"/>
        <color indexed="8"/>
        <rFont val="宋体"/>
        <charset val="134"/>
      </rPr>
      <t>资产减值损失（损失以</t>
    </r>
    <r>
      <rPr>
        <sz val="9"/>
        <color indexed="8"/>
        <rFont val="Dialog.plain"/>
        <charset val="134"/>
      </rPr>
      <t>“-”</t>
    </r>
    <r>
      <rPr>
        <sz val="9"/>
        <color indexed="8"/>
        <rFont val="宋体"/>
        <charset val="134"/>
      </rPr>
      <t>号填列）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</si>
  <si>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 </t>
    </r>
    <r>
      <rPr>
        <sz val="9"/>
        <color indexed="8"/>
        <rFont val="宋体"/>
        <charset val="134"/>
      </rPr>
      <t>资产处置收益（损失以</t>
    </r>
    <r>
      <rPr>
        <sz val="9"/>
        <color indexed="8"/>
        <rFont val="Dialog.plain"/>
        <charset val="134"/>
      </rPr>
      <t>“-”</t>
    </r>
    <r>
      <rPr>
        <sz val="9"/>
        <color indexed="8"/>
        <rFont val="宋体"/>
        <charset val="134"/>
      </rPr>
      <t>号填列）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</si>
  <si>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三、营业利润（亏损以</t>
    </r>
    <r>
      <rPr>
        <sz val="9"/>
        <color indexed="8"/>
        <rFont val="Dialog.plain"/>
        <charset val="134"/>
      </rPr>
      <t>“-”</t>
    </r>
    <r>
      <rPr>
        <sz val="9"/>
        <color indexed="8"/>
        <rFont val="宋体"/>
        <charset val="134"/>
      </rPr>
      <t>号填列）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</si>
  <si>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</t>
    </r>
    <r>
      <rPr>
        <sz val="9"/>
        <color indexed="8"/>
        <rFont val="宋体"/>
        <charset val="134"/>
      </rPr>
      <t>加：营业外收入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</si>
  <si>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</t>
    </r>
    <r>
      <rPr>
        <sz val="9"/>
        <color indexed="8"/>
        <rFont val="宋体"/>
        <charset val="134"/>
      </rPr>
      <t>减：营业外支出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</si>
  <si>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四、利润总额（亏损总额以</t>
    </r>
    <r>
      <rPr>
        <sz val="9"/>
        <color indexed="8"/>
        <rFont val="Dialog.plain"/>
        <charset val="134"/>
      </rPr>
      <t>“-”</t>
    </r>
    <r>
      <rPr>
        <sz val="9"/>
        <color indexed="8"/>
        <rFont val="宋体"/>
        <charset val="134"/>
      </rPr>
      <t>号填列）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</si>
  <si>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</t>
    </r>
    <r>
      <rPr>
        <sz val="9"/>
        <color indexed="8"/>
        <rFont val="宋体"/>
        <charset val="134"/>
      </rPr>
      <t>减：所得税费用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</si>
  <si>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五、净利润（净亏损以</t>
    </r>
    <r>
      <rPr>
        <sz val="9"/>
        <color indexed="8"/>
        <rFont val="Dialog.plain"/>
        <charset val="134"/>
      </rPr>
      <t>“-”</t>
    </r>
    <r>
      <rPr>
        <sz val="9"/>
        <color indexed="8"/>
        <rFont val="宋体"/>
        <charset val="134"/>
      </rPr>
      <t>号填列）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</si>
  <si>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</t>
    </r>
    <r>
      <rPr>
        <sz val="9"/>
        <color indexed="8"/>
        <rFont val="宋体"/>
        <charset val="134"/>
      </rPr>
      <t>（一）按经营持续性分类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</si>
  <si>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1. </t>
    </r>
    <r>
      <rPr>
        <sz val="9"/>
        <color indexed="8"/>
        <rFont val="宋体"/>
        <charset val="134"/>
      </rPr>
      <t>持续经营净利润（净亏损以</t>
    </r>
    <r>
      <rPr>
        <sz val="9"/>
        <color indexed="8"/>
        <rFont val="Dialog.plain"/>
        <charset val="134"/>
      </rPr>
      <t>“-”</t>
    </r>
    <r>
      <rPr>
        <sz val="9"/>
        <color indexed="8"/>
        <rFont val="宋体"/>
        <charset val="134"/>
      </rPr>
      <t>号填列）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</si>
  <si>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2. </t>
    </r>
    <r>
      <rPr>
        <sz val="9"/>
        <color indexed="8"/>
        <rFont val="宋体"/>
        <charset val="134"/>
      </rPr>
      <t>终止经营净利润（净亏损以</t>
    </r>
    <r>
      <rPr>
        <sz val="9"/>
        <color indexed="8"/>
        <rFont val="Dialog.plain"/>
        <charset val="134"/>
      </rPr>
      <t>“-”</t>
    </r>
    <r>
      <rPr>
        <sz val="9"/>
        <color indexed="8"/>
        <rFont val="宋体"/>
        <charset val="134"/>
      </rPr>
      <t>号填列）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</si>
  <si>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</t>
    </r>
    <r>
      <rPr>
        <sz val="9"/>
        <color indexed="8"/>
        <rFont val="宋体"/>
        <charset val="134"/>
      </rPr>
      <t>（二）按所有权归属分类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</si>
  <si>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1. </t>
    </r>
    <r>
      <rPr>
        <sz val="9"/>
        <color indexed="8"/>
        <rFont val="宋体"/>
        <charset val="134"/>
      </rPr>
      <t>归属于母公司股东的净利润（净亏损以</t>
    </r>
    <r>
      <rPr>
        <sz val="9"/>
        <color indexed="8"/>
        <rFont val="Dialog.plain"/>
        <charset val="134"/>
      </rPr>
      <t>“-”</t>
    </r>
    <r>
      <rPr>
        <sz val="9"/>
        <color indexed="8"/>
        <rFont val="宋体"/>
        <charset val="134"/>
      </rPr>
      <t>号填列）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</si>
  <si>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2. </t>
    </r>
    <r>
      <rPr>
        <sz val="10"/>
        <rFont val="宋体"/>
        <charset val="134"/>
      </rPr>
      <t>少数股东损益（净亏损以</t>
    </r>
    <r>
      <rPr>
        <sz val="10"/>
        <rFont val="Arial"/>
        <charset val="134"/>
      </rPr>
      <t>“-”</t>
    </r>
    <r>
      <rPr>
        <sz val="10"/>
        <rFont val="宋体"/>
        <charset val="134"/>
      </rPr>
      <t>号填列）</t>
    </r>
  </si>
  <si>
    <r>
      <rPr>
        <sz val="9"/>
        <color indexed="8"/>
        <rFont val="宋体"/>
        <charset val="134"/>
      </rPr>
      <t>六、其他综合收益的税后净额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</si>
  <si>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</t>
    </r>
    <r>
      <rPr>
        <sz val="10"/>
        <rFont val="宋体"/>
        <charset val="134"/>
      </rPr>
      <t>（一）归属于母公司所有者的其他综合收益的税后净额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</si>
  <si>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1</t>
    </r>
    <r>
      <rPr>
        <sz val="10"/>
        <rFont val="宋体"/>
        <charset val="134"/>
      </rPr>
      <t>．不能重分类进损益的其他综合收益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</si>
  <si>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</t>
    </r>
    <r>
      <rPr>
        <sz val="10"/>
        <rFont val="宋体"/>
        <charset val="134"/>
      </rPr>
      <t>（</t>
    </r>
    <r>
      <rPr>
        <sz val="10"/>
        <rFont val="Arial"/>
        <charset val="134"/>
      </rPr>
      <t>1</t>
    </r>
    <r>
      <rPr>
        <sz val="10"/>
        <rFont val="宋体"/>
        <charset val="134"/>
      </rPr>
      <t>）重新计量设定受益计划变动额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</si>
  <si>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</t>
    </r>
    <r>
      <rPr>
        <sz val="10"/>
        <rFont val="宋体"/>
        <charset val="134"/>
      </rPr>
      <t>（</t>
    </r>
    <r>
      <rPr>
        <sz val="10"/>
        <rFont val="Arial"/>
        <charset val="134"/>
      </rPr>
      <t>2</t>
    </r>
    <r>
      <rPr>
        <sz val="10"/>
        <rFont val="宋体"/>
        <charset val="134"/>
      </rPr>
      <t>）权益法下不能转损益的其他综合收益</t>
    </r>
  </si>
  <si>
    <r>
      <rPr>
        <sz val="9"/>
        <color indexed="8"/>
        <rFont val="宋体"/>
        <charset val="134"/>
      </rPr>
      <t xml:space="preserve">     </t>
    </r>
    <r>
      <rPr>
        <sz val="10"/>
        <rFont val="宋体"/>
        <charset val="134"/>
      </rPr>
      <t>（</t>
    </r>
    <r>
      <rPr>
        <sz val="10"/>
        <rFont val="Arial"/>
        <charset val="134"/>
      </rPr>
      <t>3</t>
    </r>
    <r>
      <rPr>
        <sz val="10"/>
        <rFont val="宋体"/>
        <charset val="134"/>
      </rPr>
      <t>）其他权益工具投资公允价值变动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</si>
  <si>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</t>
    </r>
    <r>
      <rPr>
        <sz val="10"/>
        <rFont val="宋体"/>
        <charset val="134"/>
      </rPr>
      <t>（</t>
    </r>
    <r>
      <rPr>
        <sz val="10"/>
        <rFont val="Arial"/>
        <charset val="134"/>
      </rPr>
      <t>4</t>
    </r>
    <r>
      <rPr>
        <sz val="10"/>
        <rFont val="宋体"/>
        <charset val="134"/>
      </rPr>
      <t>）企业自身信用风险公允价值变动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</si>
  <si>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</t>
    </r>
    <r>
      <rPr>
        <sz val="10"/>
        <rFont val="宋体"/>
        <charset val="134"/>
      </rPr>
      <t>（</t>
    </r>
    <r>
      <rPr>
        <sz val="10"/>
        <rFont val="Arial"/>
        <charset val="134"/>
      </rPr>
      <t>5</t>
    </r>
    <r>
      <rPr>
        <sz val="10"/>
        <rFont val="宋体"/>
        <charset val="134"/>
      </rPr>
      <t>）其他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</si>
  <si>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2</t>
    </r>
    <r>
      <rPr>
        <sz val="10"/>
        <rFont val="宋体"/>
        <charset val="134"/>
      </rPr>
      <t>．将重分类进损益的其他综合收益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</si>
  <si>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</t>
    </r>
    <r>
      <rPr>
        <sz val="10"/>
        <rFont val="宋体"/>
        <charset val="134"/>
      </rPr>
      <t>（</t>
    </r>
    <r>
      <rPr>
        <sz val="10"/>
        <rFont val="Arial"/>
        <charset val="134"/>
      </rPr>
      <t>1</t>
    </r>
    <r>
      <rPr>
        <sz val="10"/>
        <rFont val="宋体"/>
        <charset val="134"/>
      </rPr>
      <t>）权益法下可转损益的其他综合收益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</si>
  <si>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</t>
    </r>
    <r>
      <rPr>
        <sz val="10"/>
        <rFont val="宋体"/>
        <charset val="134"/>
      </rPr>
      <t>（</t>
    </r>
    <r>
      <rPr>
        <sz val="10"/>
        <rFont val="Arial"/>
        <charset val="134"/>
      </rPr>
      <t>2</t>
    </r>
    <r>
      <rPr>
        <sz val="10"/>
        <rFont val="宋体"/>
        <charset val="134"/>
      </rPr>
      <t>）其他债权投资公允价值变动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</si>
  <si>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>（</t>
    </r>
    <r>
      <rPr>
        <sz val="10"/>
        <rFont val="Arial"/>
        <charset val="134"/>
      </rPr>
      <t>3</t>
    </r>
    <r>
      <rPr>
        <sz val="10"/>
        <rFont val="宋体"/>
        <charset val="134"/>
      </rPr>
      <t>）金融资产重分类计入其他综合收益的金额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</si>
  <si>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</t>
    </r>
    <r>
      <rPr>
        <sz val="10"/>
        <rFont val="宋体"/>
        <charset val="134"/>
      </rPr>
      <t>（</t>
    </r>
    <r>
      <rPr>
        <sz val="10"/>
        <rFont val="Arial"/>
        <charset val="134"/>
      </rPr>
      <t>4</t>
    </r>
    <r>
      <rPr>
        <sz val="10"/>
        <rFont val="宋体"/>
        <charset val="134"/>
      </rPr>
      <t>）其他债权投资信用减值准备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</si>
  <si>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</t>
    </r>
    <r>
      <rPr>
        <sz val="10"/>
        <rFont val="宋体"/>
        <charset val="134"/>
      </rPr>
      <t>（</t>
    </r>
    <r>
      <rPr>
        <sz val="10"/>
        <rFont val="Arial"/>
        <charset val="134"/>
      </rPr>
      <t>5</t>
    </r>
    <r>
      <rPr>
        <sz val="10"/>
        <rFont val="宋体"/>
        <charset val="134"/>
      </rPr>
      <t>）现金流量套期储备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</si>
  <si>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</t>
    </r>
    <r>
      <rPr>
        <sz val="10"/>
        <rFont val="宋体"/>
        <charset val="134"/>
      </rPr>
      <t>（</t>
    </r>
    <r>
      <rPr>
        <sz val="10"/>
        <rFont val="Arial"/>
        <charset val="134"/>
      </rPr>
      <t>6</t>
    </r>
    <r>
      <rPr>
        <sz val="10"/>
        <rFont val="宋体"/>
        <charset val="134"/>
      </rPr>
      <t>）外币财务报表折算差额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</si>
  <si>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   </t>
    </r>
    <r>
      <rPr>
        <sz val="10"/>
        <rFont val="宋体"/>
        <charset val="134"/>
      </rPr>
      <t>（</t>
    </r>
    <r>
      <rPr>
        <sz val="10"/>
        <rFont val="Arial"/>
        <charset val="134"/>
      </rPr>
      <t>7</t>
    </r>
    <r>
      <rPr>
        <sz val="10"/>
        <rFont val="宋体"/>
        <charset val="134"/>
      </rPr>
      <t>）其他</t>
    </r>
  </si>
  <si>
    <r>
      <rPr>
        <sz val="9"/>
        <color indexed="8"/>
        <rFont val="宋体"/>
        <charset val="134"/>
      </rPr>
      <t xml:space="preserve">  </t>
    </r>
    <r>
      <rPr>
        <sz val="10"/>
        <rFont val="宋体"/>
        <charset val="134"/>
      </rPr>
      <t>（二）归属于少数股东的其他综合收益的税后净额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</si>
  <si>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>七、综合收益总额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</si>
  <si>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</t>
    </r>
    <r>
      <rPr>
        <sz val="10"/>
        <rFont val="宋体"/>
        <charset val="134"/>
      </rPr>
      <t>（一）归属于母公司所有者的综合收益总额</t>
    </r>
  </si>
  <si>
    <r>
      <rPr>
        <sz val="9"/>
        <color indexed="8"/>
        <rFont val="宋体"/>
        <charset val="134"/>
      </rPr>
      <t xml:space="preserve">  </t>
    </r>
    <r>
      <rPr>
        <sz val="10"/>
        <rFont val="宋体"/>
        <charset val="134"/>
      </rPr>
      <t>（二）归属于少数股东的综合收益总额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</si>
  <si>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>八、每股收益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</si>
  <si>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</t>
    </r>
    <r>
      <rPr>
        <sz val="10"/>
        <rFont val="宋体"/>
        <charset val="134"/>
      </rPr>
      <t>（一）基本每股收益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</si>
  <si>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 xml:space="preserve">  </t>
    </r>
    <r>
      <rPr>
        <sz val="10"/>
        <rFont val="宋体"/>
        <charset val="134"/>
      </rPr>
      <t>（二）稀释每股收益</t>
    </r>
    <r>
      <rPr>
        <sz val="10"/>
        <rFont val="Arial"/>
        <charset val="134"/>
      </rPr>
      <t xml:space="preserve"> </t>
    </r>
  </si>
  <si>
    <r>
      <rPr>
        <sz val="9"/>
        <color indexed="8"/>
        <rFont val="宋体"/>
        <charset val="134"/>
      </rPr>
      <t>一、经营活动产生的现金流量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</si>
  <si>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销售商品、提供劳务收到的现金</t>
    </r>
    <r>
      <rPr>
        <sz val="9"/>
        <color rgb="FF000000"/>
        <rFont val="宋体"/>
        <charset val="134"/>
      </rPr>
      <t xml:space="preserve"> </t>
    </r>
  </si>
  <si>
    <r>
      <rPr>
        <sz val="9"/>
        <color indexed="8"/>
        <rFont val="宋体"/>
        <charset val="134"/>
      </rPr>
      <t>客户存款和同业存放款项净增加额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</si>
  <si>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向中央银行借款净增加额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</si>
  <si>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向其他金融机构拆入资金净增加额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</si>
  <si>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收到原保险合同保费取得的现金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</si>
  <si>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收到再保业务现金净额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</si>
  <si>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保户储金及投资款净增加额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</si>
  <si>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收取利息、手续费及佣金的现金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</si>
  <si>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拆入资金净增加额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</si>
  <si>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回购业务资金净增加额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</si>
  <si>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代理买卖证券收到的现金净额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</si>
  <si>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收到的税费返还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</si>
  <si>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收到其他与经营活动有关的现金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</si>
  <si>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经营活动现金流入小计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</si>
  <si>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Dialog.plain"/>
        <charset val="134"/>
      </rPr>
      <t xml:space="preserve">    </t>
    </r>
    <r>
      <rPr>
        <sz val="9"/>
        <color indexed="8"/>
        <rFont val="宋体"/>
        <charset val="134"/>
      </rPr>
      <t>购买商品、接受劳务支付的现金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</si>
  <si>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客户贷款及垫款净增加额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</si>
  <si>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存放中央银行和同业款项净增加额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</si>
  <si>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支付原保险合同赔付款项的现金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</si>
  <si>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拆出资金净增加额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</si>
  <si>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支付利息、手续费及佣金的现金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</si>
  <si>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支付保单红利的现金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</si>
  <si>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支付给职工及为职工支付的现金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</si>
  <si>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支付的各项税费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</si>
  <si>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支付其他与经营活动有关的现金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</si>
  <si>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经营活动现金流出小计</t>
    </r>
    <r>
      <rPr>
        <sz val="9"/>
        <color indexed="8"/>
        <rFont val="Dialog.plain"/>
        <charset val="134"/>
      </rPr>
      <t xml:space="preserve"> </t>
    </r>
  </si>
  <si>
    <t>经营活动产生的现金流量净额</t>
  </si>
  <si>
    <r>
      <rPr>
        <sz val="9"/>
        <color indexed="8"/>
        <rFont val="宋体"/>
        <charset val="134"/>
      </rPr>
      <t>二、投资活动产生的现金流量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</si>
  <si>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收回投资收到的现金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</si>
  <si>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取得投资收益收到的现金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</si>
  <si>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处置固定资产、无形资产和其他长期资产收回的现金净额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</si>
  <si>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处置子公司及其他营业单位收到的现金净额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</si>
  <si>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收到其他与投资活动有关的现金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</si>
  <si>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投资活动现金流入小计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</si>
  <si>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rgb="FF000000"/>
        <rFont val="宋体"/>
        <charset val="134"/>
      </rPr>
      <t>购建固定资产、无形资产和其他长期资产支付的现金</t>
    </r>
    <r>
      <rPr>
        <sz val="9"/>
        <color rgb="FF000000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</si>
  <si>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投资支付的现金</t>
    </r>
    <r>
      <rPr>
        <sz val="9"/>
        <color indexed="8"/>
        <rFont val="Dialog.plain"/>
        <charset val="134"/>
      </rPr>
      <t xml:space="preserve"> </t>
    </r>
  </si>
  <si>
    <r>
      <rPr>
        <sz val="9"/>
        <color indexed="8"/>
        <rFont val="宋体"/>
        <charset val="134"/>
      </rPr>
      <t>质押贷款净增加额</t>
    </r>
    <r>
      <rPr>
        <sz val="9"/>
        <color indexed="8"/>
        <rFont val="Dialog.plain"/>
        <charset val="134"/>
      </rPr>
      <t xml:space="preserve">* </t>
    </r>
  </si>
  <si>
    <r>
      <rPr>
        <sz val="9"/>
        <color indexed="8"/>
        <rFont val="宋体"/>
        <charset val="134"/>
      </rPr>
      <t>取得子公司及其他营业单位支付的现金净额</t>
    </r>
    <r>
      <rPr>
        <sz val="9"/>
        <color indexed="8"/>
        <rFont val="Dialog.plain"/>
        <charset val="134"/>
      </rPr>
      <t xml:space="preserve"> </t>
    </r>
  </si>
  <si>
    <r>
      <rPr>
        <sz val="10"/>
        <rFont val="宋体"/>
        <charset val="134"/>
      </rPr>
      <t>支付其他与投资活动有关的现金</t>
    </r>
    <r>
      <rPr>
        <sz val="10"/>
        <rFont val="Arial"/>
        <charset val="134"/>
      </rPr>
      <t xml:space="preserve"> </t>
    </r>
  </si>
  <si>
    <r>
      <rPr>
        <sz val="10"/>
        <rFont val="宋体"/>
        <charset val="134"/>
      </rPr>
      <t>投资活动现金流出小计</t>
    </r>
    <r>
      <rPr>
        <sz val="10"/>
        <rFont val="Arial"/>
        <charset val="134"/>
      </rPr>
      <t xml:space="preserve"> </t>
    </r>
  </si>
  <si>
    <t>投资活动产生的现金流量净额</t>
  </si>
  <si>
    <r>
      <rPr>
        <sz val="10"/>
        <rFont val="宋体"/>
        <charset val="134"/>
      </rPr>
      <t>三、筹资活动产生的现金流量</t>
    </r>
    <r>
      <rPr>
        <sz val="10"/>
        <rFont val="Arial"/>
        <charset val="134"/>
      </rPr>
      <t xml:space="preserve"> </t>
    </r>
  </si>
  <si>
    <r>
      <rPr>
        <sz val="10"/>
        <rFont val="宋体"/>
        <charset val="134"/>
      </rPr>
      <t>吸收投资收到的现金</t>
    </r>
    <r>
      <rPr>
        <sz val="10"/>
        <rFont val="Arial"/>
        <charset val="134"/>
      </rPr>
      <t xml:space="preserve"> </t>
    </r>
  </si>
  <si>
    <r>
      <rPr>
        <sz val="10"/>
        <rFont val="宋体"/>
        <charset val="134"/>
      </rPr>
      <t>取得借款收到的现金</t>
    </r>
    <r>
      <rPr>
        <sz val="10"/>
        <rFont val="Arial"/>
        <charset val="134"/>
      </rPr>
      <t xml:space="preserve"> </t>
    </r>
  </si>
  <si>
    <t>发行债券收到的现金</t>
  </si>
  <si>
    <r>
      <rPr>
        <sz val="10"/>
        <rFont val="宋体"/>
        <charset val="134"/>
      </rPr>
      <t>收到其他与筹资活动有关的现金</t>
    </r>
    <r>
      <rPr>
        <sz val="10"/>
        <rFont val="Arial"/>
        <charset val="134"/>
      </rPr>
      <t xml:space="preserve"> </t>
    </r>
  </si>
  <si>
    <r>
      <rPr>
        <sz val="10"/>
        <rFont val="宋体"/>
        <charset val="134"/>
      </rPr>
      <t>筹资活动现金流入小计</t>
    </r>
    <r>
      <rPr>
        <sz val="10"/>
        <rFont val="Arial"/>
        <charset val="134"/>
      </rPr>
      <t xml:space="preserve"> </t>
    </r>
  </si>
  <si>
    <r>
      <rPr>
        <sz val="10"/>
        <rFont val="宋体"/>
        <charset val="134"/>
      </rPr>
      <t>偿还债务支付的现金</t>
    </r>
    <r>
      <rPr>
        <sz val="10"/>
        <rFont val="Arial"/>
        <charset val="134"/>
      </rPr>
      <t xml:space="preserve"> </t>
    </r>
  </si>
  <si>
    <t>分配股利、利润或偿付利息支付的现金</t>
  </si>
  <si>
    <r>
      <rPr>
        <sz val="10"/>
        <rFont val="宋体"/>
        <charset val="134"/>
      </rPr>
      <t>支付其他与筹资活动有关的现金</t>
    </r>
    <r>
      <rPr>
        <sz val="10"/>
        <rFont val="Arial"/>
        <charset val="134"/>
      </rPr>
      <t xml:space="preserve"> </t>
    </r>
  </si>
  <si>
    <r>
      <rPr>
        <sz val="10"/>
        <rFont val="宋体"/>
        <charset val="134"/>
      </rPr>
      <t>筹资活动现金流出小计</t>
    </r>
    <r>
      <rPr>
        <sz val="10"/>
        <rFont val="Arial"/>
        <charset val="134"/>
      </rPr>
      <t xml:space="preserve"> </t>
    </r>
  </si>
  <si>
    <r>
      <rPr>
        <sz val="10"/>
        <rFont val="宋体"/>
        <charset val="134"/>
      </rPr>
      <t>筹资活动产生的现金流量净额</t>
    </r>
    <r>
      <rPr>
        <sz val="10"/>
        <rFont val="Arial"/>
        <charset val="134"/>
      </rPr>
      <t xml:space="preserve"> </t>
    </r>
  </si>
  <si>
    <r>
      <rPr>
        <sz val="10"/>
        <rFont val="宋体"/>
        <charset val="134"/>
      </rPr>
      <t>四、汇率变动对现金及现金等价物的影响</t>
    </r>
    <r>
      <rPr>
        <sz val="10"/>
        <rFont val="Arial"/>
        <charset val="134"/>
      </rPr>
      <t xml:space="preserve"> </t>
    </r>
  </si>
  <si>
    <r>
      <rPr>
        <sz val="10"/>
        <rFont val="宋体"/>
        <charset val="134"/>
      </rPr>
      <t>五、现金及现金等价物净增加额</t>
    </r>
    <r>
      <rPr>
        <sz val="10"/>
        <rFont val="Arial"/>
        <charset val="134"/>
      </rPr>
      <t xml:space="preserve"> </t>
    </r>
  </si>
  <si>
    <r>
      <rPr>
        <sz val="10"/>
        <rFont val="宋体"/>
        <charset val="134"/>
      </rPr>
      <t>加：期初现金及现金等价物余额</t>
    </r>
    <r>
      <rPr>
        <sz val="10"/>
        <rFont val="Arial"/>
        <charset val="134"/>
      </rPr>
      <t xml:space="preserve"> </t>
    </r>
  </si>
  <si>
    <r>
      <rPr>
        <sz val="10"/>
        <rFont val="宋体"/>
        <charset val="134"/>
      </rPr>
      <t>六、期末现金及现金等价物余额</t>
    </r>
    <r>
      <rPr>
        <sz val="10"/>
        <rFont val="Arial"/>
        <charset val="134"/>
      </rPr>
      <t xml:space="preserve"> </t>
    </r>
  </si>
  <si>
    <t>财务分析</t>
  </si>
  <si>
    <t>　人民币：万元</t>
  </si>
  <si>
    <t>（合并）</t>
  </si>
  <si>
    <t>资产负债表</t>
  </si>
  <si>
    <t>筛选列，4个报表全都不为0</t>
  </si>
  <si>
    <t xml:space="preserve">  货币资金 </t>
  </si>
  <si>
    <t>单位：万元</t>
  </si>
  <si>
    <t xml:space="preserve">  结算备付金* </t>
  </si>
  <si>
    <t xml:space="preserve">  拆出资金* </t>
  </si>
  <si>
    <t xml:space="preserve">  交易性金融资产 </t>
  </si>
  <si>
    <t xml:space="preserve">  衍生金融资产 </t>
  </si>
  <si>
    <t xml:space="preserve">  应收票据 </t>
  </si>
  <si>
    <t xml:space="preserve">  应收账款 </t>
  </si>
  <si>
    <t xml:space="preserve">  应收款项融资 </t>
  </si>
  <si>
    <t xml:space="preserve">  预付款项 </t>
  </si>
  <si>
    <t xml:space="preserve">  应收保费* </t>
  </si>
  <si>
    <t xml:space="preserve">  应收分保账款* </t>
  </si>
  <si>
    <t xml:space="preserve">  应收分保合同准备金* </t>
  </si>
  <si>
    <t xml:space="preserve">  其他应收款 </t>
  </si>
  <si>
    <t xml:space="preserve">    其中：应收利息</t>
  </si>
  <si>
    <t xml:space="preserve">  应收股利</t>
  </si>
  <si>
    <t xml:space="preserve">  买入返售金融资产* </t>
  </si>
  <si>
    <t xml:space="preserve">  存货 </t>
  </si>
  <si>
    <t xml:space="preserve">  合同资产 </t>
  </si>
  <si>
    <t xml:space="preserve">  持有待售资产 </t>
  </si>
  <si>
    <t xml:space="preserve">  一年内到期的非流动资产 </t>
  </si>
  <si>
    <t xml:space="preserve">  其他流动资产 </t>
  </si>
  <si>
    <t>流动资产合计</t>
  </si>
  <si>
    <t xml:space="preserve">  发放贷款和垫款* </t>
  </si>
  <si>
    <t xml:space="preserve">  债权投资 </t>
  </si>
  <si>
    <t xml:space="preserve">  其他债权投资 </t>
  </si>
  <si>
    <t xml:space="preserve">  长期应收款 </t>
  </si>
  <si>
    <t xml:space="preserve">  长期股权投资 </t>
  </si>
  <si>
    <t xml:space="preserve">  可供出售金融资产 </t>
  </si>
  <si>
    <t xml:space="preserve">  持有至到期投资 </t>
  </si>
  <si>
    <t xml:space="preserve">  其他权益工具投资 </t>
  </si>
  <si>
    <t xml:space="preserve">  其他非流动金融资产 </t>
  </si>
  <si>
    <t xml:space="preserve">  投资性房地产 </t>
  </si>
  <si>
    <t xml:space="preserve">  固定资产 </t>
  </si>
  <si>
    <t xml:space="preserve">  累计折旧</t>
  </si>
  <si>
    <t xml:space="preserve">  固定资产减值准备 </t>
  </si>
  <si>
    <t xml:space="preserve">  固定资产净额</t>
  </si>
  <si>
    <t xml:space="preserve">  固定资产清理</t>
  </si>
  <si>
    <t xml:space="preserve">  工程物资</t>
  </si>
  <si>
    <t xml:space="preserve">  在建工程 </t>
  </si>
  <si>
    <t xml:space="preserve">  生产性生物资产 </t>
  </si>
  <si>
    <t xml:space="preserve">  油气资产 </t>
  </si>
  <si>
    <t xml:space="preserve">  使用权资产 </t>
  </si>
  <si>
    <t xml:space="preserve">  无形资产 </t>
  </si>
  <si>
    <t xml:space="preserve">  开发支出 </t>
  </si>
  <si>
    <t xml:space="preserve">  商誉 </t>
  </si>
  <si>
    <t xml:space="preserve">  长期待摊费用 </t>
  </si>
  <si>
    <t xml:space="preserve">  递延所得税资产 </t>
  </si>
  <si>
    <t xml:space="preserve">  其他非流动资产 </t>
  </si>
  <si>
    <t>非流动资产合计</t>
  </si>
  <si>
    <t>资产总计</t>
  </si>
  <si>
    <t xml:space="preserve">  短期借款 </t>
  </si>
  <si>
    <t xml:space="preserve">  向中央银行借款* </t>
  </si>
  <si>
    <t xml:space="preserve">  拆入资金* </t>
  </si>
  <si>
    <t xml:space="preserve">  交易性金融负债 </t>
  </si>
  <si>
    <t xml:space="preserve">  衍生金融负债 </t>
  </si>
  <si>
    <t xml:space="preserve">  应付票据 </t>
  </si>
  <si>
    <t xml:space="preserve">  应付账款 </t>
  </si>
  <si>
    <t xml:space="preserve">  预收款项 </t>
  </si>
  <si>
    <t xml:space="preserve">  合同负债 </t>
  </si>
  <si>
    <t xml:space="preserve">  卖出回购金融资产款* </t>
  </si>
  <si>
    <t xml:space="preserve">  吸收存款及同业存放* </t>
  </si>
  <si>
    <t xml:space="preserve">  代理买卖证券款* </t>
  </si>
  <si>
    <t xml:space="preserve">  代理承销证券款* </t>
  </si>
  <si>
    <t xml:space="preserve">  应付职工薪酬 </t>
  </si>
  <si>
    <t xml:space="preserve">  应交税费 </t>
  </si>
  <si>
    <t xml:space="preserve">  其他应付款 </t>
  </si>
  <si>
    <t xml:space="preserve">   其中：应付利息</t>
  </si>
  <si>
    <t xml:space="preserve">         应付股利</t>
  </si>
  <si>
    <t xml:space="preserve">  应付手续费及佣金* </t>
  </si>
  <si>
    <t xml:space="preserve">  应付分保账款* </t>
  </si>
  <si>
    <t xml:space="preserve">  持有待售负债 </t>
  </si>
  <si>
    <t xml:space="preserve">  一年内到期的非流动负债 </t>
  </si>
  <si>
    <t xml:space="preserve">  其他流动负债 </t>
  </si>
  <si>
    <t>流动负债合计</t>
  </si>
  <si>
    <t xml:space="preserve">  保险合同准备金* </t>
  </si>
  <si>
    <t xml:space="preserve">  长期借款 </t>
  </si>
  <si>
    <t xml:space="preserve">  应付债券 </t>
  </si>
  <si>
    <t xml:space="preserve">          永续债 </t>
  </si>
  <si>
    <t xml:space="preserve">  租赁负债 </t>
  </si>
  <si>
    <t xml:space="preserve">  专项应付款 </t>
  </si>
  <si>
    <t xml:space="preserve">  长期应付款 </t>
  </si>
  <si>
    <t xml:space="preserve">  长期应付职工薪酬</t>
  </si>
  <si>
    <t xml:space="preserve">  预计负债 </t>
  </si>
  <si>
    <t xml:space="preserve">  递延收益 </t>
  </si>
  <si>
    <t xml:space="preserve">  递延所得税负债 </t>
  </si>
  <si>
    <t xml:space="preserve">  其他非流动负债 </t>
  </si>
  <si>
    <t>非流动负债合计</t>
  </si>
  <si>
    <t>负债合计</t>
  </si>
  <si>
    <t>公式和其他不一致，主要是筛选问题</t>
  </si>
  <si>
    <t xml:space="preserve">  实收资本（或股本） </t>
  </si>
  <si>
    <t xml:space="preserve">  其他权益工具 </t>
  </si>
  <si>
    <t xml:space="preserve">  资本公积 </t>
  </si>
  <si>
    <t xml:space="preserve">  减：库存股 </t>
  </si>
  <si>
    <t xml:space="preserve">  其他综合收益 </t>
  </si>
  <si>
    <t xml:space="preserve">  专项储备 400561</t>
  </si>
  <si>
    <t xml:space="preserve">  盈余公积 </t>
  </si>
  <si>
    <t xml:space="preserve">  一般风险准备* </t>
  </si>
  <si>
    <t xml:space="preserve">  未分配利润 </t>
  </si>
  <si>
    <t xml:space="preserve">  少数股东权益 </t>
  </si>
  <si>
    <t xml:space="preserve"> 所有者权益（或股东权益）合计 </t>
  </si>
  <si>
    <t>利润表</t>
  </si>
  <si>
    <t>营业收入</t>
  </si>
  <si>
    <t>营业成本</t>
  </si>
  <si>
    <t>税金及附加</t>
  </si>
  <si>
    <t>销售费用</t>
  </si>
  <si>
    <t>管理费用</t>
  </si>
  <si>
    <t>研发费用</t>
  </si>
  <si>
    <t>财务费用</t>
  </si>
  <si>
    <t>其他收益</t>
  </si>
  <si>
    <t>投资收益</t>
  </si>
  <si>
    <t>营业利润</t>
  </si>
  <si>
    <t>利润总额</t>
  </si>
  <si>
    <t>所得税费用</t>
  </si>
  <si>
    <t>净利润</t>
  </si>
  <si>
    <t>盈利情况简要分析</t>
  </si>
  <si>
    <t>现金流量表</t>
  </si>
  <si>
    <t>销售商品、提供劳务收到的现金</t>
  </si>
  <si>
    <t>经营活动现金流入小计</t>
  </si>
  <si>
    <t>经营活动现金流出小计</t>
  </si>
  <si>
    <t>投资活动现金流入小计</t>
  </si>
  <si>
    <t>投资活动现金流出小计</t>
  </si>
  <si>
    <t>筹资活动现金流入小计</t>
  </si>
  <si>
    <t>筹资活动现金流出小计</t>
  </si>
  <si>
    <t>筹资活动产生的现金流量净额</t>
  </si>
  <si>
    <t>现金及现金等价物净增加额</t>
  </si>
  <si>
    <t>现金流情况简要分析</t>
  </si>
  <si>
    <t>偿债能力分析</t>
  </si>
  <si>
    <t>流动比率</t>
  </si>
  <si>
    <t>速动比率</t>
  </si>
  <si>
    <t>资产负债率(%)</t>
  </si>
  <si>
    <t>调整后的资产负债率（%）</t>
  </si>
  <si>
    <t>流动负债率(%)</t>
  </si>
  <si>
    <t>经营效率分析</t>
  </si>
  <si>
    <t>存货周转率(倍)</t>
  </si>
  <si>
    <t>总资产周转率(倍)</t>
  </si>
  <si>
    <t>应收账款周转率(倍)</t>
  </si>
  <si>
    <t>主营成本比例(%)</t>
  </si>
  <si>
    <t>营业费用比例(%)</t>
  </si>
  <si>
    <t>管理费用比例(%)</t>
  </si>
  <si>
    <t>财务费用比例(%)</t>
  </si>
  <si>
    <t>盈利能力分析</t>
  </si>
  <si>
    <t>净利润率(%)</t>
  </si>
  <si>
    <t>营业毛利率(%)</t>
  </si>
  <si>
    <t>资产利润率(%)</t>
  </si>
  <si>
    <t>资产净利润率(%)</t>
  </si>
  <si>
    <t>净资产收益率(%)</t>
  </si>
  <si>
    <t>财务结构分析</t>
  </si>
  <si>
    <t>股东权益比(%)</t>
  </si>
  <si>
    <t>长期负债资产比(%)</t>
  </si>
  <si>
    <t>现金流量分析</t>
  </si>
  <si>
    <t>销售商品收到的现金与主营业务比(%)</t>
  </si>
  <si>
    <t>经营活动现金流量与总利润比例(%)</t>
  </si>
  <si>
    <t>现金净流量与总利润比(%)</t>
  </si>
  <si>
    <t>项目</t>
  </si>
  <si>
    <t>存货净额</t>
  </si>
  <si>
    <t>应收账款净额</t>
  </si>
  <si>
    <t>流动资产</t>
  </si>
  <si>
    <t>固定资产</t>
  </si>
  <si>
    <t>在建工程</t>
  </si>
  <si>
    <t>总资产</t>
  </si>
  <si>
    <t>短期借款</t>
  </si>
  <si>
    <t>其他应付款</t>
  </si>
  <si>
    <t>流动负债</t>
  </si>
  <si>
    <t>长期借款</t>
  </si>
  <si>
    <t>长期应付款</t>
  </si>
  <si>
    <t>长期负债</t>
  </si>
  <si>
    <t>总负债</t>
  </si>
  <si>
    <t>股东权益</t>
  </si>
  <si>
    <t>主营业务收入</t>
  </si>
  <si>
    <t>主营业务成本</t>
  </si>
  <si>
    <t>营业费用</t>
  </si>
  <si>
    <t>筹资性现金流净流量</t>
  </si>
  <si>
    <t>经营性现金流净流量</t>
  </si>
  <si>
    <t>EBITDA利息倍数</t>
  </si>
  <si>
    <t>应收帐款周转率(倍)</t>
  </si>
  <si>
    <t>经营毛利率(%)</t>
  </si>
  <si>
    <t>成长能力分析</t>
  </si>
  <si>
    <t>主营收入增长率(%)</t>
  </si>
  <si>
    <t>净利润增长率(%)</t>
  </si>
  <si>
    <t>总资产增长率(%)</t>
  </si>
  <si>
    <t>股东权益增长率(%)</t>
  </si>
  <si>
    <t>营业利润增长率(%)</t>
  </si>
  <si>
    <t>利润总额增长率(%)</t>
  </si>
  <si>
    <t>经营活动现金流量与净利润比例</t>
  </si>
  <si>
    <t>筛选辅助列</t>
  </si>
  <si>
    <t>金额</t>
  </si>
  <si>
    <t>占比</t>
  </si>
  <si>
    <t>占比筛选</t>
  </si>
  <si>
    <t>货币资金</t>
  </si>
  <si>
    <t>交易性金融资产</t>
  </si>
  <si>
    <t>应收票据</t>
  </si>
  <si>
    <t>应收账款</t>
  </si>
  <si>
    <t>预付款项</t>
  </si>
  <si>
    <t>其他应收款</t>
  </si>
  <si>
    <r>
      <rPr>
        <sz val="9"/>
        <color indexed="8"/>
        <rFont val="仿宋"/>
        <charset val="134"/>
      </rPr>
      <t xml:space="preserve">        </t>
    </r>
    <r>
      <rPr>
        <sz val="9"/>
        <color rgb="FF000000"/>
        <rFont val="仿宋"/>
        <charset val="134"/>
      </rPr>
      <t>应收股利</t>
    </r>
  </si>
  <si>
    <t>存货</t>
  </si>
  <si>
    <t>合同资产</t>
  </si>
  <si>
    <t>持有待售资产</t>
  </si>
  <si>
    <t>一年内到期的非流动资产</t>
  </si>
  <si>
    <t>其他流动资产</t>
  </si>
  <si>
    <t>债权投资</t>
  </si>
  <si>
    <t>其他债权投资</t>
  </si>
  <si>
    <t>长期应收款</t>
  </si>
  <si>
    <t>长期股权投资</t>
  </si>
  <si>
    <t>可供出售金融资产</t>
  </si>
  <si>
    <t>持有至到期投资</t>
  </si>
  <si>
    <t>其他权益工具投资</t>
  </si>
  <si>
    <t>其他非流动金融资产</t>
  </si>
  <si>
    <t>投资性房地产</t>
  </si>
  <si>
    <t>交易性金融负债</t>
  </si>
  <si>
    <t>实收资本（或股本）</t>
  </si>
  <si>
    <t>其他权益工具</t>
  </si>
  <si>
    <t>资本公积</t>
  </si>
  <si>
    <t>盈余公积</t>
  </si>
  <si>
    <t>未分配利润</t>
  </si>
  <si>
    <t>少数股东权益</t>
  </si>
  <si>
    <t>经营活动现金流量净额</t>
  </si>
  <si>
    <t>经营活动现金流入</t>
  </si>
  <si>
    <t>经营活动现金流出</t>
  </si>
  <si>
    <t>投资活动现金流量净额</t>
  </si>
  <si>
    <t>投资活动现金流入</t>
  </si>
  <si>
    <t>投资活动现金流出</t>
  </si>
  <si>
    <t>筹资活动现金流量净额</t>
  </si>
  <si>
    <t>筹资活动现金流入</t>
  </si>
  <si>
    <t>筹资活动现金流出</t>
  </si>
  <si>
    <t>购买商品、接受劳务支付的现金</t>
  </si>
  <si>
    <t>盈利现金比</t>
  </si>
  <si>
    <t>销售商品收到的现金</t>
  </si>
  <si>
    <t>合计</t>
  </si>
  <si>
    <t>合计备注</t>
  </si>
  <si>
    <r>
      <rPr>
        <sz val="10"/>
        <rFont val="宋体"/>
        <charset val="134"/>
      </rPr>
      <t>应收账款</t>
    </r>
    <r>
      <rPr>
        <sz val="10"/>
        <rFont val="Arial"/>
        <charset val="134"/>
      </rPr>
      <t>+</t>
    </r>
    <r>
      <rPr>
        <sz val="10"/>
        <rFont val="宋体"/>
        <charset val="134"/>
      </rPr>
      <t>销售商品、提供劳务收到的现金</t>
    </r>
  </si>
  <si>
    <r>
      <rPr>
        <sz val="10"/>
        <rFont val="宋体"/>
        <charset val="134"/>
      </rPr>
      <t>应收票据</t>
    </r>
    <r>
      <rPr>
        <sz val="10"/>
        <rFont val="Arial"/>
        <charset val="134"/>
      </rPr>
      <t>+</t>
    </r>
    <r>
      <rPr>
        <sz val="10"/>
        <rFont val="宋体"/>
        <charset val="134"/>
      </rPr>
      <t>应收账款</t>
    </r>
    <r>
      <rPr>
        <sz val="10"/>
        <rFont val="Arial"/>
        <charset val="134"/>
      </rPr>
      <t>+</t>
    </r>
    <r>
      <rPr>
        <sz val="10"/>
        <rFont val="宋体"/>
        <charset val="134"/>
      </rPr>
      <t>销售商品、提供劳务收到的现金</t>
    </r>
  </si>
  <si>
    <t>取得借款所收到的现金</t>
  </si>
  <si>
    <t>偿还债务所支付的现金</t>
  </si>
  <si>
    <t>支付的其他与筹资活动有关的现金</t>
  </si>
  <si>
    <t>科目</t>
  </si>
  <si>
    <t>净资产</t>
  </si>
  <si>
    <t>资产负债率</t>
  </si>
  <si>
    <t>经营性现金净流量</t>
  </si>
  <si>
    <t>筹资性现金净流量</t>
  </si>
  <si>
    <t>刚性债务总额</t>
  </si>
  <si>
    <t>按类型分</t>
  </si>
  <si>
    <t>银行借款</t>
  </si>
  <si>
    <t>非标借款</t>
  </si>
  <si>
    <r>
      <rPr>
        <b/>
        <sz val="12"/>
        <rFont val="仿宋"/>
        <charset val="134"/>
      </rPr>
      <t xml:space="preserve">  </t>
    </r>
    <r>
      <rPr>
        <b/>
        <sz val="12"/>
        <rFont val="仿宋"/>
        <charset val="134"/>
      </rPr>
      <t>其中：信托</t>
    </r>
  </si>
  <si>
    <t>-</t>
  </si>
  <si>
    <t>其中：租赁</t>
  </si>
  <si>
    <t>债券融资</t>
  </si>
  <si>
    <t>按期限分</t>
  </si>
  <si>
    <t>一年内到期</t>
  </si>
  <si>
    <t>一年以上</t>
  </si>
  <si>
    <t>租赁期内每年到期债务情况</t>
  </si>
  <si>
    <r>
      <rPr>
        <sz val="10"/>
        <rFont val="宋体"/>
        <charset val="134"/>
      </rPr>
      <t>刚性债务=短期借款</t>
    </r>
    <r>
      <rPr>
        <sz val="10"/>
        <rFont val="宋体"/>
        <charset val="134"/>
      </rPr>
      <t>+</t>
    </r>
    <r>
      <rPr>
        <sz val="10"/>
        <rFont val="宋体"/>
        <charset val="134"/>
      </rPr>
      <t>应付票据</t>
    </r>
    <r>
      <rPr>
        <sz val="10"/>
        <rFont val="宋体"/>
        <charset val="134"/>
      </rPr>
      <t>+</t>
    </r>
    <r>
      <rPr>
        <sz val="10"/>
        <rFont val="宋体"/>
        <charset val="134"/>
      </rPr>
      <t>一年内到期的长期借款</t>
    </r>
    <r>
      <rPr>
        <sz val="10"/>
        <rFont val="宋体"/>
        <charset val="134"/>
      </rPr>
      <t>+</t>
    </r>
    <r>
      <rPr>
        <sz val="10"/>
        <rFont val="宋体"/>
        <charset val="134"/>
      </rPr>
      <t>应付短期融资券</t>
    </r>
    <r>
      <rPr>
        <sz val="10"/>
        <rFont val="宋体"/>
        <charset val="134"/>
      </rPr>
      <t>+</t>
    </r>
    <r>
      <rPr>
        <sz val="10"/>
        <rFont val="宋体"/>
        <charset val="134"/>
      </rPr>
      <t>长期借款</t>
    </r>
    <r>
      <rPr>
        <sz val="10"/>
        <rFont val="宋体"/>
        <charset val="134"/>
      </rPr>
      <t>+</t>
    </r>
    <r>
      <rPr>
        <sz val="10"/>
        <rFont val="宋体"/>
        <charset val="134"/>
      </rPr>
      <t>应付债券</t>
    </r>
    <r>
      <rPr>
        <sz val="10"/>
        <rFont val="宋体"/>
        <charset val="134"/>
      </rPr>
      <t>+</t>
    </r>
    <r>
      <rPr>
        <sz val="10"/>
        <rFont val="宋体"/>
        <charset val="134"/>
      </rPr>
      <t>其他具期债务</t>
    </r>
  </si>
  <si>
    <t>“刚性负债”=短期借款 应付票据（敞口） 应交税金 一年内到期的长期负债 应付债券 长期借款。短期刚性负债=短期借款 应付票据（敞口） 应交税金 一年内到期的长期负债</t>
  </si>
  <si>
    <t xml:space="preserve"> </t>
  </si>
  <si>
    <t>银行借款为报表中长期借款与短期借款之和</t>
  </si>
  <si>
    <t>非标借款为长期应付款科目</t>
  </si>
  <si>
    <t>一年内到期为：一年内到期非流动负债科目</t>
  </si>
  <si>
    <t>单位：元</t>
  </si>
  <si>
    <t>应付票据</t>
  </si>
  <si>
    <t>应交税费</t>
  </si>
  <si>
    <t>应付债券</t>
  </si>
  <si>
    <t>刚性债务</t>
  </si>
  <si>
    <t>更新报表可以制作动态报表</t>
  </si>
  <si>
    <t>2022.1.19</t>
  </si>
  <si>
    <r>
      <rPr>
        <sz val="10"/>
        <rFont val="Arial"/>
        <charset val="134"/>
      </rPr>
      <t>1</t>
    </r>
    <r>
      <rPr>
        <sz val="10"/>
        <rFont val="宋体"/>
        <charset val="134"/>
      </rPr>
      <t>、与可行格式一致</t>
    </r>
  </si>
  <si>
    <t>2023.09.18</t>
  </si>
  <si>
    <r>
      <rPr>
        <sz val="10"/>
        <rFont val="Arial"/>
        <charset val="134"/>
      </rPr>
      <t>1</t>
    </r>
    <r>
      <rPr>
        <sz val="10"/>
        <rFont val="宋体"/>
        <charset val="134"/>
      </rPr>
      <t>、按照新的报表格式进行了更改</t>
    </r>
  </si>
  <si>
    <t>最新一期报表的时间</t>
  </si>
  <si>
    <t>年</t>
  </si>
  <si>
    <t>月</t>
  </si>
  <si>
    <t>日期</t>
  </si>
  <si>
    <t>2023.6</t>
  </si>
  <si>
    <t>/12/31</t>
  </si>
</sst>
</file>

<file path=xl/styles.xml><?xml version="1.0" encoding="utf-8"?>
<styleSheet xmlns="http://schemas.openxmlformats.org/spreadsheetml/2006/main">
  <numFmts count="16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yyyy&quot;年&quot;mm&quot;月&quot;;@"/>
    <numFmt numFmtId="177" formatCode="yyyy/m/d;@"/>
    <numFmt numFmtId="178" formatCode="_(* #,##0.00_);_(* \(#,##0.00\);_(* &quot;-&quot;??_);_(@_)"/>
    <numFmt numFmtId="179" formatCode="0_);[Red]\(0\)"/>
    <numFmt numFmtId="180" formatCode="#,##0.00_ "/>
    <numFmt numFmtId="181" formatCode="yyyy&quot;年&quot;;@"/>
    <numFmt numFmtId="182" formatCode="0&quot;.&quot;00,,&quot;亿&quot;"/>
    <numFmt numFmtId="183" formatCode="0.00_);[Red]\(0.00\)"/>
    <numFmt numFmtId="184" formatCode="yyyy&quot;年&quot;m&quot;月&quot;;@"/>
    <numFmt numFmtId="185" formatCode="#,##0_ "/>
    <numFmt numFmtId="186" formatCode="0.00_ "/>
    <numFmt numFmtId="187" formatCode="#,##0.00_);[Red]\(#,##0.00\)"/>
  </numFmts>
  <fonts count="61">
    <font>
      <sz val="10"/>
      <name val="Arial"/>
      <charset val="134"/>
    </font>
    <font>
      <b/>
      <sz val="10.5"/>
      <color rgb="FFFFFFFF"/>
      <name val="微软雅黑"/>
      <charset val="134"/>
    </font>
    <font>
      <sz val="10.5"/>
      <name val="微软雅黑"/>
      <charset val="134"/>
    </font>
    <font>
      <sz val="10"/>
      <name val="宋体"/>
      <charset val="134"/>
    </font>
    <font>
      <sz val="10"/>
      <name val="微软雅黑"/>
      <charset val="134"/>
    </font>
    <font>
      <b/>
      <sz val="12"/>
      <name val="仿宋"/>
      <charset val="134"/>
    </font>
    <font>
      <sz val="12"/>
      <name val="仿宋"/>
      <charset val="134"/>
    </font>
    <font>
      <sz val="9"/>
      <color indexed="8"/>
      <name val="Dialog.plain"/>
      <charset val="134"/>
    </font>
    <font>
      <b/>
      <sz val="12"/>
      <name val="仿宋_GB2312"/>
      <charset val="134"/>
    </font>
    <font>
      <b/>
      <sz val="12"/>
      <name val="Times New Roman"/>
      <charset val="134"/>
    </font>
    <font>
      <sz val="12"/>
      <name val="仿宋_GB2312"/>
      <charset val="134"/>
    </font>
    <font>
      <sz val="12"/>
      <color rgb="FF000000"/>
      <name val="Times New Roman"/>
      <charset val="134"/>
    </font>
    <font>
      <sz val="12"/>
      <name val="Times New Roman"/>
      <charset val="134"/>
    </font>
    <font>
      <b/>
      <sz val="11"/>
      <color theme="1"/>
      <name val="仿宋_GB2312"/>
      <charset val="134"/>
    </font>
    <font>
      <sz val="9"/>
      <color indexed="8"/>
      <name val="宋体"/>
      <charset val="134"/>
    </font>
    <font>
      <sz val="11"/>
      <color theme="1"/>
      <name val="仿宋_GB2312"/>
      <charset val="134"/>
    </font>
    <font>
      <sz val="11"/>
      <color theme="1"/>
      <name val="Times New Roman"/>
      <charset val="134"/>
    </font>
    <font>
      <b/>
      <sz val="11"/>
      <color theme="1"/>
      <name val="宋体"/>
      <charset val="134"/>
      <scheme val="minor"/>
    </font>
    <font>
      <b/>
      <sz val="12"/>
      <color theme="1"/>
      <name val="仿宋_GB2312"/>
      <charset val="134"/>
    </font>
    <font>
      <sz val="10"/>
      <name val="仿宋_GB2312"/>
      <charset val="134"/>
    </font>
    <font>
      <sz val="10"/>
      <color rgb="FFFF0000"/>
      <name val="宋体"/>
      <charset val="134"/>
    </font>
    <font>
      <b/>
      <sz val="9"/>
      <name val="仿宋"/>
      <charset val="134"/>
    </font>
    <font>
      <sz val="9"/>
      <name val="仿宋"/>
      <charset val="134"/>
    </font>
    <font>
      <sz val="9"/>
      <color indexed="8"/>
      <name val="仿宋"/>
      <charset val="134"/>
    </font>
    <font>
      <b/>
      <sz val="9"/>
      <color indexed="8"/>
      <name val="仿宋"/>
      <charset val="134"/>
    </font>
    <font>
      <sz val="12"/>
      <name val="宋体"/>
      <charset val="134"/>
    </font>
    <font>
      <b/>
      <sz val="10.5"/>
      <name val="仿宋_GB2312"/>
      <charset val="134"/>
    </font>
    <font>
      <b/>
      <sz val="10"/>
      <name val="仿宋"/>
      <charset val="134"/>
    </font>
    <font>
      <sz val="10"/>
      <color indexed="8"/>
      <name val="仿宋"/>
      <charset val="134"/>
    </font>
    <font>
      <sz val="12"/>
      <color rgb="FFFF0000"/>
      <name val="宋体"/>
      <charset val="134"/>
    </font>
    <font>
      <sz val="10.5"/>
      <color indexed="8"/>
      <name val="仿宋_GB2312"/>
      <charset val="134"/>
    </font>
    <font>
      <sz val="10.5"/>
      <name val="仿宋_GB2312"/>
      <charset val="134"/>
    </font>
    <font>
      <b/>
      <sz val="12"/>
      <color rgb="FF000000"/>
      <name val="仿宋"/>
      <charset val="134"/>
    </font>
    <font>
      <sz val="9"/>
      <color indexed="8"/>
      <name val="Times New Roman"/>
      <charset val="134"/>
    </font>
    <font>
      <sz val="9"/>
      <name val="Times New Roman"/>
      <charset val="134"/>
    </font>
    <font>
      <sz val="9"/>
      <color rgb="FF000000"/>
      <name val="宋体"/>
      <charset val="134"/>
    </font>
    <font>
      <b/>
      <sz val="10"/>
      <name val="Arial"/>
      <charset val="134"/>
    </font>
    <font>
      <sz val="9"/>
      <color rgb="FF000000"/>
      <name val="Dialog.plain"/>
      <charset val="134"/>
    </font>
    <font>
      <b/>
      <sz val="9"/>
      <color indexed="8"/>
      <name val="Dialog.plain"/>
      <charset val="134"/>
    </font>
    <font>
      <b/>
      <sz val="9"/>
      <color indexed="8"/>
      <name val="宋体"/>
      <charset val="134"/>
    </font>
    <font>
      <sz val="11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9"/>
      <color rgb="FF000000"/>
      <name val="仿宋"/>
      <charset val="134"/>
    </font>
  </fonts>
  <fills count="46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0" tint="-0.149876400036622"/>
        <bgColor indexed="64"/>
      </patternFill>
    </fill>
    <fill>
      <patternFill patternType="solid">
        <fgColor indexed="31"/>
        <bgColor indexed="8"/>
      </patternFill>
    </fill>
    <fill>
      <patternFill patternType="solid">
        <fgColor rgb="FF99C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 tint="0.79985961485641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theme="4" tint="0.799951170384838"/>
        <bgColor indexed="64"/>
      </patternFill>
    </fill>
    <fill>
      <patternFill patternType="solid">
        <fgColor indexed="26"/>
        <bgColor indexed="8"/>
      </patternFill>
    </fill>
    <fill>
      <patternFill patternType="solid">
        <fgColor rgb="FFFFFF00"/>
        <bgColor indexed="8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3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auto="1"/>
      </bottom>
      <diagonal/>
    </border>
    <border>
      <left/>
      <right style="medium">
        <color auto="1"/>
      </right>
      <top style="medium">
        <color rgb="FF000000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rgb="FF000000"/>
      </top>
      <bottom style="medium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rgb="FF000000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rgb="FF000000"/>
      </left>
      <right/>
      <top style="medium">
        <color auto="1"/>
      </top>
      <bottom style="medium">
        <color rgb="FF000000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rgb="FF000000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rgb="FF000000"/>
      </bottom>
      <diagonal/>
    </border>
    <border>
      <left/>
      <right style="medium">
        <color auto="1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42" fontId="40" fillId="0" borderId="0" applyFont="0" applyFill="0" applyBorder="0" applyAlignment="0" applyProtection="0">
      <alignment vertical="center"/>
    </xf>
    <xf numFmtId="0" fontId="41" fillId="15" borderId="0" applyNumberFormat="0" applyBorder="0" applyAlignment="0" applyProtection="0">
      <alignment vertical="center"/>
    </xf>
    <xf numFmtId="0" fontId="42" fillId="16" borderId="23" applyNumberFormat="0" applyAlignment="0" applyProtection="0">
      <alignment vertical="center"/>
    </xf>
    <xf numFmtId="44" fontId="40" fillId="0" borderId="0" applyFont="0" applyFill="0" applyBorder="0" applyAlignment="0" applyProtection="0">
      <alignment vertical="center"/>
    </xf>
    <xf numFmtId="41" fontId="40" fillId="0" borderId="0" applyFont="0" applyFill="0" applyBorder="0" applyAlignment="0" applyProtection="0">
      <alignment vertical="center"/>
    </xf>
    <xf numFmtId="0" fontId="41" fillId="17" borderId="0" applyNumberFormat="0" applyBorder="0" applyAlignment="0" applyProtection="0">
      <alignment vertical="center"/>
    </xf>
    <xf numFmtId="0" fontId="43" fillId="18" borderId="0" applyNumberFormat="0" applyBorder="0" applyAlignment="0" applyProtection="0">
      <alignment vertical="center"/>
    </xf>
    <xf numFmtId="178" fontId="0" fillId="0" borderId="0" applyFont="0" applyFill="0" applyBorder="0" applyAlignment="0" applyProtection="0"/>
    <xf numFmtId="0" fontId="44" fillId="19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0" fillId="20" borderId="24" applyNumberFormat="0" applyFont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1" fillId="0" borderId="25" applyNumberFormat="0" applyFill="0" applyAlignment="0" applyProtection="0">
      <alignment vertical="center"/>
    </xf>
    <xf numFmtId="0" fontId="52" fillId="0" borderId="25" applyNumberFormat="0" applyFill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7" fillId="0" borderId="26" applyNumberFormat="0" applyFill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53" fillId="24" borderId="27" applyNumberFormat="0" applyAlignment="0" applyProtection="0">
      <alignment vertical="center"/>
    </xf>
    <xf numFmtId="0" fontId="54" fillId="24" borderId="23" applyNumberFormat="0" applyAlignment="0" applyProtection="0">
      <alignment vertical="center"/>
    </xf>
    <xf numFmtId="0" fontId="55" fillId="25" borderId="28" applyNumberFormat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0" fontId="44" fillId="27" borderId="0" applyNumberFormat="0" applyBorder="0" applyAlignment="0" applyProtection="0">
      <alignment vertical="center"/>
    </xf>
    <xf numFmtId="0" fontId="56" fillId="0" borderId="29" applyNumberFormat="0" applyFill="0" applyAlignment="0" applyProtection="0">
      <alignment vertical="center"/>
    </xf>
    <xf numFmtId="0" fontId="57" fillId="0" borderId="30" applyNumberFormat="0" applyFill="0" applyAlignment="0" applyProtection="0">
      <alignment vertical="center"/>
    </xf>
    <xf numFmtId="0" fontId="58" fillId="28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41" fillId="30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0" fontId="41" fillId="34" borderId="0" applyNumberFormat="0" applyBorder="0" applyAlignment="0" applyProtection="0">
      <alignment vertical="center"/>
    </xf>
    <xf numFmtId="0" fontId="41" fillId="35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1" fillId="38" borderId="0" applyNumberFormat="0" applyBorder="0" applyAlignment="0" applyProtection="0">
      <alignment vertical="center"/>
    </xf>
    <xf numFmtId="0" fontId="41" fillId="39" borderId="0" applyNumberFormat="0" applyBorder="0" applyAlignment="0" applyProtection="0">
      <alignment vertical="center"/>
    </xf>
    <xf numFmtId="0" fontId="44" fillId="40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0" fontId="44" fillId="42" borderId="0" applyNumberFormat="0" applyBorder="0" applyAlignment="0" applyProtection="0">
      <alignment vertical="center"/>
    </xf>
    <xf numFmtId="0" fontId="44" fillId="43" borderId="0" applyNumberFormat="0" applyBorder="0" applyAlignment="0" applyProtection="0">
      <alignment vertical="center"/>
    </xf>
    <xf numFmtId="0" fontId="41" fillId="44" borderId="0" applyNumberFormat="0" applyBorder="0" applyAlignment="0" applyProtection="0">
      <alignment vertical="center"/>
    </xf>
    <xf numFmtId="0" fontId="44" fillId="45" borderId="0" applyNumberFormat="0" applyBorder="0" applyAlignment="0" applyProtection="0">
      <alignment vertical="center"/>
    </xf>
    <xf numFmtId="0" fontId="25" fillId="0" borderId="0">
      <alignment vertical="center"/>
    </xf>
  </cellStyleXfs>
  <cellXfs count="170">
    <xf numFmtId="0" fontId="0" fillId="0" borderId="0" xfId="0"/>
    <xf numFmtId="0" fontId="1" fillId="2" borderId="1" xfId="0" applyFont="1" applyFill="1" applyBorder="1" applyAlignment="1">
      <alignment horizontal="justify" wrapText="1"/>
    </xf>
    <xf numFmtId="0" fontId="1" fillId="2" borderId="1" xfId="0" applyFont="1" applyFill="1" applyBorder="1" applyAlignment="1">
      <alignment horizontal="right" wrapText="1"/>
    </xf>
    <xf numFmtId="0" fontId="2" fillId="0" borderId="1" xfId="0" applyFont="1" applyBorder="1" applyAlignment="1">
      <alignment horizontal="justify" wrapText="1"/>
    </xf>
    <xf numFmtId="14" fontId="2" fillId="0" borderId="1" xfId="0" applyNumberFormat="1" applyFont="1" applyBorder="1" applyAlignment="1">
      <alignment horizontal="justify" wrapText="1"/>
    </xf>
    <xf numFmtId="179" fontId="2" fillId="0" borderId="1" xfId="0" applyNumberFormat="1" applyFont="1" applyBorder="1" applyAlignment="1">
      <alignment horizontal="center" vertical="center"/>
    </xf>
    <xf numFmtId="180" fontId="2" fillId="0" borderId="1" xfId="0" applyNumberFormat="1" applyFont="1" applyBorder="1" applyAlignment="1">
      <alignment horizontal="right" wrapText="1"/>
    </xf>
    <xf numFmtId="179" fontId="2" fillId="0" borderId="1" xfId="0" applyNumberFormat="1" applyFont="1" applyBorder="1" applyAlignment="1">
      <alignment horizontal="center" vertical="center" wrapText="1"/>
    </xf>
    <xf numFmtId="0" fontId="3" fillId="0" borderId="1" xfId="0" applyFont="1" applyBorder="1"/>
    <xf numFmtId="0" fontId="0" fillId="0" borderId="1" xfId="0" applyBorder="1"/>
    <xf numFmtId="180" fontId="0" fillId="0" borderId="1" xfId="0" applyNumberFormat="1" applyBorder="1"/>
    <xf numFmtId="0" fontId="4" fillId="3" borderId="0" xfId="0" applyFont="1" applyFill="1"/>
    <xf numFmtId="49" fontId="4" fillId="0" borderId="0" xfId="0" applyNumberFormat="1" applyFont="1"/>
    <xf numFmtId="0" fontId="0" fillId="3" borderId="0" xfId="0" applyFill="1"/>
    <xf numFmtId="14" fontId="0" fillId="3" borderId="0" xfId="0" applyNumberFormat="1" applyFill="1"/>
    <xf numFmtId="14" fontId="0" fillId="0" borderId="0" xfId="0" applyNumberFormat="1"/>
    <xf numFmtId="0" fontId="3" fillId="0" borderId="0" xfId="0" applyFont="1"/>
    <xf numFmtId="0" fontId="0" fillId="0" borderId="0" xfId="0" applyFont="1"/>
    <xf numFmtId="0" fontId="0" fillId="0" borderId="2" xfId="0" applyBorder="1" applyAlignment="1">
      <alignment horizontal="center" vertical="center"/>
    </xf>
    <xf numFmtId="0" fontId="5" fillId="0" borderId="3" xfId="0" applyFont="1" applyBorder="1" applyAlignment="1">
      <alignment horizontal="center" vertical="center" wrapText="1"/>
    </xf>
    <xf numFmtId="176" fontId="5" fillId="0" borderId="4" xfId="0" applyNumberFormat="1" applyFont="1" applyBorder="1" applyAlignment="1">
      <alignment horizontal="center" vertical="center" wrapText="1"/>
    </xf>
    <xf numFmtId="181" fontId="5" fillId="0" borderId="4" xfId="0" applyNumberFormat="1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182" fontId="6" fillId="0" borderId="7" xfId="0" applyNumberFormat="1" applyFont="1" applyBorder="1" applyAlignment="1">
      <alignment horizontal="center" vertical="center" wrapText="1"/>
    </xf>
    <xf numFmtId="182" fontId="6" fillId="0" borderId="8" xfId="0" applyNumberFormat="1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182" fontId="6" fillId="0" borderId="10" xfId="0" applyNumberFormat="1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Font="1" applyAlignment="1">
      <alignment wrapText="1"/>
    </xf>
    <xf numFmtId="176" fontId="0" fillId="0" borderId="0" xfId="0" applyNumberFormat="1"/>
    <xf numFmtId="178" fontId="0" fillId="0" borderId="0" xfId="8" applyFont="1"/>
    <xf numFmtId="0" fontId="7" fillId="0" borderId="0" xfId="0" applyFont="1" applyAlignment="1">
      <alignment horizontal="left" vertical="center"/>
    </xf>
    <xf numFmtId="183" fontId="0" fillId="0" borderId="0" xfId="0" applyNumberFormat="1"/>
    <xf numFmtId="0" fontId="8" fillId="0" borderId="7" xfId="0" applyFont="1" applyBorder="1" applyAlignment="1">
      <alignment horizontal="center" vertical="center" wrapText="1"/>
    </xf>
    <xf numFmtId="14" fontId="9" fillId="0" borderId="6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3" fontId="11" fillId="0" borderId="13" xfId="0" applyNumberFormat="1" applyFont="1" applyBorder="1" applyAlignment="1">
      <alignment horizontal="center" vertical="center" wrapText="1"/>
    </xf>
    <xf numFmtId="10" fontId="12" fillId="0" borderId="13" xfId="0" applyNumberFormat="1" applyFont="1" applyBorder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57" fontId="0" fillId="0" borderId="0" xfId="0" applyNumberFormat="1" applyAlignment="1">
      <alignment horizontal="center"/>
    </xf>
    <xf numFmtId="57" fontId="0" fillId="4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0" fontId="13" fillId="5" borderId="1" xfId="0" applyFont="1" applyFill="1" applyBorder="1" applyAlignment="1">
      <alignment horizontal="center" vertical="center" wrapText="1"/>
    </xf>
    <xf numFmtId="57" fontId="13" fillId="5" borderId="1" xfId="0" applyNumberFormat="1" applyFont="1" applyFill="1" applyBorder="1" applyAlignment="1">
      <alignment horizontal="center"/>
    </xf>
    <xf numFmtId="0" fontId="0" fillId="4" borderId="0" xfId="0" applyFill="1" applyAlignment="1">
      <alignment horizontal="center"/>
    </xf>
    <xf numFmtId="0" fontId="13" fillId="5" borderId="1" xfId="0" applyFont="1" applyFill="1" applyBorder="1" applyAlignment="1">
      <alignment horizontal="center"/>
    </xf>
    <xf numFmtId="0" fontId="14" fillId="0" borderId="0" xfId="0" applyFont="1" applyAlignment="1">
      <alignment horizontal="left" vertical="center"/>
    </xf>
    <xf numFmtId="178" fontId="0" fillId="0" borderId="0" xfId="8" applyFont="1" applyAlignment="1">
      <alignment horizontal="center"/>
    </xf>
    <xf numFmtId="0" fontId="15" fillId="0" borderId="1" xfId="0" applyFont="1" applyBorder="1" applyAlignment="1">
      <alignment horizontal="center" wrapText="1"/>
    </xf>
    <xf numFmtId="180" fontId="16" fillId="0" borderId="1" xfId="8" applyNumberFormat="1" applyFont="1" applyBorder="1" applyAlignment="1">
      <alignment horizontal="right"/>
    </xf>
    <xf numFmtId="0" fontId="4" fillId="0" borderId="0" xfId="0" applyFont="1" applyAlignment="1">
      <alignment horizontal="center" wrapText="1"/>
    </xf>
    <xf numFmtId="178" fontId="0" fillId="0" borderId="0" xfId="8" applyFont="1" applyAlignment="1">
      <alignment horizontal="center" vertical="center"/>
    </xf>
    <xf numFmtId="0" fontId="0" fillId="0" borderId="0" xfId="0" applyAlignment="1">
      <alignment horizontal="center" wrapText="1"/>
    </xf>
    <xf numFmtId="14" fontId="7" fillId="6" borderId="1" xfId="0" applyNumberFormat="1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4" fontId="7" fillId="0" borderId="1" xfId="0" applyNumberFormat="1" applyFont="1" applyBorder="1" applyAlignment="1" applyProtection="1">
      <alignment horizontal="center" vertical="center"/>
      <protection locked="0"/>
    </xf>
    <xf numFmtId="18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180" fontId="7" fillId="0" borderId="1" xfId="0" applyNumberFormat="1" applyFont="1" applyBorder="1" applyAlignment="1">
      <alignment horizontal="left" vertical="center"/>
    </xf>
    <xf numFmtId="180" fontId="7" fillId="0" borderId="1" xfId="0" applyNumberFormat="1" applyFont="1" applyBorder="1" applyAlignment="1" applyProtection="1">
      <alignment horizontal="center" vertical="center"/>
      <protection locked="0"/>
    </xf>
    <xf numFmtId="180" fontId="7" fillId="0" borderId="1" xfId="0" applyNumberFormat="1" applyFont="1" applyBorder="1" applyAlignment="1" applyProtection="1">
      <alignment horizontal="right" vertical="center"/>
      <protection locked="0"/>
    </xf>
    <xf numFmtId="177" fontId="7" fillId="6" borderId="1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/>
    </xf>
    <xf numFmtId="57" fontId="0" fillId="0" borderId="1" xfId="0" applyNumberFormat="1" applyBorder="1"/>
    <xf numFmtId="184" fontId="0" fillId="0" borderId="1" xfId="0" applyNumberFormat="1" applyBorder="1"/>
    <xf numFmtId="0" fontId="18" fillId="7" borderId="1" xfId="0" applyFont="1" applyFill="1" applyBorder="1" applyAlignment="1">
      <alignment horizontal="center" vertical="center"/>
    </xf>
    <xf numFmtId="57" fontId="10" fillId="7" borderId="1" xfId="0" applyNumberFormat="1" applyFont="1" applyFill="1" applyBorder="1" applyAlignment="1">
      <alignment horizontal="center" vertical="center"/>
    </xf>
    <xf numFmtId="178" fontId="0" fillId="8" borderId="1" xfId="8" applyFont="1" applyFill="1" applyBorder="1" applyAlignment="1"/>
    <xf numFmtId="0" fontId="18" fillId="0" borderId="1" xfId="0" applyFont="1" applyBorder="1" applyAlignment="1">
      <alignment horizontal="center" vertical="center"/>
    </xf>
    <xf numFmtId="185" fontId="9" fillId="0" borderId="1" xfId="8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178" fontId="0" fillId="0" borderId="1" xfId="8" applyFont="1" applyBorder="1" applyAlignment="1"/>
    <xf numFmtId="0" fontId="10" fillId="0" borderId="1" xfId="0" applyFont="1" applyBorder="1" applyAlignment="1">
      <alignment horizontal="center" vertical="center"/>
    </xf>
    <xf numFmtId="185" fontId="12" fillId="0" borderId="1" xfId="8" applyNumberFormat="1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184" fontId="10" fillId="7" borderId="1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0" fillId="0" borderId="0" xfId="0" applyFont="1" applyAlignment="1">
      <alignment horizontal="right" vertical="center"/>
    </xf>
    <xf numFmtId="0" fontId="21" fillId="0" borderId="1" xfId="0" applyFont="1" applyBorder="1" applyAlignment="1">
      <alignment horizontal="center" vertical="center"/>
    </xf>
    <xf numFmtId="14" fontId="22" fillId="0" borderId="14" xfId="0" applyNumberFormat="1" applyFont="1" applyBorder="1" applyAlignment="1">
      <alignment horizontal="center" vertical="center"/>
    </xf>
    <xf numFmtId="14" fontId="22" fillId="0" borderId="15" xfId="0" applyNumberFormat="1" applyFont="1" applyBorder="1" applyAlignment="1">
      <alignment horizontal="center" vertical="center"/>
    </xf>
    <xf numFmtId="3" fontId="22" fillId="0" borderId="1" xfId="0" applyNumberFormat="1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 wrapText="1"/>
    </xf>
    <xf numFmtId="185" fontId="22" fillId="0" borderId="1" xfId="0" applyNumberFormat="1" applyFont="1" applyBorder="1" applyAlignment="1">
      <alignment horizontal="center" vertical="center"/>
    </xf>
    <xf numFmtId="10" fontId="22" fillId="0" borderId="1" xfId="11" applyNumberFormat="1" applyFont="1" applyBorder="1" applyAlignment="1">
      <alignment horizontal="center" vertical="center"/>
    </xf>
    <xf numFmtId="185" fontId="22" fillId="0" borderId="1" xfId="8" applyNumberFormat="1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 wrapText="1"/>
    </xf>
    <xf numFmtId="10" fontId="21" fillId="0" borderId="1" xfId="11" applyNumberFormat="1" applyFont="1" applyBorder="1" applyAlignment="1">
      <alignment horizontal="center" vertical="center"/>
    </xf>
    <xf numFmtId="0" fontId="24" fillId="0" borderId="0" xfId="0" applyFont="1" applyAlignment="1">
      <alignment horizontal="center" vertical="center" wrapText="1"/>
    </xf>
    <xf numFmtId="3" fontId="22" fillId="0" borderId="0" xfId="0" applyNumberFormat="1" applyFont="1" applyAlignment="1">
      <alignment horizontal="center" vertical="center"/>
    </xf>
    <xf numFmtId="10" fontId="22" fillId="0" borderId="0" xfId="11" applyNumberFormat="1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14" fontId="22" fillId="0" borderId="1" xfId="0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9" fontId="0" fillId="0" borderId="0" xfId="11" applyFont="1"/>
    <xf numFmtId="180" fontId="22" fillId="0" borderId="1" xfId="8" applyNumberFormat="1" applyFont="1" applyBorder="1" applyAlignment="1">
      <alignment horizontal="center" vertical="center"/>
    </xf>
    <xf numFmtId="0" fontId="25" fillId="0" borderId="0" xfId="49">
      <alignment vertical="center"/>
    </xf>
    <xf numFmtId="0" fontId="25" fillId="0" borderId="0" xfId="49" applyAlignment="1">
      <alignment horizontal="center" vertical="center"/>
    </xf>
    <xf numFmtId="0" fontId="26" fillId="7" borderId="1" xfId="49" applyFont="1" applyFill="1" applyBorder="1" applyAlignment="1">
      <alignment horizontal="center" wrapText="1"/>
    </xf>
    <xf numFmtId="14" fontId="27" fillId="9" borderId="1" xfId="49" applyNumberFormat="1" applyFont="1" applyFill="1" applyBorder="1" applyAlignment="1">
      <alignment horizontal="center" wrapText="1"/>
    </xf>
    <xf numFmtId="14" fontId="27" fillId="9" borderId="1" xfId="49" applyNumberFormat="1" applyFont="1" applyFill="1" applyBorder="1" applyAlignment="1">
      <alignment horizontal="center"/>
    </xf>
    <xf numFmtId="0" fontId="26" fillId="0" borderId="1" xfId="49" applyFont="1" applyBorder="1" applyAlignment="1">
      <alignment horizontal="center" wrapText="1"/>
    </xf>
    <xf numFmtId="3" fontId="28" fillId="0" borderId="1" xfId="49" applyNumberFormat="1" applyFont="1" applyBorder="1" applyAlignment="1">
      <alignment horizontal="center" wrapText="1"/>
    </xf>
    <xf numFmtId="0" fontId="29" fillId="10" borderId="0" xfId="49" applyFont="1" applyFill="1">
      <alignment vertical="center"/>
    </xf>
    <xf numFmtId="0" fontId="30" fillId="0" borderId="0" xfId="49" applyFont="1" applyAlignment="1">
      <alignment horizontal="center" wrapText="1"/>
    </xf>
    <xf numFmtId="0" fontId="26" fillId="0" borderId="16" xfId="49" applyFont="1" applyBorder="1" applyAlignment="1">
      <alignment horizontal="center"/>
    </xf>
    <xf numFmtId="0" fontId="26" fillId="0" borderId="17" xfId="49" applyFont="1" applyBorder="1" applyAlignment="1">
      <alignment horizontal="center"/>
    </xf>
    <xf numFmtId="186" fontId="31" fillId="0" borderId="1" xfId="49" applyNumberFormat="1" applyFont="1" applyBorder="1" applyAlignment="1">
      <alignment horizontal="center" wrapText="1"/>
    </xf>
    <xf numFmtId="10" fontId="31" fillId="0" borderId="1" xfId="11" applyNumberFormat="1" applyFont="1" applyBorder="1" applyAlignment="1">
      <alignment horizontal="center" wrapText="1"/>
    </xf>
    <xf numFmtId="10" fontId="31" fillId="0" borderId="1" xfId="11" applyNumberFormat="1" applyFont="1" applyFill="1" applyBorder="1" applyAlignment="1">
      <alignment horizontal="center" wrapText="1"/>
    </xf>
    <xf numFmtId="10" fontId="31" fillId="0" borderId="1" xfId="49" applyNumberFormat="1" applyFont="1" applyBorder="1" applyAlignment="1">
      <alignment horizontal="center" wrapText="1"/>
    </xf>
    <xf numFmtId="0" fontId="26" fillId="0" borderId="14" xfId="49" applyFont="1" applyBorder="1" applyAlignment="1">
      <alignment horizontal="center" wrapText="1"/>
    </xf>
    <xf numFmtId="0" fontId="26" fillId="0" borderId="18" xfId="49" applyFont="1" applyBorder="1" applyAlignment="1">
      <alignment horizontal="center" wrapText="1"/>
    </xf>
    <xf numFmtId="0" fontId="26" fillId="0" borderId="17" xfId="49" applyFont="1" applyBorder="1" applyAlignment="1">
      <alignment horizontal="center" wrapText="1"/>
    </xf>
    <xf numFmtId="0" fontId="26" fillId="7" borderId="19" xfId="49" applyFont="1" applyFill="1" applyBorder="1" applyAlignment="1">
      <alignment horizontal="center" wrapText="1"/>
    </xf>
    <xf numFmtId="14" fontId="27" fillId="9" borderId="19" xfId="49" applyNumberFormat="1" applyFont="1" applyFill="1" applyBorder="1" applyAlignment="1">
      <alignment horizontal="center" wrapText="1"/>
    </xf>
    <xf numFmtId="0" fontId="32" fillId="11" borderId="8" xfId="0" applyFont="1" applyFill="1" applyBorder="1" applyAlignment="1">
      <alignment horizontal="center" vertical="center"/>
    </xf>
    <xf numFmtId="0" fontId="32" fillId="0" borderId="20" xfId="0" applyFont="1" applyBorder="1" applyAlignment="1">
      <alignment horizontal="right" vertical="center"/>
    </xf>
    <xf numFmtId="0" fontId="32" fillId="0" borderId="21" xfId="0" applyFont="1" applyBorder="1" applyAlignment="1">
      <alignment horizontal="center" vertical="center"/>
    </xf>
    <xf numFmtId="177" fontId="32" fillId="0" borderId="22" xfId="0" applyNumberFormat="1" applyFont="1" applyBorder="1" applyAlignment="1">
      <alignment horizontal="center" vertical="center"/>
    </xf>
    <xf numFmtId="0" fontId="32" fillId="0" borderId="13" xfId="0" applyFont="1" applyBorder="1" applyAlignment="1">
      <alignment horizontal="center" vertical="center"/>
    </xf>
    <xf numFmtId="0" fontId="32" fillId="11" borderId="12" xfId="0" applyFont="1" applyFill="1" applyBorder="1" applyAlignment="1">
      <alignment horizontal="center" vertical="center"/>
    </xf>
    <xf numFmtId="0" fontId="6" fillId="0" borderId="12" xfId="0" applyFont="1" applyBorder="1" applyAlignment="1">
      <alignment horizontal="left" vertical="center" wrapText="1"/>
    </xf>
    <xf numFmtId="180" fontId="6" fillId="0" borderId="13" xfId="0" applyNumberFormat="1" applyFont="1" applyBorder="1" applyAlignment="1">
      <alignment horizontal="right" vertical="center"/>
    </xf>
    <xf numFmtId="180" fontId="0" fillId="0" borderId="0" xfId="0" applyNumberFormat="1"/>
    <xf numFmtId="0" fontId="5" fillId="0" borderId="12" xfId="0" applyFont="1" applyBorder="1" applyAlignment="1">
      <alignment horizontal="left" vertical="center" wrapText="1"/>
    </xf>
    <xf numFmtId="0" fontId="6" fillId="0" borderId="13" xfId="0" applyFont="1" applyBorder="1" applyAlignment="1">
      <alignment horizontal="justify" vertical="center"/>
    </xf>
    <xf numFmtId="0" fontId="32" fillId="11" borderId="20" xfId="0" applyFont="1" applyFill="1" applyBorder="1" applyAlignment="1">
      <alignment horizontal="center" vertical="center" wrapText="1"/>
    </xf>
    <xf numFmtId="0" fontId="6" fillId="0" borderId="13" xfId="0" applyFont="1" applyBorder="1" applyAlignment="1">
      <alignment horizontal="left" vertical="center"/>
    </xf>
    <xf numFmtId="0" fontId="32" fillId="0" borderId="12" xfId="0" applyFont="1" applyBorder="1" applyAlignment="1">
      <alignment horizontal="left" vertical="center"/>
    </xf>
    <xf numFmtId="180" fontId="6" fillId="0" borderId="13" xfId="11" applyNumberFormat="1" applyFont="1" applyBorder="1" applyAlignment="1">
      <alignment horizontal="right" vertical="center"/>
    </xf>
    <xf numFmtId="10" fontId="6" fillId="0" borderId="13" xfId="11" applyNumberFormat="1" applyFont="1" applyBorder="1" applyAlignment="1">
      <alignment horizontal="right" vertical="center"/>
    </xf>
    <xf numFmtId="0" fontId="6" fillId="0" borderId="13" xfId="0" applyFont="1" applyBorder="1" applyAlignment="1">
      <alignment horizontal="right" vertical="center"/>
    </xf>
    <xf numFmtId="180" fontId="6" fillId="0" borderId="6" xfId="0" applyNumberFormat="1" applyFont="1" applyBorder="1" applyAlignment="1">
      <alignment horizontal="right" vertical="center"/>
    </xf>
    <xf numFmtId="0" fontId="32" fillId="0" borderId="12" xfId="0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43" fontId="0" fillId="0" borderId="0" xfId="0" applyNumberFormat="1"/>
    <xf numFmtId="0" fontId="7" fillId="6" borderId="0" xfId="0" applyFont="1" applyFill="1" applyAlignment="1">
      <alignment horizontal="left" vertical="center"/>
    </xf>
    <xf numFmtId="0" fontId="7" fillId="6" borderId="0" xfId="0" applyFont="1" applyFill="1" applyAlignment="1">
      <alignment horizontal="center" vertical="center"/>
    </xf>
    <xf numFmtId="14" fontId="7" fillId="6" borderId="0" xfId="0" applyNumberFormat="1" applyFont="1" applyFill="1" applyAlignment="1">
      <alignment horizontal="center" vertical="center"/>
    </xf>
    <xf numFmtId="177" fontId="7" fillId="6" borderId="0" xfId="0" applyNumberFormat="1" applyFont="1" applyFill="1" applyAlignment="1">
      <alignment horizontal="center" vertical="center"/>
    </xf>
    <xf numFmtId="43" fontId="7" fillId="0" borderId="0" xfId="0" applyNumberFormat="1" applyFont="1" applyAlignment="1">
      <alignment horizontal="right" vertical="center"/>
    </xf>
    <xf numFmtId="4" fontId="7" fillId="0" borderId="0" xfId="0" applyNumberFormat="1" applyFont="1" applyAlignment="1" applyProtection="1">
      <alignment horizontal="right" vertical="center"/>
      <protection locked="0"/>
    </xf>
    <xf numFmtId="43" fontId="7" fillId="0" borderId="0" xfId="0" applyNumberFormat="1" applyFont="1" applyAlignment="1" applyProtection="1">
      <alignment horizontal="right" vertical="center"/>
      <protection locked="0"/>
    </xf>
    <xf numFmtId="43" fontId="33" fillId="0" borderId="0" xfId="0" applyNumberFormat="1" applyFont="1" applyAlignment="1" applyProtection="1">
      <alignment horizontal="right" vertical="center"/>
      <protection locked="0"/>
    </xf>
    <xf numFmtId="43" fontId="34" fillId="0" borderId="0" xfId="0" applyNumberFormat="1" applyFont="1"/>
    <xf numFmtId="4" fontId="7" fillId="8" borderId="0" xfId="0" applyNumberFormat="1" applyFont="1" applyFill="1" applyAlignment="1" applyProtection="1">
      <alignment horizontal="right" vertical="center"/>
      <protection locked="0"/>
    </xf>
    <xf numFmtId="43" fontId="7" fillId="8" borderId="0" xfId="0" applyNumberFormat="1" applyFont="1" applyFill="1" applyAlignment="1" applyProtection="1">
      <alignment horizontal="right" vertical="center"/>
      <protection locked="0"/>
    </xf>
    <xf numFmtId="0" fontId="35" fillId="0" borderId="0" xfId="0" applyFont="1" applyAlignment="1">
      <alignment horizontal="left" vertical="center"/>
    </xf>
    <xf numFmtId="187" fontId="7" fillId="8" borderId="0" xfId="0" applyNumberFormat="1" applyFont="1" applyFill="1" applyAlignment="1" applyProtection="1">
      <alignment horizontal="right" vertical="center"/>
      <protection locked="0"/>
    </xf>
    <xf numFmtId="43" fontId="33" fillId="8" borderId="0" xfId="0" applyNumberFormat="1" applyFont="1" applyFill="1" applyAlignment="1" applyProtection="1">
      <alignment horizontal="right" vertical="center"/>
      <protection locked="0"/>
    </xf>
    <xf numFmtId="187" fontId="7" fillId="0" borderId="0" xfId="0" applyNumberFormat="1" applyFont="1" applyAlignment="1" applyProtection="1">
      <alignment horizontal="right" vertical="center"/>
      <protection locked="0"/>
    </xf>
    <xf numFmtId="187" fontId="33" fillId="0" borderId="0" xfId="0" applyNumberFormat="1" applyFont="1" applyAlignment="1" applyProtection="1">
      <alignment horizontal="right" vertical="center"/>
      <protection locked="0"/>
    </xf>
    <xf numFmtId="187" fontId="0" fillId="0" borderId="0" xfId="0" applyNumberFormat="1"/>
    <xf numFmtId="0" fontId="0" fillId="12" borderId="0" xfId="0" applyFill="1"/>
    <xf numFmtId="43" fontId="34" fillId="12" borderId="0" xfId="0" applyNumberFormat="1" applyFont="1" applyFill="1"/>
    <xf numFmtId="0" fontId="36" fillId="0" borderId="0" xfId="0" applyFont="1"/>
    <xf numFmtId="0" fontId="0" fillId="0" borderId="0" xfId="0" applyAlignment="1">
      <alignment vertical="center"/>
    </xf>
    <xf numFmtId="0" fontId="37" fillId="0" borderId="0" xfId="0" applyFont="1" applyAlignment="1">
      <alignment horizontal="left" vertical="center"/>
    </xf>
    <xf numFmtId="4" fontId="7" fillId="13" borderId="0" xfId="0" applyNumberFormat="1" applyFont="1" applyFill="1" applyAlignment="1" applyProtection="1">
      <alignment horizontal="right" vertical="center"/>
      <protection locked="0"/>
    </xf>
    <xf numFmtId="0" fontId="38" fillId="0" borderId="0" xfId="0" applyFont="1" applyAlignment="1">
      <alignment horizontal="left" vertical="center"/>
    </xf>
    <xf numFmtId="4" fontId="38" fillId="14" borderId="0" xfId="0" applyNumberFormat="1" applyFont="1" applyFill="1" applyAlignment="1" applyProtection="1">
      <alignment horizontal="right" vertical="center"/>
      <protection locked="0"/>
    </xf>
    <xf numFmtId="4" fontId="7" fillId="14" borderId="0" xfId="0" applyNumberFormat="1" applyFont="1" applyFill="1" applyAlignment="1" applyProtection="1">
      <alignment horizontal="right" vertical="center"/>
      <protection locked="0"/>
    </xf>
    <xf numFmtId="0" fontId="39" fillId="0" borderId="0" xfId="0" applyFont="1" applyAlignment="1">
      <alignment horizontal="left" vertical="center"/>
    </xf>
    <xf numFmtId="0" fontId="7" fillId="13" borderId="0" xfId="0" applyFont="1" applyFill="1" applyAlignment="1" applyProtection="1">
      <alignment horizontal="right" vertical="center"/>
      <protection locked="0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_可行报告财务计算表-yingkougang" xfId="49"/>
  </cellStyles>
  <tableStyles count="0" defaultTableStyle="TableStyleMedium9" defaultPivotStyle="PivotStyleLight16"/>
  <colors>
    <mruColors>
      <color rgb="0099CC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7" Type="http://schemas.microsoft.com/office/2006/relationships/vbaProject" Target="vbaProject.bin"/><Relationship Id="rId16" Type="http://schemas.openxmlformats.org/officeDocument/2006/relationships/sharedStrings" Target="sharedStrings.xml"/><Relationship Id="rId15" Type="http://schemas.openxmlformats.org/officeDocument/2006/relationships/styles" Target="styles.xml"/><Relationship Id="rId14" Type="http://schemas.openxmlformats.org/officeDocument/2006/relationships/theme" Target="theme/theme1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indexed="13"/>
  </sheetPr>
  <dimension ref="A1:I111"/>
  <sheetViews>
    <sheetView workbookViewId="0">
      <selection activeCell="C52" sqref="C52:F52"/>
    </sheetView>
  </sheetViews>
  <sheetFormatPr defaultColWidth="9" defaultRowHeight="12.4"/>
  <cols>
    <col min="1" max="1" width="8.56756756756757" style="140" customWidth="1"/>
    <col min="2" max="2" width="36.5675675675676" customWidth="1"/>
    <col min="3" max="3" width="19.2882882882883" customWidth="1"/>
    <col min="4" max="4" width="17.7117117117117" customWidth="1"/>
    <col min="5" max="5" width="17.5675675675676" customWidth="1"/>
    <col min="6" max="6" width="18" customWidth="1"/>
    <col min="7" max="7" width="22.4234234234234" customWidth="1"/>
    <col min="8" max="8" width="15.4234234234234"/>
  </cols>
  <sheetData>
    <row r="1" ht="22.15" customHeight="1" spans="1:6">
      <c r="A1" s="142" t="s">
        <v>0</v>
      </c>
      <c r="B1" s="143" t="s">
        <v>1</v>
      </c>
      <c r="C1" s="144">
        <v>45107</v>
      </c>
      <c r="D1" s="145">
        <v>44926</v>
      </c>
      <c r="E1" s="144">
        <v>44561</v>
      </c>
      <c r="F1" s="144">
        <v>44196</v>
      </c>
    </row>
    <row r="2" ht="14.1" customHeight="1" spans="1:9">
      <c r="A2" s="163">
        <v>1000</v>
      </c>
      <c r="B2" s="153" t="s">
        <v>2</v>
      </c>
      <c r="C2" s="164"/>
      <c r="D2" s="164"/>
      <c r="E2" s="164"/>
      <c r="F2" s="164"/>
      <c r="H2" t="str">
        <f>B2</f>
        <v>流动资产： </v>
      </c>
      <c r="I2" s="33"/>
    </row>
    <row r="3" ht="14.1" customHeight="1" spans="1:9">
      <c r="A3" s="163">
        <v>1001</v>
      </c>
      <c r="B3" s="163" t="s">
        <v>3</v>
      </c>
      <c r="C3" s="164"/>
      <c r="D3" s="164"/>
      <c r="E3" s="164"/>
      <c r="F3" s="164"/>
      <c r="H3" t="str">
        <f t="shared" ref="H3:H66" si="0">B3</f>
        <v>  货币资金 </v>
      </c>
      <c r="I3" s="33" t="str">
        <f t="shared" ref="I3:I65" si="1">CONCATENATE("近三年及一期，拟承租人",B3,"分别为",ROUND(F3/100000000,2),"亿元、",ROUND(E3/100000000,2),"亿元、",ROUND(D3/100000000,2),"亿元及",ROUND(C3/100000000,2),"亿元。")</f>
        <v>近三年及一期，拟承租人  货币资金 分别为0亿元、0亿元、0亿元及0亿元。</v>
      </c>
    </row>
    <row r="4" ht="14.1" customHeight="1" spans="1:9">
      <c r="A4" s="163">
        <v>1002</v>
      </c>
      <c r="B4" s="163" t="s">
        <v>4</v>
      </c>
      <c r="C4" s="164"/>
      <c r="D4" s="164"/>
      <c r="E4" s="164"/>
      <c r="F4" s="164"/>
      <c r="G4" s="129"/>
      <c r="H4" t="str">
        <f t="shared" si="0"/>
        <v>  结算备付金* </v>
      </c>
      <c r="I4" s="33" t="str">
        <f t="shared" si="1"/>
        <v>近三年及一期，拟承租人  结算备付金* 分别为0亿元、0亿元、0亿元及0亿元。</v>
      </c>
    </row>
    <row r="5" ht="14.1" customHeight="1" spans="1:9">
      <c r="A5" s="163">
        <v>1003</v>
      </c>
      <c r="B5" s="163" t="s">
        <v>5</v>
      </c>
      <c r="C5" s="164"/>
      <c r="D5" s="164"/>
      <c r="E5" s="164"/>
      <c r="F5" s="164"/>
      <c r="H5" t="str">
        <f t="shared" si="0"/>
        <v>  拆出资金* </v>
      </c>
      <c r="I5" s="33" t="str">
        <f t="shared" si="1"/>
        <v>近三年及一期，拟承租人  拆出资金* 分别为0亿元、0亿元、0亿元及0亿元。</v>
      </c>
    </row>
    <row r="6" ht="14.1" customHeight="1" spans="1:9">
      <c r="A6" s="163">
        <v>1004</v>
      </c>
      <c r="B6" s="163" t="s">
        <v>6</v>
      </c>
      <c r="C6" s="164"/>
      <c r="D6" s="164"/>
      <c r="E6" s="164"/>
      <c r="F6" s="164"/>
      <c r="H6" t="str">
        <f t="shared" si="0"/>
        <v>  交易性金融资产 </v>
      </c>
      <c r="I6" s="33" t="str">
        <f t="shared" si="1"/>
        <v>近三年及一期，拟承租人  交易性金融资产 分别为0亿元、0亿元、0亿元及0亿元。</v>
      </c>
    </row>
    <row r="7" ht="14.1" customHeight="1" spans="1:9">
      <c r="A7" s="163">
        <v>1005</v>
      </c>
      <c r="B7" s="163" t="s">
        <v>7</v>
      </c>
      <c r="C7" s="164"/>
      <c r="D7" s="164"/>
      <c r="E7" s="164"/>
      <c r="F7" s="164"/>
      <c r="H7" t="str">
        <f t="shared" si="0"/>
        <v>  衍生金融资产 </v>
      </c>
      <c r="I7" s="33" t="str">
        <f t="shared" si="1"/>
        <v>近三年及一期，拟承租人  衍生金融资产 分别为0亿元、0亿元、0亿元及0亿元。</v>
      </c>
    </row>
    <row r="8" ht="14.1" customHeight="1" spans="1:9">
      <c r="A8" s="163">
        <v>1006</v>
      </c>
      <c r="B8" s="163" t="s">
        <v>8</v>
      </c>
      <c r="C8" s="164"/>
      <c r="D8" s="164"/>
      <c r="E8" s="164"/>
      <c r="F8" s="164"/>
      <c r="H8" t="str">
        <f t="shared" si="0"/>
        <v>  应收票据 </v>
      </c>
      <c r="I8" s="33" t="str">
        <f t="shared" si="1"/>
        <v>近三年及一期，拟承租人  应收票据 分别为0亿元、0亿元、0亿元及0亿元。</v>
      </c>
    </row>
    <row r="9" ht="14.1" customHeight="1" spans="1:9">
      <c r="A9" s="163">
        <v>1007</v>
      </c>
      <c r="B9" s="163" t="s">
        <v>9</v>
      </c>
      <c r="C9" s="164"/>
      <c r="D9" s="164"/>
      <c r="E9" s="164"/>
      <c r="F9" s="164"/>
      <c r="H9" t="str">
        <f t="shared" si="0"/>
        <v>  应收账款 </v>
      </c>
      <c r="I9" s="33" t="str">
        <f t="shared" si="1"/>
        <v>近三年及一期，拟承租人  应收账款 分别为0亿元、0亿元、0亿元及0亿元。</v>
      </c>
    </row>
    <row r="10" ht="14.1" customHeight="1" spans="1:9">
      <c r="A10" s="163">
        <v>1008</v>
      </c>
      <c r="B10" s="163" t="s">
        <v>10</v>
      </c>
      <c r="C10" s="164"/>
      <c r="D10" s="164"/>
      <c r="E10" s="164"/>
      <c r="F10" s="164"/>
      <c r="H10" t="str">
        <f t="shared" si="0"/>
        <v>  应收款项融资 </v>
      </c>
      <c r="I10" s="33" t="str">
        <f t="shared" si="1"/>
        <v>近三年及一期，拟承租人  应收款项融资 分别为0亿元、0亿元、0亿元及0亿元。</v>
      </c>
    </row>
    <row r="11" ht="14.1" customHeight="1" spans="1:9">
      <c r="A11" s="163">
        <v>1009</v>
      </c>
      <c r="B11" s="163" t="s">
        <v>11</v>
      </c>
      <c r="C11" s="164"/>
      <c r="D11" s="164"/>
      <c r="E11" s="164"/>
      <c r="F11" s="164"/>
      <c r="H11" t="str">
        <f t="shared" si="0"/>
        <v>  预付款项 </v>
      </c>
      <c r="I11" s="33" t="str">
        <f t="shared" si="1"/>
        <v>近三年及一期，拟承租人  预付款项 分别为0亿元、0亿元、0亿元及0亿元。</v>
      </c>
    </row>
    <row r="12" ht="14.1" customHeight="1" spans="1:9">
      <c r="A12" s="163">
        <v>1010</v>
      </c>
      <c r="B12" s="163" t="s">
        <v>12</v>
      </c>
      <c r="C12" s="164"/>
      <c r="D12" s="164"/>
      <c r="E12" s="164"/>
      <c r="F12" s="164"/>
      <c r="H12" t="str">
        <f t="shared" si="0"/>
        <v>  应收保费* </v>
      </c>
      <c r="I12" s="33" t="str">
        <f t="shared" si="1"/>
        <v>近三年及一期，拟承租人  应收保费* 分别为0亿元、0亿元、0亿元及0亿元。</v>
      </c>
    </row>
    <row r="13" ht="14.1" customHeight="1" spans="1:9">
      <c r="A13" s="163">
        <v>1011</v>
      </c>
      <c r="B13" s="163" t="s">
        <v>13</v>
      </c>
      <c r="C13" s="164"/>
      <c r="D13" s="164"/>
      <c r="E13" s="164"/>
      <c r="F13" s="164"/>
      <c r="H13" t="str">
        <f t="shared" si="0"/>
        <v>  应收分保账款* </v>
      </c>
      <c r="I13" s="33" t="str">
        <f t="shared" si="1"/>
        <v>近三年及一期，拟承租人  应收分保账款* 分别为0亿元、0亿元、0亿元及0亿元。</v>
      </c>
    </row>
    <row r="14" ht="14.1" customHeight="1" spans="1:9">
      <c r="A14" s="163">
        <v>1012</v>
      </c>
      <c r="B14" s="163" t="s">
        <v>14</v>
      </c>
      <c r="C14" s="164"/>
      <c r="D14" s="164"/>
      <c r="E14" s="164"/>
      <c r="F14" s="164"/>
      <c r="H14" t="str">
        <f t="shared" si="0"/>
        <v>  应收分保合同准备金* </v>
      </c>
      <c r="I14" s="33" t="str">
        <f t="shared" si="1"/>
        <v>近三年及一期，拟承租人  应收分保合同准备金* 分别为0亿元、0亿元、0亿元及0亿元。</v>
      </c>
    </row>
    <row r="15" ht="14.1" customHeight="1" spans="1:9">
      <c r="A15" s="163">
        <v>1013</v>
      </c>
      <c r="B15" s="163" t="s">
        <v>15</v>
      </c>
      <c r="C15" s="164"/>
      <c r="D15" s="164"/>
      <c r="E15" s="164"/>
      <c r="F15" s="164"/>
      <c r="H15" t="str">
        <f t="shared" si="0"/>
        <v>  其他应收款 </v>
      </c>
      <c r="I15" s="33" t="str">
        <f t="shared" si="1"/>
        <v>近三年及一期，拟承租人  其他应收款 分别为0亿元、0亿元、0亿元及0亿元。</v>
      </c>
    </row>
    <row r="16" ht="14.1" customHeight="1" spans="1:9">
      <c r="A16" s="163">
        <v>101301</v>
      </c>
      <c r="B16" s="163" t="s">
        <v>16</v>
      </c>
      <c r="C16" s="164"/>
      <c r="D16" s="164"/>
      <c r="E16" s="164"/>
      <c r="F16" s="164"/>
      <c r="H16" t="str">
        <f t="shared" si="0"/>
        <v>    其中：应收利息</v>
      </c>
      <c r="I16" s="33" t="str">
        <f t="shared" si="1"/>
        <v>近三年及一期，拟承租人    其中：应收利息分别为0亿元、0亿元、0亿元及0亿元。</v>
      </c>
    </row>
    <row r="17" ht="14.1" customHeight="1" spans="1:9">
      <c r="A17" s="163">
        <v>101302</v>
      </c>
      <c r="B17" s="163" t="s">
        <v>17</v>
      </c>
      <c r="C17" s="164"/>
      <c r="D17" s="164"/>
      <c r="E17" s="164"/>
      <c r="F17" s="164"/>
      <c r="H17" t="str">
        <f t="shared" si="0"/>
        <v>             应收股利</v>
      </c>
      <c r="I17" s="33" t="str">
        <f t="shared" si="1"/>
        <v>近三年及一期，拟承租人             应收股利分别为0亿元、0亿元、0亿元及0亿元。</v>
      </c>
    </row>
    <row r="18" ht="14.1" customHeight="1" spans="1:9">
      <c r="A18" s="163">
        <v>1014</v>
      </c>
      <c r="B18" s="163" t="s">
        <v>18</v>
      </c>
      <c r="C18" s="164"/>
      <c r="D18" s="164"/>
      <c r="E18" s="164"/>
      <c r="F18" s="164"/>
      <c r="H18" t="str">
        <f t="shared" si="0"/>
        <v>  买入返售金融资产* </v>
      </c>
      <c r="I18" s="33" t="str">
        <f t="shared" si="1"/>
        <v>近三年及一期，拟承租人  买入返售金融资产* 分别为0亿元、0亿元、0亿元及0亿元。</v>
      </c>
    </row>
    <row r="19" ht="14.1" customHeight="1" spans="1:9">
      <c r="A19" s="163">
        <v>1015</v>
      </c>
      <c r="B19" s="163" t="s">
        <v>19</v>
      </c>
      <c r="C19" s="164"/>
      <c r="D19" s="164"/>
      <c r="E19" s="164"/>
      <c r="F19" s="164"/>
      <c r="H19" t="str">
        <f t="shared" si="0"/>
        <v>  存货 </v>
      </c>
      <c r="I19" s="33" t="str">
        <f t="shared" si="1"/>
        <v>近三年及一期，拟承租人  存货 分别为0亿元、0亿元、0亿元及0亿元。</v>
      </c>
    </row>
    <row r="20" ht="14.1" customHeight="1" spans="1:9">
      <c r="A20" s="163">
        <v>1016</v>
      </c>
      <c r="B20" s="163" t="s">
        <v>20</v>
      </c>
      <c r="C20" s="164"/>
      <c r="D20" s="164"/>
      <c r="E20" s="164"/>
      <c r="F20" s="164"/>
      <c r="H20" t="str">
        <f t="shared" si="0"/>
        <v>  合同资产 </v>
      </c>
      <c r="I20" s="33" t="str">
        <f t="shared" si="1"/>
        <v>近三年及一期，拟承租人  合同资产 分别为0亿元、0亿元、0亿元及0亿元。</v>
      </c>
    </row>
    <row r="21" ht="14.1" customHeight="1" spans="1:9">
      <c r="A21" s="163">
        <v>1017</v>
      </c>
      <c r="B21" s="163" t="s">
        <v>21</v>
      </c>
      <c r="C21" s="164"/>
      <c r="D21" s="164"/>
      <c r="E21" s="164"/>
      <c r="F21" s="164"/>
      <c r="H21" t="str">
        <f t="shared" si="0"/>
        <v>  持有待售资产 </v>
      </c>
      <c r="I21" s="33" t="str">
        <f t="shared" si="1"/>
        <v>近三年及一期，拟承租人  持有待售资产 分别为0亿元、0亿元、0亿元及0亿元。</v>
      </c>
    </row>
    <row r="22" ht="14.1" customHeight="1" spans="1:9">
      <c r="A22" s="163">
        <v>1018</v>
      </c>
      <c r="B22" s="163" t="s">
        <v>22</v>
      </c>
      <c r="C22" s="164"/>
      <c r="D22" s="164"/>
      <c r="E22" s="164"/>
      <c r="F22" s="164"/>
      <c r="H22" t="str">
        <f t="shared" si="0"/>
        <v>  一年内到期的非流动资产 </v>
      </c>
      <c r="I22" s="33" t="str">
        <f t="shared" si="1"/>
        <v>近三年及一期，拟承租人  一年内到期的非流动资产 分别为0亿元、0亿元、0亿元及0亿元。</v>
      </c>
    </row>
    <row r="23" ht="14.1" customHeight="1" spans="1:9">
      <c r="A23" s="163">
        <v>1019</v>
      </c>
      <c r="B23" s="163" t="s">
        <v>23</v>
      </c>
      <c r="C23" s="164"/>
      <c r="D23" s="164"/>
      <c r="E23" s="164"/>
      <c r="F23" s="164"/>
      <c r="H23" t="str">
        <f t="shared" si="0"/>
        <v>  其他流动资产 </v>
      </c>
      <c r="I23" s="33" t="str">
        <f t="shared" si="1"/>
        <v>近三年及一期，拟承租人  其他流动资产 分别为0亿元、0亿元、0亿元及0亿元。</v>
      </c>
    </row>
    <row r="24" s="161" customFormat="1" ht="14.1" customHeight="1" spans="1:9">
      <c r="A24" s="165">
        <v>1099</v>
      </c>
      <c r="B24" s="165" t="s">
        <v>24</v>
      </c>
      <c r="C24" s="166">
        <f t="shared" ref="C24:F24" si="2">C3+C4+C5+C6+C7+C8+C9+C10+C11+C12+C13+C14+C15+C18+C19+C20+C21+C22+C23</f>
        <v>0</v>
      </c>
      <c r="D24" s="166">
        <f t="shared" si="2"/>
        <v>0</v>
      </c>
      <c r="E24" s="166">
        <f t="shared" si="2"/>
        <v>0</v>
      </c>
      <c r="F24" s="166">
        <f t="shared" si="2"/>
        <v>0</v>
      </c>
      <c r="H24" t="str">
        <f t="shared" si="0"/>
        <v>    流动资产合计 </v>
      </c>
      <c r="I24" s="33" t="str">
        <f t="shared" si="1"/>
        <v>近三年及一期，拟承租人    流动资产合计 分别为0亿元、0亿元、0亿元及0亿元。</v>
      </c>
    </row>
    <row r="25" s="162" customFormat="1" ht="15" customHeight="1" spans="1:9">
      <c r="A25" s="163">
        <v>1100</v>
      </c>
      <c r="B25" s="153" t="s">
        <v>25</v>
      </c>
      <c r="C25" s="164"/>
      <c r="D25" s="164"/>
      <c r="E25" s="164"/>
      <c r="F25" s="164"/>
      <c r="H25" t="str">
        <f t="shared" si="0"/>
        <v>非流动资产： </v>
      </c>
      <c r="I25" s="33"/>
    </row>
    <row r="26" s="162" customFormat="1" ht="15" customHeight="1" spans="1:9">
      <c r="A26" s="163">
        <v>1101</v>
      </c>
      <c r="B26" s="163" t="s">
        <v>26</v>
      </c>
      <c r="C26" s="164"/>
      <c r="D26" s="164"/>
      <c r="E26" s="164"/>
      <c r="F26" s="164"/>
      <c r="H26" t="str">
        <f t="shared" si="0"/>
        <v>  发放贷款和垫款* </v>
      </c>
      <c r="I26" s="33" t="str">
        <f t="shared" si="1"/>
        <v>近三年及一期，拟承租人  发放贷款和垫款* 分别为0亿元、0亿元、0亿元及0亿元。</v>
      </c>
    </row>
    <row r="27" s="162" customFormat="1" ht="15" customHeight="1" spans="1:9">
      <c r="A27" s="163">
        <v>1102</v>
      </c>
      <c r="B27" s="163" t="s">
        <v>27</v>
      </c>
      <c r="C27" s="164"/>
      <c r="D27" s="164"/>
      <c r="E27" s="164"/>
      <c r="F27" s="164"/>
      <c r="H27" t="str">
        <f t="shared" si="0"/>
        <v>  债权投资 </v>
      </c>
      <c r="I27" s="33" t="str">
        <f t="shared" si="1"/>
        <v>近三年及一期，拟承租人  债权投资 分别为0亿元、0亿元、0亿元及0亿元。</v>
      </c>
    </row>
    <row r="28" s="162" customFormat="1" ht="15" customHeight="1" spans="1:9">
      <c r="A28" s="163">
        <v>1103</v>
      </c>
      <c r="B28" s="163" t="s">
        <v>28</v>
      </c>
      <c r="C28" s="164"/>
      <c r="D28" s="164"/>
      <c r="E28" s="164"/>
      <c r="F28" s="164"/>
      <c r="H28" t="str">
        <f t="shared" si="0"/>
        <v>  其他债权投资 </v>
      </c>
      <c r="I28" s="33" t="str">
        <f t="shared" si="1"/>
        <v>近三年及一期，拟承租人  其他债权投资 分别为0亿元、0亿元、0亿元及0亿元。</v>
      </c>
    </row>
    <row r="29" s="162" customFormat="1" ht="15" customHeight="1" spans="1:9">
      <c r="A29" s="163">
        <v>1104</v>
      </c>
      <c r="B29" s="163" t="s">
        <v>29</v>
      </c>
      <c r="C29" s="164"/>
      <c r="D29" s="164"/>
      <c r="E29" s="164"/>
      <c r="F29" s="164"/>
      <c r="H29" t="str">
        <f t="shared" si="0"/>
        <v>  长期应收款 </v>
      </c>
      <c r="I29" s="33" t="str">
        <f t="shared" si="1"/>
        <v>近三年及一期，拟承租人  长期应收款 分别为0亿元、0亿元、0亿元及0亿元。</v>
      </c>
    </row>
    <row r="30" s="162" customFormat="1" ht="15" customHeight="1" spans="1:9">
      <c r="A30" s="163">
        <v>1105</v>
      </c>
      <c r="B30" s="163" t="s">
        <v>30</v>
      </c>
      <c r="C30" s="164"/>
      <c r="D30" s="164"/>
      <c r="E30" s="164"/>
      <c r="F30" s="164"/>
      <c r="H30" t="str">
        <f t="shared" si="0"/>
        <v>  长期股权投资 </v>
      </c>
      <c r="I30" s="33" t="str">
        <f t="shared" si="1"/>
        <v>近三年及一期，拟承租人  长期股权投资 分别为0亿元、0亿元、0亿元及0亿元。</v>
      </c>
    </row>
    <row r="31" s="162" customFormat="1" ht="15" customHeight="1" spans="1:9">
      <c r="A31" s="163">
        <v>1106</v>
      </c>
      <c r="B31" s="163" t="s">
        <v>31</v>
      </c>
      <c r="C31" s="164"/>
      <c r="D31" s="164"/>
      <c r="E31" s="164"/>
      <c r="F31" s="164"/>
      <c r="H31" t="str">
        <f t="shared" si="0"/>
        <v>  可供出售金融资产 </v>
      </c>
      <c r="I31" s="33" t="str">
        <f t="shared" si="1"/>
        <v>近三年及一期，拟承租人  可供出售金融资产 分别为0亿元、0亿元、0亿元及0亿元。</v>
      </c>
    </row>
    <row r="32" s="162" customFormat="1" ht="15" customHeight="1" spans="1:9">
      <c r="A32" s="163">
        <v>1107</v>
      </c>
      <c r="B32" s="163" t="s">
        <v>32</v>
      </c>
      <c r="C32" s="164"/>
      <c r="D32" s="164"/>
      <c r="E32" s="164"/>
      <c r="F32" s="164"/>
      <c r="H32" t="str">
        <f t="shared" si="0"/>
        <v>  持有至到期投资 </v>
      </c>
      <c r="I32" s="33" t="str">
        <f t="shared" si="1"/>
        <v>近三年及一期，拟承租人  持有至到期投资 分别为0亿元、0亿元、0亿元及0亿元。</v>
      </c>
    </row>
    <row r="33" s="162" customFormat="1" ht="15" customHeight="1" spans="1:9">
      <c r="A33" s="163">
        <v>1108</v>
      </c>
      <c r="B33" s="163" t="s">
        <v>33</v>
      </c>
      <c r="C33" s="164"/>
      <c r="D33" s="164"/>
      <c r="E33" s="164"/>
      <c r="F33" s="164"/>
      <c r="H33" t="str">
        <f t="shared" si="0"/>
        <v>  其他权益工具投资 </v>
      </c>
      <c r="I33" s="33" t="str">
        <f t="shared" si="1"/>
        <v>近三年及一期，拟承租人  其他权益工具投资 分别为0亿元、0亿元、0亿元及0亿元。</v>
      </c>
    </row>
    <row r="34" s="162" customFormat="1" ht="15" customHeight="1" spans="1:9">
      <c r="A34" s="163">
        <v>1109</v>
      </c>
      <c r="B34" s="163" t="s">
        <v>34</v>
      </c>
      <c r="C34" s="164"/>
      <c r="D34" s="164"/>
      <c r="E34" s="164"/>
      <c r="F34" s="164"/>
      <c r="H34" t="str">
        <f t="shared" si="0"/>
        <v>  其他非流动金融资产 </v>
      </c>
      <c r="I34" s="33" t="str">
        <f t="shared" si="1"/>
        <v>近三年及一期，拟承租人  其他非流动金融资产 分别为0亿元、0亿元、0亿元及0亿元。</v>
      </c>
    </row>
    <row r="35" s="162" customFormat="1" ht="15" customHeight="1" spans="1:9">
      <c r="A35" s="163">
        <v>1110</v>
      </c>
      <c r="B35" s="163" t="s">
        <v>35</v>
      </c>
      <c r="C35" s="164"/>
      <c r="D35" s="164"/>
      <c r="E35" s="164"/>
      <c r="F35" s="164"/>
      <c r="H35" t="str">
        <f t="shared" si="0"/>
        <v>  投资性房地产 </v>
      </c>
      <c r="I35" s="33" t="str">
        <f t="shared" si="1"/>
        <v>近三年及一期，拟承租人  投资性房地产 分别为0亿元、0亿元、0亿元及0亿元。</v>
      </c>
    </row>
    <row r="36" s="162" customFormat="1" ht="15" customHeight="1" spans="1:9">
      <c r="A36" s="163">
        <v>1111</v>
      </c>
      <c r="B36" s="163" t="s">
        <v>36</v>
      </c>
      <c r="C36" s="164"/>
      <c r="D36" s="164"/>
      <c r="E36" s="164"/>
      <c r="F36" s="164"/>
      <c r="H36" t="str">
        <f t="shared" si="0"/>
        <v>  固定资产 </v>
      </c>
      <c r="I36" s="33" t="str">
        <f t="shared" si="1"/>
        <v>近三年及一期，拟承租人  固定资产 分别为0亿元、0亿元、0亿元及0亿元。</v>
      </c>
    </row>
    <row r="37" s="162" customFormat="1" ht="15" customHeight="1" spans="1:9">
      <c r="A37" s="163">
        <v>1112</v>
      </c>
      <c r="B37" s="163" t="s">
        <v>37</v>
      </c>
      <c r="C37" s="164"/>
      <c r="D37" s="164"/>
      <c r="E37" s="164"/>
      <c r="F37" s="164"/>
      <c r="H37" t="str">
        <f t="shared" si="0"/>
        <v>  累计折旧</v>
      </c>
      <c r="I37" s="33" t="str">
        <f t="shared" si="1"/>
        <v>近三年及一期，拟承租人  累计折旧分别为0亿元、0亿元、0亿元及0亿元。</v>
      </c>
    </row>
    <row r="38" s="162" customFormat="1" ht="15" customHeight="1" spans="1:9">
      <c r="A38" s="163">
        <v>1113</v>
      </c>
      <c r="B38" s="163" t="s">
        <v>38</v>
      </c>
      <c r="C38" s="164"/>
      <c r="D38" s="164"/>
      <c r="E38" s="164"/>
      <c r="F38" s="164"/>
      <c r="H38" t="str">
        <f t="shared" si="0"/>
        <v>  固定资产减值准备 </v>
      </c>
      <c r="I38" s="33" t="str">
        <f t="shared" si="1"/>
        <v>近三年及一期，拟承租人  固定资产减值准备 分别为0亿元、0亿元、0亿元及0亿元。</v>
      </c>
    </row>
    <row r="39" s="162" customFormat="1" ht="15" customHeight="1" spans="1:9">
      <c r="A39" s="163">
        <v>1114</v>
      </c>
      <c r="B39" s="163" t="s">
        <v>39</v>
      </c>
      <c r="C39" s="167">
        <f>C36-C37-C38</f>
        <v>0</v>
      </c>
      <c r="D39" s="167">
        <f>D36-D37-D38</f>
        <v>0</v>
      </c>
      <c r="E39" s="167">
        <f>E36-E37-E38</f>
        <v>0</v>
      </c>
      <c r="F39" s="167">
        <f>F36-F37-F38</f>
        <v>0</v>
      </c>
      <c r="H39" t="str">
        <f t="shared" si="0"/>
        <v>  固定资产净额</v>
      </c>
      <c r="I39" s="33" t="str">
        <f t="shared" si="1"/>
        <v>近三年及一期，拟承租人  固定资产净额分别为0亿元、0亿元、0亿元及0亿元。</v>
      </c>
    </row>
    <row r="40" s="162" customFormat="1" ht="15" customHeight="1" spans="1:9">
      <c r="A40" s="163">
        <v>1115</v>
      </c>
      <c r="B40" s="163" t="s">
        <v>40</v>
      </c>
      <c r="C40" s="164"/>
      <c r="D40" s="164"/>
      <c r="E40" s="164"/>
      <c r="F40" s="164"/>
      <c r="H40" t="str">
        <f t="shared" si="0"/>
        <v>  固定资产清理</v>
      </c>
      <c r="I40" s="33" t="str">
        <f t="shared" si="1"/>
        <v>近三年及一期，拟承租人  固定资产清理分别为0亿元、0亿元、0亿元及0亿元。</v>
      </c>
    </row>
    <row r="41" s="162" customFormat="1" ht="15" customHeight="1" spans="1:9">
      <c r="A41" s="163">
        <v>1116</v>
      </c>
      <c r="B41" s="163" t="s">
        <v>41</v>
      </c>
      <c r="C41" s="164"/>
      <c r="D41" s="164"/>
      <c r="E41" s="164"/>
      <c r="F41" s="164"/>
      <c r="H41" t="str">
        <f t="shared" si="0"/>
        <v>  工程物资</v>
      </c>
      <c r="I41" s="33" t="str">
        <f t="shared" si="1"/>
        <v>近三年及一期，拟承租人  工程物资分别为0亿元、0亿元、0亿元及0亿元。</v>
      </c>
    </row>
    <row r="42" s="162" customFormat="1" ht="15" customHeight="1" spans="1:9">
      <c r="A42" s="163">
        <v>1117</v>
      </c>
      <c r="B42" s="163" t="s">
        <v>42</v>
      </c>
      <c r="C42" s="164"/>
      <c r="D42" s="164"/>
      <c r="E42" s="164"/>
      <c r="F42" s="164"/>
      <c r="H42" t="str">
        <f t="shared" si="0"/>
        <v>  在建工程 </v>
      </c>
      <c r="I42" s="33" t="str">
        <f t="shared" si="1"/>
        <v>近三年及一期，拟承租人  在建工程 分别为0亿元、0亿元、0亿元及0亿元。</v>
      </c>
    </row>
    <row r="43" s="162" customFormat="1" ht="15" customHeight="1" spans="1:9">
      <c r="A43" s="163">
        <v>1118</v>
      </c>
      <c r="B43" s="163" t="s">
        <v>43</v>
      </c>
      <c r="C43" s="164"/>
      <c r="D43" s="164"/>
      <c r="E43" s="164"/>
      <c r="F43" s="164"/>
      <c r="H43" t="str">
        <f t="shared" si="0"/>
        <v>  生产性生物资产 </v>
      </c>
      <c r="I43" s="33" t="str">
        <f t="shared" si="1"/>
        <v>近三年及一期，拟承租人  生产性生物资产 分别为0亿元、0亿元、0亿元及0亿元。</v>
      </c>
    </row>
    <row r="44" s="162" customFormat="1" ht="15" customHeight="1" spans="1:9">
      <c r="A44" s="163">
        <v>1119</v>
      </c>
      <c r="B44" s="163" t="s">
        <v>44</v>
      </c>
      <c r="C44" s="164"/>
      <c r="D44" s="164"/>
      <c r="E44" s="164"/>
      <c r="F44" s="164"/>
      <c r="H44" t="str">
        <f t="shared" si="0"/>
        <v>  油气资产 </v>
      </c>
      <c r="I44" s="33" t="str">
        <f t="shared" si="1"/>
        <v>近三年及一期，拟承租人  油气资产 分别为0亿元、0亿元、0亿元及0亿元。</v>
      </c>
    </row>
    <row r="45" s="162" customFormat="1" ht="15" customHeight="1" spans="1:9">
      <c r="A45" s="163">
        <v>1120</v>
      </c>
      <c r="B45" s="163" t="s">
        <v>45</v>
      </c>
      <c r="C45" s="164"/>
      <c r="D45" s="164"/>
      <c r="E45" s="164"/>
      <c r="F45" s="164"/>
      <c r="H45" t="str">
        <f t="shared" si="0"/>
        <v>  使用权资产 </v>
      </c>
      <c r="I45" s="33" t="str">
        <f t="shared" si="1"/>
        <v>近三年及一期，拟承租人  使用权资产 分别为0亿元、0亿元、0亿元及0亿元。</v>
      </c>
    </row>
    <row r="46" s="162" customFormat="1" ht="15" customHeight="1" spans="1:9">
      <c r="A46" s="163">
        <v>1121</v>
      </c>
      <c r="B46" s="163" t="s">
        <v>46</v>
      </c>
      <c r="C46" s="164"/>
      <c r="D46" s="164"/>
      <c r="E46" s="164"/>
      <c r="F46" s="164"/>
      <c r="H46" t="str">
        <f t="shared" si="0"/>
        <v>  无形资产 </v>
      </c>
      <c r="I46" s="33" t="str">
        <f t="shared" si="1"/>
        <v>近三年及一期，拟承租人  无形资产 分别为0亿元、0亿元、0亿元及0亿元。</v>
      </c>
    </row>
    <row r="47" s="162" customFormat="1" ht="15" customHeight="1" spans="1:9">
      <c r="A47" s="163">
        <v>1122</v>
      </c>
      <c r="B47" s="163" t="s">
        <v>47</v>
      </c>
      <c r="C47" s="164"/>
      <c r="D47" s="164"/>
      <c r="E47" s="164"/>
      <c r="F47" s="164"/>
      <c r="H47" t="str">
        <f t="shared" si="0"/>
        <v>  开发支出 </v>
      </c>
      <c r="I47" s="33" t="str">
        <f t="shared" si="1"/>
        <v>近三年及一期，拟承租人  开发支出 分别为0亿元、0亿元、0亿元及0亿元。</v>
      </c>
    </row>
    <row r="48" s="162" customFormat="1" ht="15" customHeight="1" spans="1:9">
      <c r="A48" s="163">
        <v>1123</v>
      </c>
      <c r="B48" s="163" t="s">
        <v>48</v>
      </c>
      <c r="C48" s="164"/>
      <c r="D48" s="164"/>
      <c r="E48" s="164"/>
      <c r="F48" s="164"/>
      <c r="H48" t="str">
        <f t="shared" si="0"/>
        <v>  商誉 </v>
      </c>
      <c r="I48" s="33" t="str">
        <f t="shared" si="1"/>
        <v>近三年及一期，拟承租人  商誉 分别为0亿元、0亿元、0亿元及0亿元。</v>
      </c>
    </row>
    <row r="49" s="162" customFormat="1" ht="15" customHeight="1" spans="1:9">
      <c r="A49" s="163">
        <v>1124</v>
      </c>
      <c r="B49" s="163" t="s">
        <v>49</v>
      </c>
      <c r="C49" s="164"/>
      <c r="D49" s="164"/>
      <c r="E49" s="164"/>
      <c r="F49" s="164"/>
      <c r="H49" t="str">
        <f t="shared" si="0"/>
        <v>  长期待摊费用 </v>
      </c>
      <c r="I49" s="33" t="str">
        <f t="shared" si="1"/>
        <v>近三年及一期，拟承租人  长期待摊费用 分别为0亿元、0亿元、0亿元及0亿元。</v>
      </c>
    </row>
    <row r="50" s="162" customFormat="1" ht="15" customHeight="1" spans="1:9">
      <c r="A50" s="163">
        <v>1125</v>
      </c>
      <c r="B50" s="163" t="s">
        <v>50</v>
      </c>
      <c r="C50" s="164"/>
      <c r="D50" s="164"/>
      <c r="E50" s="164"/>
      <c r="F50" s="164"/>
      <c r="H50" t="str">
        <f t="shared" si="0"/>
        <v>  递延所得税资产 </v>
      </c>
      <c r="I50" s="33" t="str">
        <f t="shared" si="1"/>
        <v>近三年及一期，拟承租人  递延所得税资产 分别为0亿元、0亿元、0亿元及0亿元。</v>
      </c>
    </row>
    <row r="51" s="162" customFormat="1" ht="15" customHeight="1" spans="1:9">
      <c r="A51" s="163">
        <v>1126</v>
      </c>
      <c r="B51" s="163" t="s">
        <v>51</v>
      </c>
      <c r="C51" s="164"/>
      <c r="D51" s="164"/>
      <c r="E51" s="164"/>
      <c r="F51" s="164"/>
      <c r="H51" t="str">
        <f t="shared" si="0"/>
        <v>  其他非流动资产 </v>
      </c>
      <c r="I51" s="33" t="str">
        <f t="shared" si="1"/>
        <v>近三年及一期，拟承租人  其他非流动资产 分别为0亿元、0亿元、0亿元及0亿元。</v>
      </c>
    </row>
    <row r="52" s="161" customFormat="1" ht="14.1" customHeight="1" spans="1:9">
      <c r="A52" s="165">
        <v>1199</v>
      </c>
      <c r="B52" s="168" t="s">
        <v>52</v>
      </c>
      <c r="C52" s="166">
        <f>C26+C27+C28+C29+C30+C31+C32+C32+C33+C34+C35+C39+C40+C41+C42+C43+C44+C45+C46+C47+C48+C49+C50+C51</f>
        <v>0</v>
      </c>
      <c r="D52" s="166">
        <f>D26+D27+D28+D29+D30+D31+D32+D32+D33+D34+D35+D39+D40+D41+D42+D43+D44+D45+D46+D47+D48+D49+D50+D51</f>
        <v>0</v>
      </c>
      <c r="E52" s="166">
        <f>E26+E27+E28+E29+E30+E31+E32+E32+E33+E34+E35+E39+E40+E41+E42+E43+E44+E45+E46+E47+E48+E49+E50+E51</f>
        <v>0</v>
      </c>
      <c r="F52" s="166">
        <f>F26+F27+F28+F29+F30+F31+F32+F32+F33+F34+F35+F39+F40+F41+F42+F43+F44+F45+F46+F47+F48+F49+F50+F51</f>
        <v>0</v>
      </c>
      <c r="H52" t="str">
        <f t="shared" si="0"/>
        <v>非流动资产合计 </v>
      </c>
      <c r="I52" s="33" t="str">
        <f t="shared" si="1"/>
        <v>近三年及一期，拟承租人非流动资产合计 分别为0亿元、0亿元、0亿元及0亿元。</v>
      </c>
    </row>
    <row r="53" s="161" customFormat="1" ht="14.1" customHeight="1" spans="1:9">
      <c r="A53" s="165">
        <v>1999</v>
      </c>
      <c r="B53" s="165" t="s">
        <v>53</v>
      </c>
      <c r="C53" s="166">
        <f>C24+C52</f>
        <v>0</v>
      </c>
      <c r="D53" s="166">
        <f>D24+D52</f>
        <v>0</v>
      </c>
      <c r="E53" s="166">
        <f>E24+E52</f>
        <v>0</v>
      </c>
      <c r="F53" s="166">
        <f>F24+F52</f>
        <v>0</v>
      </c>
      <c r="H53" t="str">
        <f t="shared" si="0"/>
        <v>      资产总计 </v>
      </c>
      <c r="I53" s="33" t="str">
        <f t="shared" si="1"/>
        <v>近三年及一期，拟承租人      资产总计 分别为0亿元、0亿元、0亿元及0亿元。</v>
      </c>
    </row>
    <row r="54" ht="14.1" customHeight="1" spans="1:9">
      <c r="A54" s="33">
        <v>2000</v>
      </c>
      <c r="B54" s="48" t="s">
        <v>54</v>
      </c>
      <c r="C54" s="164"/>
      <c r="D54" s="164"/>
      <c r="E54" s="164"/>
      <c r="F54" s="164"/>
      <c r="G54" t="str">
        <f>刚性负债情况!A11</f>
        <v>刚性债务=短期借款+应付票据+一年内到期的长期借款+应付短期融资券+长期借款+应付债券+其他具期债务</v>
      </c>
      <c r="H54" t="str">
        <f t="shared" si="0"/>
        <v>应付</v>
      </c>
      <c r="I54" s="33"/>
    </row>
    <row r="55" ht="14.1" customHeight="1" spans="1:9">
      <c r="A55" s="33">
        <v>2001</v>
      </c>
      <c r="B55" s="33" t="s">
        <v>55</v>
      </c>
      <c r="C55" s="164"/>
      <c r="D55" s="164"/>
      <c r="E55" s="164"/>
      <c r="F55" s="164"/>
      <c r="H55" t="str">
        <f t="shared" si="0"/>
        <v>  短期借款 </v>
      </c>
      <c r="I55" s="33" t="str">
        <f t="shared" si="1"/>
        <v>近三年及一期，拟承租人  短期借款 分别为0亿元、0亿元、0亿元及0亿元。</v>
      </c>
    </row>
    <row r="56" ht="14.1" customHeight="1" spans="1:9">
      <c r="A56" s="33">
        <v>2002</v>
      </c>
      <c r="B56" s="33" t="s">
        <v>56</v>
      </c>
      <c r="C56" s="164"/>
      <c r="D56" s="164"/>
      <c r="E56" s="164"/>
      <c r="F56" s="164"/>
      <c r="H56" t="str">
        <f t="shared" si="0"/>
        <v>  向中央银行借款* </v>
      </c>
      <c r="I56" s="33" t="str">
        <f t="shared" si="1"/>
        <v>近三年及一期，拟承租人  向中央银行借款* 分别为0亿元、0亿元、0亿元及0亿元。</v>
      </c>
    </row>
    <row r="57" ht="14.1" customHeight="1" spans="1:9">
      <c r="A57" s="33">
        <v>2003</v>
      </c>
      <c r="B57" s="33" t="s">
        <v>57</v>
      </c>
      <c r="C57" s="164"/>
      <c r="D57" s="164"/>
      <c r="E57" s="164"/>
      <c r="F57" s="164"/>
      <c r="H57" t="str">
        <f t="shared" si="0"/>
        <v>  拆入资金* </v>
      </c>
      <c r="I57" s="33" t="str">
        <f t="shared" si="1"/>
        <v>近三年及一期，拟承租人  拆入资金* 分别为0亿元、0亿元、0亿元及0亿元。</v>
      </c>
    </row>
    <row r="58" ht="14.1" customHeight="1" spans="1:9">
      <c r="A58" s="33">
        <v>2004</v>
      </c>
      <c r="B58" s="33" t="s">
        <v>58</v>
      </c>
      <c r="C58" s="164"/>
      <c r="D58" s="164"/>
      <c r="E58" s="164"/>
      <c r="F58" s="164"/>
      <c r="H58" t="str">
        <f t="shared" si="0"/>
        <v>  交易性金融负债 </v>
      </c>
      <c r="I58" s="33" t="str">
        <f t="shared" si="1"/>
        <v>近三年及一期，拟承租人  交易性金融负债 分别为0亿元、0亿元、0亿元及0亿元。</v>
      </c>
    </row>
    <row r="59" ht="14.1" customHeight="1" spans="1:9">
      <c r="A59" s="33">
        <v>2005</v>
      </c>
      <c r="B59" s="33" t="s">
        <v>59</v>
      </c>
      <c r="C59" s="164"/>
      <c r="D59" s="164"/>
      <c r="E59" s="164"/>
      <c r="F59" s="164"/>
      <c r="H59" t="str">
        <f t="shared" si="0"/>
        <v>  衍生金融负债 </v>
      </c>
      <c r="I59" s="33" t="str">
        <f t="shared" si="1"/>
        <v>近三年及一期，拟承租人  衍生金融负债 分别为0亿元、0亿元、0亿元及0亿元。</v>
      </c>
    </row>
    <row r="60" ht="14.1" customHeight="1" spans="1:9">
      <c r="A60" s="33">
        <v>2006</v>
      </c>
      <c r="B60" s="33" t="s">
        <v>60</v>
      </c>
      <c r="C60" s="164"/>
      <c r="D60" s="164"/>
      <c r="E60" s="164"/>
      <c r="F60" s="164"/>
      <c r="H60" t="str">
        <f t="shared" si="0"/>
        <v>  应付票据 </v>
      </c>
      <c r="I60" s="33" t="str">
        <f t="shared" si="1"/>
        <v>近三年及一期，拟承租人  应付票据 分别为0亿元、0亿元、0亿元及0亿元。</v>
      </c>
    </row>
    <row r="61" ht="14.1" customHeight="1" spans="1:9">
      <c r="A61" s="33">
        <v>2007</v>
      </c>
      <c r="B61" s="33" t="s">
        <v>61</v>
      </c>
      <c r="C61" s="164"/>
      <c r="D61" s="164"/>
      <c r="E61" s="164"/>
      <c r="F61" s="164"/>
      <c r="H61" t="str">
        <f t="shared" si="0"/>
        <v>  应付账款 </v>
      </c>
      <c r="I61" s="33" t="str">
        <f t="shared" si="1"/>
        <v>近三年及一期，拟承租人  应付账款 分别为0亿元、0亿元、0亿元及0亿元。</v>
      </c>
    </row>
    <row r="62" ht="14.1" customHeight="1" spans="1:9">
      <c r="A62" s="33">
        <v>2008</v>
      </c>
      <c r="B62" s="33" t="s">
        <v>62</v>
      </c>
      <c r="C62" s="164"/>
      <c r="D62" s="164"/>
      <c r="E62" s="164"/>
      <c r="F62" s="164"/>
      <c r="H62" t="str">
        <f t="shared" si="0"/>
        <v>  预收款项 </v>
      </c>
      <c r="I62" s="33" t="str">
        <f t="shared" si="1"/>
        <v>近三年及一期，拟承租人  预收款项 分别为0亿元、0亿元、0亿元及0亿元。</v>
      </c>
    </row>
    <row r="63" ht="14.1" customHeight="1" spans="1:9">
      <c r="A63" s="33">
        <v>2009</v>
      </c>
      <c r="B63" s="33" t="s">
        <v>63</v>
      </c>
      <c r="C63" s="164"/>
      <c r="D63" s="164"/>
      <c r="E63" s="164"/>
      <c r="F63" s="164"/>
      <c r="H63" t="str">
        <f t="shared" si="0"/>
        <v>  合同负债 </v>
      </c>
      <c r="I63" s="33" t="str">
        <f t="shared" si="1"/>
        <v>近三年及一期，拟承租人  合同负债 分别为0亿元、0亿元、0亿元及0亿元。</v>
      </c>
    </row>
    <row r="64" ht="14.1" customHeight="1" spans="1:9">
      <c r="A64" s="33">
        <v>2010</v>
      </c>
      <c r="B64" s="33" t="s">
        <v>64</v>
      </c>
      <c r="C64" s="164"/>
      <c r="D64" s="164"/>
      <c r="E64" s="164"/>
      <c r="F64" s="164"/>
      <c r="H64" t="str">
        <f t="shared" si="0"/>
        <v>  卖出回购金融资产款* </v>
      </c>
      <c r="I64" s="33" t="str">
        <f t="shared" si="1"/>
        <v>近三年及一期，拟承租人  卖出回购金融资产款* 分别为0亿元、0亿元、0亿元及0亿元。</v>
      </c>
    </row>
    <row r="65" ht="14.1" customHeight="1" spans="1:9">
      <c r="A65" s="33">
        <v>2011</v>
      </c>
      <c r="B65" s="33" t="s">
        <v>65</v>
      </c>
      <c r="C65" s="164"/>
      <c r="D65" s="164"/>
      <c r="E65" s="164"/>
      <c r="F65" s="164"/>
      <c r="H65" t="str">
        <f t="shared" si="0"/>
        <v>  吸收存款及同业存放* </v>
      </c>
      <c r="I65" s="33" t="str">
        <f t="shared" si="1"/>
        <v>近三年及一期，拟承租人  吸收存款及同业存放* 分别为0亿元、0亿元、0亿元及0亿元。</v>
      </c>
    </row>
    <row r="66" ht="14.1" customHeight="1" spans="1:9">
      <c r="A66" s="33">
        <v>2012</v>
      </c>
      <c r="B66" s="33" t="s">
        <v>66</v>
      </c>
      <c r="C66" s="164"/>
      <c r="D66" s="164"/>
      <c r="E66" s="164"/>
      <c r="F66" s="164"/>
      <c r="H66" t="str">
        <f t="shared" si="0"/>
        <v>  代理买卖证券款* </v>
      </c>
      <c r="I66" s="33" t="str">
        <f t="shared" ref="I66:I110" si="3">CONCATENATE("近三年及一期，拟承租人",B66,"分别为",ROUND(F66/100000000,2),"亿元、",ROUND(E66/100000000,2),"亿元、",ROUND(D66/100000000,2),"亿元及",ROUND(C66/100000000,2),"亿元。")</f>
        <v>近三年及一期，拟承租人  代理买卖证券款* 分别为0亿元、0亿元、0亿元及0亿元。</v>
      </c>
    </row>
    <row r="67" ht="14.1" customHeight="1" spans="1:9">
      <c r="A67" s="33">
        <v>2013</v>
      </c>
      <c r="B67" s="33" t="s">
        <v>67</v>
      </c>
      <c r="C67" s="164"/>
      <c r="D67" s="164"/>
      <c r="E67" s="164"/>
      <c r="F67" s="164"/>
      <c r="H67" t="str">
        <f t="shared" ref="H67:H110" si="4">B67</f>
        <v>  代理承销证券款* </v>
      </c>
      <c r="I67" s="33" t="str">
        <f t="shared" si="3"/>
        <v>近三年及一期，拟承租人  代理承销证券款* 分别为0亿元、0亿元、0亿元及0亿元。</v>
      </c>
    </row>
    <row r="68" ht="14.1" customHeight="1" spans="1:9">
      <c r="A68" s="33">
        <v>2014</v>
      </c>
      <c r="B68" s="33" t="s">
        <v>68</v>
      </c>
      <c r="C68" s="164"/>
      <c r="D68" s="164"/>
      <c r="E68" s="164"/>
      <c r="F68" s="164"/>
      <c r="H68" t="str">
        <f t="shared" si="4"/>
        <v>  应付职工薪酬 </v>
      </c>
      <c r="I68" s="33" t="str">
        <f t="shared" si="3"/>
        <v>近三年及一期，拟承租人  应付职工薪酬 分别为0亿元、0亿元、0亿元及0亿元。</v>
      </c>
    </row>
    <row r="69" ht="14.1" customHeight="1" spans="1:9">
      <c r="A69" s="33">
        <v>2015</v>
      </c>
      <c r="B69" s="33" t="s">
        <v>69</v>
      </c>
      <c r="C69" s="164"/>
      <c r="D69" s="164"/>
      <c r="E69" s="164"/>
      <c r="F69" s="164"/>
      <c r="H69" t="str">
        <f t="shared" si="4"/>
        <v>  应交税费 </v>
      </c>
      <c r="I69" s="33" t="str">
        <f t="shared" si="3"/>
        <v>近三年及一期，拟承租人  应交税费 分别为0亿元、0亿元、0亿元及0亿元。</v>
      </c>
    </row>
    <row r="70" ht="14.1" customHeight="1" spans="1:9">
      <c r="A70" s="33">
        <v>2016</v>
      </c>
      <c r="B70" s="33" t="s">
        <v>70</v>
      </c>
      <c r="C70" s="164"/>
      <c r="D70" s="164"/>
      <c r="E70" s="164"/>
      <c r="F70" s="164"/>
      <c r="H70" t="str">
        <f t="shared" si="4"/>
        <v>  其他应付款 </v>
      </c>
      <c r="I70" s="33" t="str">
        <f t="shared" si="3"/>
        <v>近三年及一期，拟承租人  其他应付款 分别为0亿元、0亿元、0亿元及0亿元。</v>
      </c>
    </row>
    <row r="71" ht="14.1" customHeight="1" spans="1:9">
      <c r="A71" s="33">
        <v>2017</v>
      </c>
      <c r="B71" s="33" t="s">
        <v>71</v>
      </c>
      <c r="C71" s="164"/>
      <c r="D71" s="164"/>
      <c r="E71" s="164"/>
      <c r="F71" s="164"/>
      <c r="H71" t="str">
        <f t="shared" si="4"/>
        <v>   其中：应付利息</v>
      </c>
      <c r="I71" s="33" t="str">
        <f t="shared" si="3"/>
        <v>近三年及一期，拟承租人   其中：应付利息分别为0亿元、0亿元、0亿元及0亿元。</v>
      </c>
    </row>
    <row r="72" ht="14.1" customHeight="1" spans="1:9">
      <c r="A72" s="33">
        <v>201701</v>
      </c>
      <c r="B72" s="33" t="s">
        <v>72</v>
      </c>
      <c r="C72" s="164"/>
      <c r="D72" s="164"/>
      <c r="E72" s="164"/>
      <c r="F72" s="164"/>
      <c r="H72" t="str">
        <f t="shared" si="4"/>
        <v>         应付股利</v>
      </c>
      <c r="I72" s="33" t="str">
        <f t="shared" si="3"/>
        <v>近三年及一期，拟承租人         应付股利分别为0亿元、0亿元、0亿元及0亿元。</v>
      </c>
    </row>
    <row r="73" ht="14.1" customHeight="1" spans="1:9">
      <c r="A73" s="33">
        <v>2018</v>
      </c>
      <c r="B73" s="33" t="s">
        <v>73</v>
      </c>
      <c r="C73" s="164"/>
      <c r="D73" s="164"/>
      <c r="E73" s="164"/>
      <c r="F73" s="164"/>
      <c r="H73" t="str">
        <f t="shared" si="4"/>
        <v>  应付手续费及佣金* </v>
      </c>
      <c r="I73" s="33" t="str">
        <f t="shared" si="3"/>
        <v>近三年及一期，拟承租人  应付手续费及佣金* 分别为0亿元、0亿元、0亿元及0亿元。</v>
      </c>
    </row>
    <row r="74" ht="14.1" customHeight="1" spans="1:9">
      <c r="A74" s="33">
        <v>2019</v>
      </c>
      <c r="B74" s="33" t="s">
        <v>74</v>
      </c>
      <c r="C74" s="164"/>
      <c r="D74" s="164"/>
      <c r="E74" s="164"/>
      <c r="F74" s="164"/>
      <c r="H74" t="str">
        <f t="shared" si="4"/>
        <v>  应付分保账款* </v>
      </c>
      <c r="I74" s="33" t="str">
        <f t="shared" si="3"/>
        <v>近三年及一期，拟承租人  应付分保账款* 分别为0亿元、0亿元、0亿元及0亿元。</v>
      </c>
    </row>
    <row r="75" ht="14.1" customHeight="1" spans="1:9">
      <c r="A75" s="33">
        <v>2020</v>
      </c>
      <c r="B75" s="33" t="s">
        <v>75</v>
      </c>
      <c r="C75" s="164"/>
      <c r="D75" s="164"/>
      <c r="E75" s="164"/>
      <c r="F75" s="164"/>
      <c r="H75" t="str">
        <f t="shared" si="4"/>
        <v>  持有待售负债 </v>
      </c>
      <c r="I75" s="33" t="str">
        <f t="shared" si="3"/>
        <v>近三年及一期，拟承租人  持有待售负债 分别为0亿元、0亿元、0亿元及0亿元。</v>
      </c>
    </row>
    <row r="76" ht="14.1" customHeight="1" spans="1:9">
      <c r="A76" s="33">
        <v>2021</v>
      </c>
      <c r="B76" s="33" t="s">
        <v>76</v>
      </c>
      <c r="C76" s="164"/>
      <c r="D76" s="164"/>
      <c r="E76" s="164"/>
      <c r="F76" s="164"/>
      <c r="H76" t="str">
        <f t="shared" si="4"/>
        <v>  一年内到期的非流动负债 </v>
      </c>
      <c r="I76" s="33" t="str">
        <f t="shared" si="3"/>
        <v>近三年及一期，拟承租人  一年内到期的非流动负债 分别为0亿元、0亿元、0亿元及0亿元。</v>
      </c>
    </row>
    <row r="77" ht="14.1" customHeight="1" spans="1:9">
      <c r="A77" s="33">
        <v>2022</v>
      </c>
      <c r="B77" s="33" t="s">
        <v>77</v>
      </c>
      <c r="C77" s="164"/>
      <c r="D77" s="164"/>
      <c r="E77" s="164"/>
      <c r="F77" s="164"/>
      <c r="H77" t="str">
        <f t="shared" si="4"/>
        <v>  其他流动负债 </v>
      </c>
      <c r="I77" s="33" t="str">
        <f t="shared" si="3"/>
        <v>近三年及一期，拟承租人  其他流动负债 分别为0亿元、0亿元、0亿元及0亿元。</v>
      </c>
    </row>
    <row r="78" s="161" customFormat="1" ht="14.1" customHeight="1" spans="1:9">
      <c r="A78" s="165">
        <v>2099</v>
      </c>
      <c r="B78" s="165" t="s">
        <v>78</v>
      </c>
      <c r="C78" s="166">
        <f t="shared" ref="C78:F78" si="5">C55+C56+C57+C58+C59+C60+C61+C62+C63+C64+C65+C66+C67+C68+C69+C70+C73+C74+C75+C76+C77</f>
        <v>0</v>
      </c>
      <c r="D78" s="166">
        <f t="shared" si="5"/>
        <v>0</v>
      </c>
      <c r="E78" s="166">
        <f t="shared" si="5"/>
        <v>0</v>
      </c>
      <c r="F78" s="166">
        <f t="shared" si="5"/>
        <v>0</v>
      </c>
      <c r="H78" t="str">
        <f t="shared" si="4"/>
        <v>    流动负债合计 </v>
      </c>
      <c r="I78" s="33" t="str">
        <f t="shared" si="3"/>
        <v>近三年及一期，拟承租人    流动负债合计 分别为0亿元、0亿元、0亿元及0亿元。</v>
      </c>
    </row>
    <row r="79" ht="14.1" customHeight="1" spans="1:9">
      <c r="A79" s="33">
        <v>2100</v>
      </c>
      <c r="B79" s="48" t="s">
        <v>79</v>
      </c>
      <c r="C79" s="164"/>
      <c r="D79" s="164"/>
      <c r="E79" s="164"/>
      <c r="F79" s="164"/>
      <c r="H79" t="str">
        <f t="shared" si="4"/>
        <v>非流动负债： </v>
      </c>
      <c r="I79" s="33" t="str">
        <f t="shared" si="3"/>
        <v>近三年及一期，拟承租人非流动负债： 分别为0亿元、0亿元、0亿元及0亿元。</v>
      </c>
    </row>
    <row r="80" ht="14.1" customHeight="1" spans="1:9">
      <c r="A80" s="33">
        <v>2101</v>
      </c>
      <c r="B80" s="33" t="s">
        <v>80</v>
      </c>
      <c r="C80" s="164"/>
      <c r="D80" s="164"/>
      <c r="E80" s="164"/>
      <c r="F80" s="164"/>
      <c r="H80" t="str">
        <f t="shared" si="4"/>
        <v>  保险合同准备金* </v>
      </c>
      <c r="I80" s="33" t="str">
        <f t="shared" si="3"/>
        <v>近三年及一期，拟承租人  保险合同准备金* 分别为0亿元、0亿元、0亿元及0亿元。</v>
      </c>
    </row>
    <row r="81" ht="14.1" customHeight="1" spans="1:9">
      <c r="A81" s="33">
        <v>2102</v>
      </c>
      <c r="B81" s="33" t="s">
        <v>81</v>
      </c>
      <c r="C81" s="164"/>
      <c r="D81" s="164"/>
      <c r="E81" s="164"/>
      <c r="F81" s="164"/>
      <c r="H81" t="str">
        <f t="shared" si="4"/>
        <v>  长期借款 </v>
      </c>
      <c r="I81" s="33" t="str">
        <f t="shared" si="3"/>
        <v>近三年及一期，拟承租人  长期借款 分别为0亿元、0亿元、0亿元及0亿元。</v>
      </c>
    </row>
    <row r="82" ht="14.1" customHeight="1" spans="1:9">
      <c r="A82" s="33">
        <v>2103</v>
      </c>
      <c r="B82" s="33" t="s">
        <v>82</v>
      </c>
      <c r="C82" s="164"/>
      <c r="D82" s="164"/>
      <c r="E82" s="164"/>
      <c r="F82" s="164"/>
      <c r="H82" t="str">
        <f t="shared" si="4"/>
        <v>  应付债券 </v>
      </c>
      <c r="I82" s="33" t="str">
        <f t="shared" si="3"/>
        <v>近三年及一期，拟承租人  应付债券 分别为0亿元、0亿元、0亿元及0亿元。</v>
      </c>
    </row>
    <row r="83" ht="14.1" customHeight="1" spans="1:9">
      <c r="A83" s="33">
        <v>210301</v>
      </c>
      <c r="B83" s="33" t="s">
        <v>83</v>
      </c>
      <c r="C83" s="164"/>
      <c r="D83" s="164"/>
      <c r="E83" s="164"/>
      <c r="F83" s="164"/>
      <c r="H83" t="str">
        <f t="shared" si="4"/>
        <v>    其中：优先股 </v>
      </c>
      <c r="I83" s="33" t="str">
        <f t="shared" si="3"/>
        <v>近三年及一期，拟承租人    其中：优先股 分别为0亿元、0亿元、0亿元及0亿元。</v>
      </c>
    </row>
    <row r="84" ht="14.1" customHeight="1" spans="1:9">
      <c r="A84" s="33">
        <v>210302</v>
      </c>
      <c r="B84" s="33" t="s">
        <v>84</v>
      </c>
      <c r="C84" s="164"/>
      <c r="D84" s="164"/>
      <c r="E84" s="164"/>
      <c r="F84" s="164"/>
      <c r="H84" t="str">
        <f t="shared" si="4"/>
        <v>          永续债 </v>
      </c>
      <c r="I84" s="33" t="str">
        <f t="shared" si="3"/>
        <v>近三年及一期，拟承租人          永续债 分别为0亿元、0亿元、0亿元及0亿元。</v>
      </c>
    </row>
    <row r="85" ht="14.1" customHeight="1" spans="1:9">
      <c r="A85" s="33">
        <v>2104</v>
      </c>
      <c r="B85" s="33" t="s">
        <v>85</v>
      </c>
      <c r="C85" s="164"/>
      <c r="D85" s="164"/>
      <c r="E85" s="164"/>
      <c r="F85" s="164"/>
      <c r="H85" t="str">
        <f t="shared" si="4"/>
        <v>  租赁负债 </v>
      </c>
      <c r="I85" s="33" t="str">
        <f t="shared" si="3"/>
        <v>近三年及一期，拟承租人  租赁负债 分别为0亿元、0亿元、0亿元及0亿元。</v>
      </c>
    </row>
    <row r="86" ht="14.1" customHeight="1" spans="1:9">
      <c r="A86" s="33">
        <v>2105</v>
      </c>
      <c r="B86" s="33" t="s">
        <v>86</v>
      </c>
      <c r="C86" s="164"/>
      <c r="D86" s="164"/>
      <c r="E86" s="164"/>
      <c r="F86" s="164"/>
      <c r="H86" t="str">
        <f t="shared" si="4"/>
        <v>  专项应付款 </v>
      </c>
      <c r="I86" s="33" t="str">
        <f t="shared" si="3"/>
        <v>近三年及一期，拟承租人  专项应付款 分别为0亿元、0亿元、0亿元及0亿元。</v>
      </c>
    </row>
    <row r="87" ht="14.1" customHeight="1" spans="1:9">
      <c r="A87" s="33">
        <v>2106</v>
      </c>
      <c r="B87" s="33" t="s">
        <v>87</v>
      </c>
      <c r="C87" s="164"/>
      <c r="D87" s="164"/>
      <c r="E87" s="164"/>
      <c r="F87" s="164"/>
      <c r="H87" t="str">
        <f t="shared" si="4"/>
        <v>  长期应付款 </v>
      </c>
      <c r="I87" s="33" t="str">
        <f t="shared" si="3"/>
        <v>近三年及一期，拟承租人  长期应付款 分别为0亿元、0亿元、0亿元及0亿元。</v>
      </c>
    </row>
    <row r="88" ht="14.1" customHeight="1" spans="1:9">
      <c r="A88" s="33">
        <v>2107</v>
      </c>
      <c r="B88" s="33" t="s">
        <v>88</v>
      </c>
      <c r="C88" s="164"/>
      <c r="D88" s="164"/>
      <c r="E88" s="164"/>
      <c r="F88" s="164"/>
      <c r="H88" t="str">
        <f t="shared" si="4"/>
        <v>  长期应付职工薪酬</v>
      </c>
      <c r="I88" s="33" t="str">
        <f t="shared" si="3"/>
        <v>近三年及一期，拟承租人  长期应付职工薪酬分别为0亿元、0亿元、0亿元及0亿元。</v>
      </c>
    </row>
    <row r="89" ht="14.1" customHeight="1" spans="1:9">
      <c r="A89" s="33">
        <v>2108</v>
      </c>
      <c r="B89" s="33" t="s">
        <v>89</v>
      </c>
      <c r="C89" s="164"/>
      <c r="D89" s="164"/>
      <c r="E89" s="164"/>
      <c r="F89" s="164"/>
      <c r="H89" t="str">
        <f t="shared" si="4"/>
        <v>  预计负债 </v>
      </c>
      <c r="I89" s="33" t="str">
        <f t="shared" si="3"/>
        <v>近三年及一期，拟承租人  预计负债 分别为0亿元、0亿元、0亿元及0亿元。</v>
      </c>
    </row>
    <row r="90" ht="14.1" customHeight="1" spans="1:9">
      <c r="A90" s="33">
        <v>2109</v>
      </c>
      <c r="B90" s="33" t="s">
        <v>90</v>
      </c>
      <c r="C90" s="164"/>
      <c r="D90" s="164"/>
      <c r="E90" s="164"/>
      <c r="F90" s="164"/>
      <c r="H90" t="str">
        <f t="shared" si="4"/>
        <v>  递延收益 </v>
      </c>
      <c r="I90" s="33" t="str">
        <f t="shared" si="3"/>
        <v>近三年及一期，拟承租人  递延收益 分别为0亿元、0亿元、0亿元及0亿元。</v>
      </c>
    </row>
    <row r="91" ht="14.1" customHeight="1" spans="1:9">
      <c r="A91" s="33">
        <v>2110</v>
      </c>
      <c r="B91" s="33" t="s">
        <v>91</v>
      </c>
      <c r="C91" s="164"/>
      <c r="D91" s="164"/>
      <c r="E91" s="164"/>
      <c r="F91" s="164"/>
      <c r="H91" t="str">
        <f t="shared" si="4"/>
        <v>  递延所得税负债 </v>
      </c>
      <c r="I91" s="33" t="str">
        <f t="shared" si="3"/>
        <v>近三年及一期，拟承租人  递延所得税负债 分别为0亿元、0亿元、0亿元及0亿元。</v>
      </c>
    </row>
    <row r="92" ht="14.1" customHeight="1" spans="1:9">
      <c r="A92" s="33">
        <v>2111</v>
      </c>
      <c r="B92" s="33" t="s">
        <v>92</v>
      </c>
      <c r="C92" s="164"/>
      <c r="D92" s="164"/>
      <c r="E92" s="164"/>
      <c r="F92" s="164"/>
      <c r="H92" t="str">
        <f t="shared" si="4"/>
        <v>  其他非流动负债 </v>
      </c>
      <c r="I92" s="33" t="str">
        <f t="shared" si="3"/>
        <v>近三年及一期，拟承租人  其他非流动负债 分别为0亿元、0亿元、0亿元及0亿元。</v>
      </c>
    </row>
    <row r="93" s="161" customFormat="1" ht="14.1" customHeight="1" spans="1:9">
      <c r="A93" s="165">
        <v>2199</v>
      </c>
      <c r="B93" s="165" t="s">
        <v>93</v>
      </c>
      <c r="C93" s="166">
        <f t="shared" ref="C93:F93" si="6">C81+C82+C85+C86+C87+C88+C89+C90+C91+C92</f>
        <v>0</v>
      </c>
      <c r="D93" s="166">
        <f t="shared" si="6"/>
        <v>0</v>
      </c>
      <c r="E93" s="166">
        <f t="shared" si="6"/>
        <v>0</v>
      </c>
      <c r="F93" s="166">
        <f t="shared" si="6"/>
        <v>0</v>
      </c>
      <c r="H93" t="str">
        <f t="shared" si="4"/>
        <v>    非流动负债合计 </v>
      </c>
      <c r="I93" s="33" t="str">
        <f t="shared" si="3"/>
        <v>近三年及一期，拟承租人    非流动负债合计 分别为0亿元、0亿元、0亿元及0亿元。</v>
      </c>
    </row>
    <row r="94" s="161" customFormat="1" ht="14.1" customHeight="1" spans="1:9">
      <c r="A94" s="165">
        <v>3999</v>
      </c>
      <c r="B94" s="165" t="s">
        <v>94</v>
      </c>
      <c r="C94" s="166">
        <f t="shared" ref="C94:F94" si="7">C78+C93</f>
        <v>0</v>
      </c>
      <c r="D94" s="166">
        <f t="shared" si="7"/>
        <v>0</v>
      </c>
      <c r="E94" s="166">
        <f t="shared" si="7"/>
        <v>0</v>
      </c>
      <c r="F94" s="166">
        <f t="shared" si="7"/>
        <v>0</v>
      </c>
      <c r="H94" t="str">
        <f t="shared" si="4"/>
        <v>      负债合计</v>
      </c>
      <c r="I94" s="33" t="str">
        <f t="shared" si="3"/>
        <v>近三年及一期，拟承租人      负债合计分别为0亿元、0亿元、0亿元及0亿元。</v>
      </c>
    </row>
    <row r="95" ht="14.1" customHeight="1" spans="1:9">
      <c r="A95" s="33">
        <v>5000</v>
      </c>
      <c r="B95" s="153" t="s">
        <v>95</v>
      </c>
      <c r="C95" s="164"/>
      <c r="D95" s="164"/>
      <c r="E95" s="164"/>
      <c r="F95" s="164"/>
      <c r="H95" t="str">
        <f t="shared" si="4"/>
        <v>所有者权益（或股东权益）： </v>
      </c>
      <c r="I95" s="33" t="str">
        <f t="shared" si="3"/>
        <v>近三年及一期，拟承租人所有者权益（或股东权益）： 分别为0亿元、0亿元、0亿元及0亿元。</v>
      </c>
    </row>
    <row r="96" ht="14.1" customHeight="1" spans="1:9">
      <c r="A96" s="33">
        <v>5001</v>
      </c>
      <c r="B96" s="33" t="s">
        <v>96</v>
      </c>
      <c r="C96" s="164"/>
      <c r="D96" s="164"/>
      <c r="E96" s="164"/>
      <c r="F96" s="164"/>
      <c r="H96" t="str">
        <f t="shared" si="4"/>
        <v>  实收资本（或股本） </v>
      </c>
      <c r="I96" s="33" t="str">
        <f t="shared" si="3"/>
        <v>近三年及一期，拟承租人  实收资本（或股本） 分别为0亿元、0亿元、0亿元及0亿元。</v>
      </c>
    </row>
    <row r="97" ht="14.1" customHeight="1" spans="1:9">
      <c r="A97" s="33">
        <v>5002</v>
      </c>
      <c r="B97" s="33" t="s">
        <v>97</v>
      </c>
      <c r="C97" s="164"/>
      <c r="D97" s="164"/>
      <c r="E97" s="169"/>
      <c r="F97" s="169"/>
      <c r="H97" t="str">
        <f t="shared" si="4"/>
        <v>  其他权益工具 </v>
      </c>
      <c r="I97" s="33" t="str">
        <f t="shared" si="3"/>
        <v>近三年及一期，拟承租人  其他权益工具 分别为0亿元、0亿元、0亿元及0亿元。</v>
      </c>
    </row>
    <row r="98" ht="14.1" customHeight="1" spans="1:9">
      <c r="A98" s="33">
        <v>500201</v>
      </c>
      <c r="B98" s="48" t="s">
        <v>98</v>
      </c>
      <c r="C98" s="164"/>
      <c r="D98" s="164"/>
      <c r="E98" s="164"/>
      <c r="F98" s="164"/>
      <c r="H98" t="str">
        <f t="shared" si="4"/>
        <v>    其中：优先股 </v>
      </c>
      <c r="I98" s="33" t="str">
        <f t="shared" si="3"/>
        <v>近三年及一期，拟承租人    其中：优先股 分别为0亿元、0亿元、0亿元及0亿元。</v>
      </c>
    </row>
    <row r="99" ht="14.1" customHeight="1" spans="1:9">
      <c r="A99" s="33">
        <v>500202</v>
      </c>
      <c r="B99" s="33" t="s">
        <v>84</v>
      </c>
      <c r="C99" s="164"/>
      <c r="D99" s="164"/>
      <c r="E99" s="164"/>
      <c r="F99" s="164"/>
      <c r="H99" t="str">
        <f t="shared" si="4"/>
        <v>          永续债 </v>
      </c>
      <c r="I99" s="33" t="str">
        <f t="shared" si="3"/>
        <v>近三年及一期，拟承租人          永续债 分别为0亿元、0亿元、0亿元及0亿元。</v>
      </c>
    </row>
    <row r="100" ht="14.1" customHeight="1" spans="1:9">
      <c r="A100" s="33">
        <v>5003</v>
      </c>
      <c r="B100" s="33" t="s">
        <v>99</v>
      </c>
      <c r="C100" s="164"/>
      <c r="D100" s="164"/>
      <c r="E100" s="164"/>
      <c r="F100" s="164"/>
      <c r="H100" t="str">
        <f t="shared" si="4"/>
        <v>  资本公积 </v>
      </c>
      <c r="I100" s="33" t="str">
        <f t="shared" si="3"/>
        <v>近三年及一期，拟承租人  资本公积 分别为0亿元、0亿元、0亿元及0亿元。</v>
      </c>
    </row>
    <row r="101" ht="14.1" customHeight="1" spans="1:9">
      <c r="A101" s="33">
        <v>5004</v>
      </c>
      <c r="B101" s="33" t="s">
        <v>100</v>
      </c>
      <c r="C101" s="164"/>
      <c r="D101" s="164"/>
      <c r="E101" s="164"/>
      <c r="F101" s="164"/>
      <c r="H101" t="str">
        <f t="shared" si="4"/>
        <v>  减：库存股 </v>
      </c>
      <c r="I101" s="33" t="str">
        <f t="shared" si="3"/>
        <v>近三年及一期，拟承租人  减：库存股 分别为0亿元、0亿元、0亿元及0亿元。</v>
      </c>
    </row>
    <row r="102" ht="14.1" customHeight="1" spans="1:9">
      <c r="A102" s="33">
        <v>5005</v>
      </c>
      <c r="B102" s="33" t="s">
        <v>101</v>
      </c>
      <c r="C102" s="164"/>
      <c r="D102" s="164"/>
      <c r="E102" s="164"/>
      <c r="F102" s="164"/>
      <c r="H102" t="str">
        <f t="shared" si="4"/>
        <v>  其他综合收益 </v>
      </c>
      <c r="I102" s="33" t="str">
        <f t="shared" si="3"/>
        <v>近三年及一期，拟承租人  其他综合收益 分别为0亿元、0亿元、0亿元及0亿元。</v>
      </c>
    </row>
    <row r="103" ht="14.1" customHeight="1" spans="1:9">
      <c r="A103" s="33">
        <v>5006</v>
      </c>
      <c r="B103" s="33" t="s">
        <v>102</v>
      </c>
      <c r="C103" s="164"/>
      <c r="D103" s="164"/>
      <c r="E103" s="164"/>
      <c r="F103" s="164"/>
      <c r="H103" t="str">
        <f t="shared" si="4"/>
        <v>  专项储备 400561</v>
      </c>
      <c r="I103" s="33" t="str">
        <f t="shared" si="3"/>
        <v>近三年及一期，拟承租人  专项储备 400561分别为0亿元、0亿元、0亿元及0亿元。</v>
      </c>
    </row>
    <row r="104" ht="14.1" customHeight="1" spans="1:9">
      <c r="A104" s="33">
        <v>5007</v>
      </c>
      <c r="B104" s="33" t="s">
        <v>103</v>
      </c>
      <c r="C104" s="164"/>
      <c r="D104" s="164"/>
      <c r="E104" s="164"/>
      <c r="F104" s="164"/>
      <c r="H104" t="str">
        <f t="shared" si="4"/>
        <v>  盈余公积 </v>
      </c>
      <c r="I104" s="33" t="str">
        <f t="shared" si="3"/>
        <v>近三年及一期，拟承租人  盈余公积 分别为0亿元、0亿元、0亿元及0亿元。</v>
      </c>
    </row>
    <row r="105" ht="14.1" customHeight="1" spans="1:9">
      <c r="A105" s="33">
        <v>5008</v>
      </c>
      <c r="B105" s="33" t="s">
        <v>104</v>
      </c>
      <c r="C105" s="164"/>
      <c r="D105" s="164"/>
      <c r="E105" s="164"/>
      <c r="F105" s="164"/>
      <c r="H105" t="str">
        <f t="shared" si="4"/>
        <v>  一般风险准备* </v>
      </c>
      <c r="I105" s="33" t="str">
        <f t="shared" si="3"/>
        <v>近三年及一期，拟承租人  一般风险准备* 分别为0亿元、0亿元、0亿元及0亿元。</v>
      </c>
    </row>
    <row r="106" ht="14.1" customHeight="1" spans="1:9">
      <c r="A106" s="33">
        <v>5009</v>
      </c>
      <c r="B106" s="33" t="s">
        <v>105</v>
      </c>
      <c r="C106" s="164"/>
      <c r="D106" s="164"/>
      <c r="E106" s="164"/>
      <c r="F106" s="164"/>
      <c r="H106" t="str">
        <f t="shared" si="4"/>
        <v>  未分配利润 </v>
      </c>
      <c r="I106" s="33" t="str">
        <f t="shared" si="3"/>
        <v>近三年及一期，拟承租人  未分配利润 分别为0亿元、0亿元、0亿元及0亿元。</v>
      </c>
    </row>
    <row r="107" s="161" customFormat="1" ht="14.1" customHeight="1" spans="1:9">
      <c r="A107" s="165">
        <v>5010</v>
      </c>
      <c r="B107" s="168" t="s">
        <v>106</v>
      </c>
      <c r="C107" s="166">
        <f t="shared" ref="C107:F107" si="8">C96+C97+C100+C101+C102+C103+C104+C105+C106</f>
        <v>0</v>
      </c>
      <c r="D107" s="166">
        <f t="shared" si="8"/>
        <v>0</v>
      </c>
      <c r="E107" s="166">
        <f t="shared" si="8"/>
        <v>0</v>
      </c>
      <c r="F107" s="166">
        <f t="shared" si="8"/>
        <v>0</v>
      </c>
      <c r="H107" t="str">
        <f t="shared" si="4"/>
        <v>归属于母公司所有者权益（或股东权益）合计</v>
      </c>
      <c r="I107" s="33" t="str">
        <f t="shared" si="3"/>
        <v>近三年及一期，拟承租人归属于母公司所有者权益（或股东权益）合计分别为0亿元、0亿元、0亿元及0亿元。</v>
      </c>
    </row>
    <row r="108" ht="14.1" customHeight="1" spans="1:9">
      <c r="A108" s="33">
        <v>5011</v>
      </c>
      <c r="B108" s="33" t="s">
        <v>107</v>
      </c>
      <c r="C108" s="164"/>
      <c r="D108" s="164"/>
      <c r="E108" s="164"/>
      <c r="F108" s="164"/>
      <c r="H108" t="str">
        <f t="shared" si="4"/>
        <v>  少数股东权益 </v>
      </c>
      <c r="I108" s="33" t="str">
        <f t="shared" si="3"/>
        <v>近三年及一期，拟承租人  少数股东权益 分别为0亿元、0亿元、0亿元及0亿元。</v>
      </c>
    </row>
    <row r="109" s="161" customFormat="1" ht="14.1" customHeight="1" spans="1:9">
      <c r="A109" s="165">
        <v>5099</v>
      </c>
      <c r="B109" s="165" t="s">
        <v>108</v>
      </c>
      <c r="C109" s="166">
        <f t="shared" ref="C109:F109" si="9">C107+C108</f>
        <v>0</v>
      </c>
      <c r="D109" s="166">
        <f t="shared" si="9"/>
        <v>0</v>
      </c>
      <c r="E109" s="166">
        <f t="shared" si="9"/>
        <v>0</v>
      </c>
      <c r="F109" s="166">
        <f t="shared" si="9"/>
        <v>0</v>
      </c>
      <c r="H109" t="str">
        <f t="shared" si="4"/>
        <v>  所有者权益（或股东权益）合计 </v>
      </c>
      <c r="I109" s="33" t="str">
        <f t="shared" si="3"/>
        <v>近三年及一期，拟承租人  所有者权益（或股东权益）合计 分别为0亿元、0亿元、0亿元及0亿元。</v>
      </c>
    </row>
    <row r="110" s="161" customFormat="1" ht="14.1" customHeight="1" spans="1:9">
      <c r="A110" s="165">
        <v>5999</v>
      </c>
      <c r="B110" s="165" t="s">
        <v>109</v>
      </c>
      <c r="C110" s="166">
        <f t="shared" ref="C110:F110" si="10">C94+C109</f>
        <v>0</v>
      </c>
      <c r="D110" s="166">
        <f t="shared" si="10"/>
        <v>0</v>
      </c>
      <c r="E110" s="166">
        <f t="shared" si="10"/>
        <v>0</v>
      </c>
      <c r="F110" s="166">
        <f t="shared" si="10"/>
        <v>0</v>
      </c>
      <c r="H110" t="str">
        <f t="shared" si="4"/>
        <v> 负债和所有者权益（或股东权益）总计 </v>
      </c>
      <c r="I110" s="33" t="str">
        <f t="shared" si="3"/>
        <v>近三年及一期，拟承租人 负债和所有者权益（或股东权益）总计 分别为0亿元、0亿元、0亿元及0亿元。</v>
      </c>
    </row>
    <row r="111" spans="3:6">
      <c r="C111" s="129">
        <f t="shared" ref="C111:F111" si="11">C110-C53</f>
        <v>0</v>
      </c>
      <c r="D111" s="129">
        <f t="shared" si="11"/>
        <v>0</v>
      </c>
      <c r="E111" s="129">
        <f t="shared" si="11"/>
        <v>0</v>
      </c>
      <c r="F111" s="129">
        <f t="shared" si="11"/>
        <v>0</v>
      </c>
    </row>
  </sheetData>
  <customSheetViews>
    <customSheetView guid="{EFE5EB9F-962C-4232-9E60-22B2AE19D01B}" scale="115">
      <pane xSplit="1" ySplit="1" topLeftCell="B2" activePane="bottomRight" state="frozen"/>
      <selection activeCell="D27" sqref="D27"/>
      <pageMargins left="0.75" right="0.75" top="1" bottom="1" header="0.5" footer="0.5"/>
      <pageSetup paperSize="1" orientation="portrait" horizontalDpi="300" verticalDpi="300"/>
      <headerFooter alignWithMargins="0"/>
    </customSheetView>
  </customSheetViews>
  <pageMargins left="0.75" right="0.75" top="1" bottom="1" header="0.5" footer="0.5"/>
  <pageSetup paperSize="1" orientation="portrait" horizontalDpi="300" verticalDpi="30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>
    <tabColor indexed="13"/>
  </sheetPr>
  <dimension ref="A1:G70"/>
  <sheetViews>
    <sheetView workbookViewId="0">
      <selection activeCell="D30" sqref="D30"/>
    </sheetView>
  </sheetViews>
  <sheetFormatPr defaultColWidth="9" defaultRowHeight="12.4" outlineLevelCol="6"/>
  <cols>
    <col min="1" max="1" width="8.56756756756757" customWidth="1"/>
    <col min="2" max="2" width="47.5675675675676" customWidth="1"/>
    <col min="3" max="3" width="15.5675675675676" customWidth="1"/>
    <col min="4" max="4" width="15.2882882882883" style="150" customWidth="1"/>
    <col min="5" max="5" width="17" style="150" customWidth="1"/>
    <col min="6" max="6" width="16.4234234234234" style="150" customWidth="1"/>
  </cols>
  <sheetData>
    <row r="1" ht="22.15" customHeight="1" spans="1:6">
      <c r="A1" s="143" t="s">
        <v>0</v>
      </c>
      <c r="B1" s="143" t="s">
        <v>1</v>
      </c>
      <c r="C1" s="144">
        <v>45107</v>
      </c>
      <c r="D1" s="144">
        <v>44926</v>
      </c>
      <c r="E1" s="144">
        <v>44561</v>
      </c>
      <c r="F1" s="144">
        <v>44196</v>
      </c>
    </row>
    <row r="2" ht="14.1" customHeight="1" spans="1:6">
      <c r="A2" s="48">
        <v>6100</v>
      </c>
      <c r="B2" s="48" t="s">
        <v>110</v>
      </c>
      <c r="C2" s="154">
        <f t="shared" ref="C2:F2" si="0">C3+C4+C5+C6+C7</f>
        <v>0</v>
      </c>
      <c r="D2" s="155">
        <f t="shared" si="0"/>
        <v>0</v>
      </c>
      <c r="E2" s="155">
        <f t="shared" si="0"/>
        <v>0</v>
      </c>
      <c r="F2" s="155">
        <f t="shared" si="0"/>
        <v>0</v>
      </c>
    </row>
    <row r="3" ht="14.1" customHeight="1" spans="1:3">
      <c r="A3" s="48">
        <v>6101</v>
      </c>
      <c r="B3" s="48" t="s">
        <v>111</v>
      </c>
      <c r="C3" s="150"/>
    </row>
    <row r="4" ht="14.1" customHeight="1" spans="1:3">
      <c r="A4" s="48">
        <v>6102</v>
      </c>
      <c r="B4" s="48" t="s">
        <v>112</v>
      </c>
      <c r="C4" s="156"/>
    </row>
    <row r="5" ht="14.1" customHeight="1" spans="1:3">
      <c r="A5" s="48">
        <v>6103</v>
      </c>
      <c r="B5" s="48" t="s">
        <v>113</v>
      </c>
      <c r="C5" s="156"/>
    </row>
    <row r="6" ht="14.1" customHeight="1" spans="1:3">
      <c r="A6" s="48">
        <v>6104</v>
      </c>
      <c r="B6" s="48" t="s">
        <v>114</v>
      </c>
      <c r="C6" s="156"/>
    </row>
    <row r="7" ht="14.1" customHeight="1" spans="1:3">
      <c r="A7" s="48">
        <v>6105</v>
      </c>
      <c r="B7" s="48" t="s">
        <v>115</v>
      </c>
      <c r="C7" s="156"/>
    </row>
    <row r="8" ht="14.1" customHeight="1" spans="1:6">
      <c r="A8" s="48">
        <v>6200</v>
      </c>
      <c r="B8" s="48" t="s">
        <v>116</v>
      </c>
      <c r="C8" s="156"/>
      <c r="D8" s="149"/>
      <c r="E8" s="149"/>
      <c r="F8" s="149"/>
    </row>
    <row r="9" ht="14.1" customHeight="1" spans="1:6">
      <c r="A9" s="48">
        <v>6201</v>
      </c>
      <c r="B9" s="48" t="s">
        <v>117</v>
      </c>
      <c r="C9" s="155">
        <f>C10+C11</f>
        <v>0</v>
      </c>
      <c r="D9" s="155">
        <f>D10+D11</f>
        <v>0</v>
      </c>
      <c r="E9" s="155">
        <f>E10+E11</f>
        <v>0</v>
      </c>
      <c r="F9" s="155">
        <f>F10+F11</f>
        <v>0</v>
      </c>
    </row>
    <row r="10" ht="14.1" customHeight="1" spans="1:3">
      <c r="A10" s="48">
        <v>620101</v>
      </c>
      <c r="B10" s="48" t="s">
        <v>118</v>
      </c>
      <c r="C10" s="156"/>
    </row>
    <row r="11" ht="14.1" customHeight="1" spans="1:3">
      <c r="A11" s="48">
        <v>620102</v>
      </c>
      <c r="B11" s="48" t="s">
        <v>119</v>
      </c>
      <c r="C11" s="156"/>
    </row>
    <row r="12" ht="14.1" customHeight="1" spans="1:3">
      <c r="A12" s="48">
        <v>6202</v>
      </c>
      <c r="B12" s="48" t="s">
        <v>120</v>
      </c>
      <c r="C12" s="156"/>
    </row>
    <row r="13" ht="14.1" customHeight="1" spans="1:3">
      <c r="A13" s="48">
        <v>6203</v>
      </c>
      <c r="B13" s="48" t="s">
        <v>121</v>
      </c>
      <c r="C13" s="156"/>
    </row>
    <row r="14" ht="13.5" customHeight="1" spans="1:3">
      <c r="A14" s="48">
        <v>6204</v>
      </c>
      <c r="B14" s="48" t="s">
        <v>122</v>
      </c>
      <c r="C14" s="156"/>
    </row>
    <row r="15" ht="13.5" customHeight="1" spans="1:3">
      <c r="A15" s="48">
        <v>6205</v>
      </c>
      <c r="B15" s="48" t="s">
        <v>123</v>
      </c>
      <c r="C15" s="156"/>
    </row>
    <row r="16" ht="14.1" customHeight="1" spans="1:3">
      <c r="A16" s="48">
        <v>6206</v>
      </c>
      <c r="B16" s="48" t="s">
        <v>124</v>
      </c>
      <c r="C16" s="156"/>
    </row>
    <row r="17" ht="14.1" customHeight="1" spans="1:3">
      <c r="A17" s="48">
        <v>6207</v>
      </c>
      <c r="B17" s="48" t="s">
        <v>125</v>
      </c>
      <c r="C17" s="156"/>
    </row>
    <row r="18" ht="14.1" customHeight="1" spans="1:3">
      <c r="A18" s="48">
        <v>6208</v>
      </c>
      <c r="B18" s="48" t="s">
        <v>126</v>
      </c>
      <c r="C18" s="156"/>
    </row>
    <row r="19" ht="14.1" customHeight="1" spans="1:3">
      <c r="A19" s="48">
        <v>6209</v>
      </c>
      <c r="B19" s="48" t="s">
        <v>127</v>
      </c>
      <c r="C19" s="157"/>
    </row>
    <row r="20" ht="14.1" customHeight="1" spans="1:3">
      <c r="A20" s="48">
        <v>6210</v>
      </c>
      <c r="B20" s="48" t="s">
        <v>128</v>
      </c>
      <c r="C20" s="157"/>
    </row>
    <row r="21" ht="14.1" customHeight="1" spans="1:3">
      <c r="A21" s="48">
        <v>6211</v>
      </c>
      <c r="B21" s="48" t="s">
        <v>129</v>
      </c>
      <c r="C21" s="157"/>
    </row>
    <row r="22" ht="14.1" customHeight="1" spans="1:3">
      <c r="A22" s="48">
        <v>6212</v>
      </c>
      <c r="B22" s="48" t="s">
        <v>130</v>
      </c>
      <c r="C22" s="157"/>
    </row>
    <row r="23" ht="14.1" customHeight="1" spans="1:3">
      <c r="A23" s="48">
        <v>6213</v>
      </c>
      <c r="B23" s="48" t="s">
        <v>131</v>
      </c>
      <c r="C23" s="157"/>
    </row>
    <row r="24" ht="14.1" customHeight="1" spans="1:3">
      <c r="A24" s="48">
        <v>621301</v>
      </c>
      <c r="B24" s="48" t="s">
        <v>132</v>
      </c>
      <c r="C24" s="157"/>
    </row>
    <row r="25" ht="14.1" customHeight="1" spans="1:3">
      <c r="A25" s="48">
        <v>621302</v>
      </c>
      <c r="B25" s="48" t="s">
        <v>133</v>
      </c>
      <c r="C25" s="157"/>
    </row>
    <row r="26" ht="14.1" customHeight="1" spans="1:3">
      <c r="A26" s="48">
        <v>6214</v>
      </c>
      <c r="B26" s="48" t="s">
        <v>134</v>
      </c>
      <c r="C26" s="156"/>
    </row>
    <row r="27" ht="14.1" customHeight="1" spans="1:3">
      <c r="A27" s="48">
        <v>6215</v>
      </c>
      <c r="B27" s="48" t="s">
        <v>135</v>
      </c>
      <c r="C27" s="156"/>
    </row>
    <row r="28" ht="14.1" customHeight="1" spans="1:3">
      <c r="A28" s="48">
        <v>621501</v>
      </c>
      <c r="B28" s="48" t="s">
        <v>136</v>
      </c>
      <c r="C28" s="156"/>
    </row>
    <row r="29" ht="14.1" customHeight="1" spans="1:3">
      <c r="A29" s="48">
        <v>621502</v>
      </c>
      <c r="B29" s="48" t="s">
        <v>137</v>
      </c>
      <c r="C29" s="158"/>
    </row>
    <row r="30" ht="14.1" customHeight="1" spans="1:6">
      <c r="A30" s="48">
        <v>6216</v>
      </c>
      <c r="B30" s="48" t="s">
        <v>138</v>
      </c>
      <c r="C30" s="156"/>
      <c r="D30" s="149"/>
      <c r="E30" s="149"/>
      <c r="F30" s="149"/>
    </row>
    <row r="31" ht="14.1" customHeight="1" spans="1:3">
      <c r="A31" s="48">
        <v>6217</v>
      </c>
      <c r="B31" s="48" t="s">
        <v>139</v>
      </c>
      <c r="C31" s="158"/>
    </row>
    <row r="32" ht="14.1" customHeight="1" spans="1:6">
      <c r="A32" s="48">
        <v>6218</v>
      </c>
      <c r="B32" s="48" t="s">
        <v>140</v>
      </c>
      <c r="C32" s="156"/>
      <c r="D32" s="156"/>
      <c r="E32" s="156"/>
      <c r="F32" s="156"/>
    </row>
    <row r="33" ht="14.1" customHeight="1" spans="1:7">
      <c r="A33" s="48">
        <v>6219</v>
      </c>
      <c r="B33" s="48" t="s">
        <v>141</v>
      </c>
      <c r="C33" s="156"/>
      <c r="D33" s="156"/>
      <c r="E33" s="156"/>
      <c r="F33" s="156"/>
      <c r="G33" s="156"/>
    </row>
    <row r="34" ht="14.1" customHeight="1" spans="1:6">
      <c r="A34" s="48">
        <v>6220</v>
      </c>
      <c r="B34" s="48" t="s">
        <v>142</v>
      </c>
      <c r="C34" s="156"/>
      <c r="D34" s="156"/>
      <c r="E34" s="156"/>
      <c r="F34" s="156"/>
    </row>
    <row r="35" ht="14.1" customHeight="1" spans="1:6">
      <c r="A35" s="48">
        <v>6221</v>
      </c>
      <c r="B35" s="48" t="s">
        <v>143</v>
      </c>
      <c r="C35" s="156"/>
      <c r="F35" s="156"/>
    </row>
    <row r="36" ht="14.1" customHeight="1" spans="1:6">
      <c r="A36" s="48">
        <v>6300</v>
      </c>
      <c r="B36" s="48" t="s">
        <v>144</v>
      </c>
      <c r="C36" s="154">
        <f>C2-C9-C12-C13-C14-C15-C16-C17-C18-C19-C20-C21-C22-C23+C26+C27+C30+C31+C32+C33+C34+C35</f>
        <v>0</v>
      </c>
      <c r="D36" s="154">
        <f>D2-D9-D12-D13-D14-D15-D16-D17-D18-D19-D20-D21-D22-D23+D26+D27+D30+D31+D32+D33+D34+D35</f>
        <v>0</v>
      </c>
      <c r="E36" s="154">
        <f>E2-E9-E12-E13-E14-E15-E16-E17-E18-E19-E20-E21-E22-E23+E26+E27+E30+E31+E32+E33+E34+E35</f>
        <v>0</v>
      </c>
      <c r="F36" s="154">
        <f>F2-F9-F12-F13-F14-F15-F16-F17-F18-F19-F20-F21-F22-F23+F26+F27+F30+F31+F32+F33+F34+F35</f>
        <v>0</v>
      </c>
    </row>
    <row r="37" ht="14.1" customHeight="1" spans="1:3">
      <c r="A37" s="48">
        <v>6301</v>
      </c>
      <c r="B37" s="48" t="s">
        <v>145</v>
      </c>
      <c r="C37" s="156"/>
    </row>
    <row r="38" ht="14.1" customHeight="1" spans="1:3">
      <c r="A38" s="48">
        <v>6302</v>
      </c>
      <c r="B38" s="48" t="s">
        <v>146</v>
      </c>
      <c r="C38" s="156"/>
    </row>
    <row r="39" ht="14.1" customHeight="1" spans="1:6">
      <c r="A39" s="48">
        <v>6400</v>
      </c>
      <c r="B39" s="48" t="s">
        <v>147</v>
      </c>
      <c r="C39" s="154">
        <f t="shared" ref="C39:F39" si="1">C36+C37-C38</f>
        <v>0</v>
      </c>
      <c r="D39" s="155">
        <f t="shared" si="1"/>
        <v>0</v>
      </c>
      <c r="E39" s="155">
        <f t="shared" si="1"/>
        <v>0</v>
      </c>
      <c r="F39" s="155">
        <f t="shared" si="1"/>
        <v>0</v>
      </c>
    </row>
    <row r="40" ht="14.1" customHeight="1" spans="1:3">
      <c r="A40" s="48">
        <v>6401</v>
      </c>
      <c r="B40" s="48" t="s">
        <v>148</v>
      </c>
      <c r="C40" s="156"/>
    </row>
    <row r="41" ht="14.1" customHeight="1" spans="1:6">
      <c r="A41" s="48">
        <v>6500</v>
      </c>
      <c r="B41" s="48" t="s">
        <v>149</v>
      </c>
      <c r="C41" s="154">
        <f t="shared" ref="C41:F41" si="2">C39-C40</f>
        <v>0</v>
      </c>
      <c r="D41" s="155">
        <f t="shared" si="2"/>
        <v>0</v>
      </c>
      <c r="E41" s="155">
        <f t="shared" si="2"/>
        <v>0</v>
      </c>
      <c r="F41" s="155">
        <f t="shared" si="2"/>
        <v>0</v>
      </c>
    </row>
    <row r="42" ht="14.1" customHeight="1" spans="1:3">
      <c r="A42" s="48">
        <v>6501</v>
      </c>
      <c r="B42" s="48" t="s">
        <v>150</v>
      </c>
      <c r="C42" s="156"/>
    </row>
    <row r="43" ht="14.1" customHeight="1" spans="1:3">
      <c r="A43" s="48">
        <v>650101</v>
      </c>
      <c r="B43" s="48" t="s">
        <v>151</v>
      </c>
      <c r="C43" s="156"/>
    </row>
    <row r="44" ht="14.1" customHeight="1" spans="1:3">
      <c r="A44" s="48">
        <v>650102</v>
      </c>
      <c r="B44" s="48" t="s">
        <v>152</v>
      </c>
      <c r="C44" s="156"/>
    </row>
    <row r="45" ht="14.1" customHeight="1" spans="1:3">
      <c r="A45" s="48">
        <v>6502</v>
      </c>
      <c r="B45" s="48" t="s">
        <v>153</v>
      </c>
      <c r="C45" s="156"/>
    </row>
    <row r="46" ht="14.1" customHeight="1" spans="1:3">
      <c r="A46" s="48">
        <v>650201</v>
      </c>
      <c r="B46" s="48" t="s">
        <v>154</v>
      </c>
      <c r="C46" s="156"/>
    </row>
    <row r="47" ht="12.45" spans="1:6">
      <c r="A47" s="48">
        <v>650202</v>
      </c>
      <c r="B47" s="48" t="s">
        <v>155</v>
      </c>
      <c r="C47" s="156"/>
      <c r="D47" s="156"/>
      <c r="E47" s="156"/>
      <c r="F47" s="156"/>
    </row>
    <row r="48" ht="12.45" spans="1:2">
      <c r="A48" s="48">
        <v>6600</v>
      </c>
      <c r="B48" s="48" t="s">
        <v>156</v>
      </c>
    </row>
    <row r="49" ht="12.45" spans="1:2">
      <c r="A49" s="48">
        <v>6601</v>
      </c>
      <c r="B49" s="48" t="s">
        <v>157</v>
      </c>
    </row>
    <row r="50" ht="12.45" spans="1:2">
      <c r="A50" s="48">
        <v>660101</v>
      </c>
      <c r="B50" s="48" t="s">
        <v>158</v>
      </c>
    </row>
    <row r="51" ht="12.45" spans="1:2">
      <c r="A51" s="48">
        <v>66010101</v>
      </c>
      <c r="B51" s="48" t="s">
        <v>159</v>
      </c>
    </row>
    <row r="52" ht="12.45" spans="1:2">
      <c r="A52" s="48">
        <v>66010102</v>
      </c>
      <c r="B52" s="48" t="s">
        <v>160</v>
      </c>
    </row>
    <row r="53" ht="12.45" spans="1:2">
      <c r="A53" s="48">
        <v>66010103</v>
      </c>
      <c r="B53" s="48" t="s">
        <v>161</v>
      </c>
    </row>
    <row r="54" ht="12.45" spans="1:2">
      <c r="A54" s="48">
        <v>66010104</v>
      </c>
      <c r="B54" s="48" t="s">
        <v>162</v>
      </c>
    </row>
    <row r="55" ht="12.45" spans="1:2">
      <c r="A55" s="48">
        <v>66010105</v>
      </c>
      <c r="B55" s="48" t="s">
        <v>163</v>
      </c>
    </row>
    <row r="56" ht="12.45" spans="1:2">
      <c r="A56" s="48">
        <v>660102</v>
      </c>
      <c r="B56" s="48" t="s">
        <v>164</v>
      </c>
    </row>
    <row r="57" ht="12.45" spans="1:2">
      <c r="A57" s="48">
        <v>66010201</v>
      </c>
      <c r="B57" s="48" t="s">
        <v>165</v>
      </c>
    </row>
    <row r="58" ht="12.45" spans="1:2">
      <c r="A58" s="48">
        <v>66010202</v>
      </c>
      <c r="B58" s="48" t="s">
        <v>166</v>
      </c>
    </row>
    <row r="59" ht="12.45" spans="1:2">
      <c r="A59" s="48">
        <v>66010203</v>
      </c>
      <c r="B59" s="48" t="s">
        <v>167</v>
      </c>
    </row>
    <row r="60" ht="12.45" spans="1:2">
      <c r="A60" s="48">
        <v>66010204</v>
      </c>
      <c r="B60" s="48" t="s">
        <v>168</v>
      </c>
    </row>
    <row r="61" ht="12.45" spans="1:2">
      <c r="A61" s="48">
        <v>66010205</v>
      </c>
      <c r="B61" s="48" t="s">
        <v>169</v>
      </c>
    </row>
    <row r="62" ht="12.45" spans="1:2">
      <c r="A62" s="48">
        <v>66010206</v>
      </c>
      <c r="B62" s="48" t="s">
        <v>170</v>
      </c>
    </row>
    <row r="63" ht="12.45" spans="1:2">
      <c r="A63" s="48">
        <v>66010207</v>
      </c>
      <c r="B63" s="48" t="s">
        <v>171</v>
      </c>
    </row>
    <row r="64" ht="12.45" spans="1:2">
      <c r="A64" s="48">
        <v>6602</v>
      </c>
      <c r="B64" s="48" t="s">
        <v>172</v>
      </c>
    </row>
    <row r="65" ht="12.45" spans="1:6">
      <c r="A65" s="48">
        <v>6700</v>
      </c>
      <c r="B65" s="48" t="s">
        <v>173</v>
      </c>
      <c r="C65" s="154">
        <f t="shared" ref="C65:F65" si="3">C41+C48</f>
        <v>0</v>
      </c>
      <c r="D65" s="155">
        <f t="shared" si="3"/>
        <v>0</v>
      </c>
      <c r="E65" s="155">
        <f t="shared" si="3"/>
        <v>0</v>
      </c>
      <c r="F65" s="155">
        <f t="shared" si="3"/>
        <v>0</v>
      </c>
    </row>
    <row r="66" ht="12.45" spans="1:6">
      <c r="A66" s="48">
        <v>6701</v>
      </c>
      <c r="B66" s="48" t="s">
        <v>174</v>
      </c>
      <c r="C66" s="159"/>
      <c r="D66" s="160"/>
      <c r="E66" s="160"/>
      <c r="F66" s="160"/>
    </row>
    <row r="67" ht="12.45" spans="1:6">
      <c r="A67" s="48">
        <v>6702</v>
      </c>
      <c r="B67" s="48" t="s">
        <v>175</v>
      </c>
      <c r="C67" s="159"/>
      <c r="D67" s="160"/>
      <c r="E67" s="160"/>
      <c r="F67" s="160"/>
    </row>
    <row r="68" ht="12.45" spans="1:2">
      <c r="A68" s="48">
        <v>6800</v>
      </c>
      <c r="B68" s="48" t="s">
        <v>176</v>
      </c>
    </row>
    <row r="69" ht="12.45" spans="1:2">
      <c r="A69" s="48">
        <v>6801</v>
      </c>
      <c r="B69" s="48" t="s">
        <v>177</v>
      </c>
    </row>
    <row r="70" ht="12.45" spans="1:2">
      <c r="A70" s="48">
        <v>6802</v>
      </c>
      <c r="B70" s="48" t="s">
        <v>178</v>
      </c>
    </row>
  </sheetData>
  <customSheetViews>
    <customSheetView guid="{EFE5EB9F-962C-4232-9E60-22B2AE19D01B}" scale="115">
      <pane xSplit="1" ySplit="1" topLeftCell="B2" activePane="bottomRight" state="frozen"/>
      <selection activeCell="C5" sqref="C5"/>
      <pageMargins left="0.75" right="0.75" top="1" bottom="1" header="0.5" footer="0.5"/>
      <pageSetup paperSize="9" orientation="portrait"/>
      <headerFooter alignWithMargins="0"/>
    </customSheetView>
  </customSheetViews>
  <pageMargins left="0.75" right="0.75" top="1" bottom="1" header="0.5" footer="0.5"/>
  <pageSetup paperSize="9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>
    <tabColor indexed="13"/>
  </sheetPr>
  <dimension ref="A1:F57"/>
  <sheetViews>
    <sheetView workbookViewId="0">
      <selection activeCell="B37" sqref="B37"/>
    </sheetView>
  </sheetViews>
  <sheetFormatPr defaultColWidth="9" defaultRowHeight="12.4" outlineLevelCol="5"/>
  <cols>
    <col min="1" max="1" width="8.56756756756757" style="140" customWidth="1"/>
    <col min="2" max="2" width="43.5675675675676" customWidth="1"/>
    <col min="3" max="3" width="17.8558558558559"/>
    <col min="4" max="4" width="16.1441441441441" customWidth="1"/>
    <col min="5" max="5" width="15.1441441441441" customWidth="1"/>
    <col min="6" max="6" width="16.2882882882883" style="141" customWidth="1"/>
  </cols>
  <sheetData>
    <row r="1" ht="22.15" customHeight="1" spans="1:6">
      <c r="A1" s="142" t="s">
        <v>0</v>
      </c>
      <c r="B1" s="143" t="s">
        <v>1</v>
      </c>
      <c r="C1" s="144">
        <v>45107</v>
      </c>
      <c r="D1" s="144">
        <v>44926</v>
      </c>
      <c r="E1" s="145">
        <v>44561</v>
      </c>
      <c r="F1" s="145">
        <v>44196</v>
      </c>
    </row>
    <row r="2" ht="14.1" customHeight="1" spans="1:2">
      <c r="A2" s="33">
        <v>7101</v>
      </c>
      <c r="B2" s="48" t="s">
        <v>179</v>
      </c>
    </row>
    <row r="3" ht="14.1" customHeight="1" spans="1:6">
      <c r="A3" s="33">
        <v>710101</v>
      </c>
      <c r="B3" s="48" t="s">
        <v>180</v>
      </c>
      <c r="C3" s="146"/>
      <c r="D3" s="146"/>
      <c r="E3" s="146"/>
      <c r="F3" s="146"/>
    </row>
    <row r="4" ht="14.1" customHeight="1" spans="1:6">
      <c r="A4" s="33">
        <v>710102</v>
      </c>
      <c r="B4" s="48" t="s">
        <v>181</v>
      </c>
      <c r="C4" s="147"/>
      <c r="D4" s="147"/>
      <c r="E4" s="147"/>
      <c r="F4" s="148"/>
    </row>
    <row r="5" ht="14.1" customHeight="1" spans="1:2">
      <c r="A5" s="33">
        <v>710103</v>
      </c>
      <c r="B5" s="48" t="s">
        <v>182</v>
      </c>
    </row>
    <row r="6" ht="14.1" customHeight="1" spans="1:2">
      <c r="A6" s="33">
        <v>710104</v>
      </c>
      <c r="B6" s="48" t="s">
        <v>183</v>
      </c>
    </row>
    <row r="7" ht="14.1" customHeight="1" spans="1:2">
      <c r="A7" s="33">
        <v>710105</v>
      </c>
      <c r="B7" s="48" t="s">
        <v>184</v>
      </c>
    </row>
    <row r="8" ht="14.1" customHeight="1" spans="1:2">
      <c r="A8" s="33">
        <v>710106</v>
      </c>
      <c r="B8" s="48" t="s">
        <v>185</v>
      </c>
    </row>
    <row r="9" ht="14.1" customHeight="1" spans="1:2">
      <c r="A9" s="33">
        <v>710107</v>
      </c>
      <c r="B9" s="48" t="s">
        <v>186</v>
      </c>
    </row>
    <row r="10" ht="14.1" customHeight="1" spans="1:2">
      <c r="A10" s="33">
        <v>710108</v>
      </c>
      <c r="B10" s="48" t="s">
        <v>187</v>
      </c>
    </row>
    <row r="11" ht="14.1" customHeight="1" spans="1:2">
      <c r="A11" s="33">
        <v>710109</v>
      </c>
      <c r="B11" s="48" t="s">
        <v>188</v>
      </c>
    </row>
    <row r="12" ht="14.1" customHeight="1" spans="1:2">
      <c r="A12" s="33">
        <v>710110</v>
      </c>
      <c r="B12" s="48" t="s">
        <v>189</v>
      </c>
    </row>
    <row r="13" ht="14.1" customHeight="1" spans="1:6">
      <c r="A13" s="33">
        <v>710111</v>
      </c>
      <c r="B13" s="48" t="s">
        <v>190</v>
      </c>
      <c r="C13" s="147"/>
      <c r="D13" s="147"/>
      <c r="E13" s="147"/>
      <c r="F13" s="148"/>
    </row>
    <row r="14" ht="14.1" customHeight="1" spans="1:6">
      <c r="A14" s="33">
        <v>710112</v>
      </c>
      <c r="B14" s="48" t="s">
        <v>191</v>
      </c>
      <c r="C14" s="149"/>
      <c r="D14" s="149"/>
      <c r="E14" s="149"/>
      <c r="F14" s="149"/>
    </row>
    <row r="15" ht="14.1" customHeight="1" spans="1:6">
      <c r="A15" s="33">
        <v>710113</v>
      </c>
      <c r="B15" s="48" t="s">
        <v>192</v>
      </c>
      <c r="C15" s="150"/>
      <c r="D15" s="150"/>
      <c r="E15" s="150"/>
      <c r="F15" s="150"/>
    </row>
    <row r="16" ht="12.95" customHeight="1" spans="1:6">
      <c r="A16" s="33">
        <v>710149</v>
      </c>
      <c r="B16" s="48" t="s">
        <v>193</v>
      </c>
      <c r="C16" s="151">
        <f>C3+C5+C4+C6+C7+C8+C9+C10+C11+C12+C13+C14+C15</f>
        <v>0</v>
      </c>
      <c r="D16" s="151">
        <f>D3+D5+D4+D6+D7+D8+D9+D10+D11+D12+D13+D14+D15</f>
        <v>0</v>
      </c>
      <c r="E16" s="151">
        <f>E3+E5+E4+E6+E7+E8+E9+E10+E11+E12+E13+E14+E15</f>
        <v>0</v>
      </c>
      <c r="F16" s="151">
        <f>F3+F5+F4+F6+F7+F8+F9+F10+F11+F12+F13+F14+F15</f>
        <v>0</v>
      </c>
    </row>
    <row r="17" ht="14.1" customHeight="1" spans="1:6">
      <c r="A17" s="33">
        <v>710151</v>
      </c>
      <c r="B17" s="33" t="s">
        <v>194</v>
      </c>
      <c r="C17" s="150"/>
      <c r="D17" s="150"/>
      <c r="E17" s="150"/>
      <c r="F17" s="150"/>
    </row>
    <row r="18" ht="14.1" customHeight="1" spans="1:6">
      <c r="A18" s="33">
        <v>710152</v>
      </c>
      <c r="B18" s="48" t="s">
        <v>195</v>
      </c>
      <c r="C18" s="150"/>
      <c r="D18" s="150"/>
      <c r="E18" s="150"/>
      <c r="F18" s="150"/>
    </row>
    <row r="19" ht="14.1" customHeight="1" spans="1:6">
      <c r="A19" s="33">
        <v>710153</v>
      </c>
      <c r="B19" s="48" t="s">
        <v>196</v>
      </c>
      <c r="C19" s="150"/>
      <c r="D19" s="150"/>
      <c r="E19" s="150"/>
      <c r="F19" s="150"/>
    </row>
    <row r="20" ht="14.1" customHeight="1" spans="1:6">
      <c r="A20" s="33">
        <v>710154</v>
      </c>
      <c r="B20" s="48" t="s">
        <v>197</v>
      </c>
      <c r="C20" s="150"/>
      <c r="D20" s="150"/>
      <c r="E20" s="150"/>
      <c r="F20" s="150"/>
    </row>
    <row r="21" ht="14.1" customHeight="1" spans="1:6">
      <c r="A21" s="33">
        <v>710155</v>
      </c>
      <c r="B21" s="48" t="s">
        <v>198</v>
      </c>
      <c r="C21" s="150"/>
      <c r="D21" s="150"/>
      <c r="E21" s="150"/>
      <c r="F21" s="150"/>
    </row>
    <row r="22" ht="14.1" customHeight="1" spans="1:6">
      <c r="A22" s="33">
        <v>710156</v>
      </c>
      <c r="B22" s="48" t="s">
        <v>199</v>
      </c>
      <c r="C22" s="150"/>
      <c r="D22" s="150"/>
      <c r="E22" s="150"/>
      <c r="F22" s="150"/>
    </row>
    <row r="23" ht="14.1" customHeight="1" spans="1:6">
      <c r="A23" s="33">
        <v>710157</v>
      </c>
      <c r="B23" s="48" t="s">
        <v>200</v>
      </c>
      <c r="C23" s="150"/>
      <c r="D23" s="150"/>
      <c r="E23" s="150"/>
      <c r="F23" s="150"/>
    </row>
    <row r="24" ht="14.1" customHeight="1" spans="1:6">
      <c r="A24" s="33">
        <v>710158</v>
      </c>
      <c r="B24" s="48" t="s">
        <v>201</v>
      </c>
      <c r="C24" s="150"/>
      <c r="D24" s="150"/>
      <c r="E24" s="150"/>
      <c r="F24" s="150"/>
    </row>
    <row r="25" ht="14.1" customHeight="1" spans="1:6">
      <c r="A25" s="33">
        <v>710159</v>
      </c>
      <c r="B25" s="48" t="s">
        <v>202</v>
      </c>
      <c r="C25" s="150"/>
      <c r="D25" s="150"/>
      <c r="E25" s="150"/>
      <c r="F25" s="150"/>
    </row>
    <row r="26" ht="14.1" customHeight="1" spans="1:6">
      <c r="A26" s="33">
        <v>710160</v>
      </c>
      <c r="B26" s="48" t="s">
        <v>203</v>
      </c>
      <c r="C26" s="150"/>
      <c r="D26" s="150"/>
      <c r="E26" s="150"/>
      <c r="F26" s="150"/>
    </row>
    <row r="27" ht="14.1" customHeight="1" spans="1:6">
      <c r="A27" s="33">
        <v>710189</v>
      </c>
      <c r="B27" s="48" t="s">
        <v>204</v>
      </c>
      <c r="C27" s="151">
        <f>SUM(C17:C26)</f>
        <v>0</v>
      </c>
      <c r="D27" s="151">
        <f>SUM(D17:D26)</f>
        <v>0</v>
      </c>
      <c r="E27" s="151">
        <f>SUM(E17:E26)</f>
        <v>0</v>
      </c>
      <c r="F27" s="152">
        <f>SUM(F17:F26)</f>
        <v>0</v>
      </c>
    </row>
    <row r="28" ht="14.1" customHeight="1" spans="1:6">
      <c r="A28" s="33">
        <v>710199</v>
      </c>
      <c r="B28" s="48" t="s">
        <v>205</v>
      </c>
      <c r="C28" s="151">
        <f>C16-C27</f>
        <v>0</v>
      </c>
      <c r="D28" s="151">
        <f>D16-D27</f>
        <v>0</v>
      </c>
      <c r="E28" s="151">
        <f>E16-E27</f>
        <v>0</v>
      </c>
      <c r="F28" s="152">
        <f>F16-F27</f>
        <v>0</v>
      </c>
    </row>
    <row r="29" ht="14.1" customHeight="1" spans="1:2">
      <c r="A29" s="33">
        <v>7201</v>
      </c>
      <c r="B29" s="48" t="s">
        <v>206</v>
      </c>
    </row>
    <row r="30" ht="14.1" customHeight="1" spans="1:6">
      <c r="A30" s="33">
        <v>720101</v>
      </c>
      <c r="B30" s="48" t="s">
        <v>207</v>
      </c>
      <c r="C30" s="150"/>
      <c r="D30" s="150"/>
      <c r="E30" s="150"/>
      <c r="F30" s="150"/>
    </row>
    <row r="31" ht="14.1" customHeight="1" spans="1:6">
      <c r="A31" s="33">
        <v>720102</v>
      </c>
      <c r="B31" s="48" t="s">
        <v>208</v>
      </c>
      <c r="C31" s="150"/>
      <c r="D31" s="150"/>
      <c r="E31" s="150"/>
      <c r="F31" s="150"/>
    </row>
    <row r="32" ht="14.1" customHeight="1" spans="1:6">
      <c r="A32" s="33">
        <v>720103</v>
      </c>
      <c r="B32" s="48" t="s">
        <v>209</v>
      </c>
      <c r="C32" s="150"/>
      <c r="D32" s="150"/>
      <c r="E32" s="150"/>
      <c r="F32" s="150"/>
    </row>
    <row r="33" ht="14.1" customHeight="1" spans="1:6">
      <c r="A33" s="33">
        <v>720104</v>
      </c>
      <c r="B33" s="48" t="s">
        <v>210</v>
      </c>
      <c r="C33" s="150"/>
      <c r="D33" s="150"/>
      <c r="E33" s="150"/>
      <c r="F33" s="150"/>
    </row>
    <row r="34" ht="14.1" customHeight="1" spans="1:6">
      <c r="A34" s="33">
        <v>720105</v>
      </c>
      <c r="B34" s="48" t="s">
        <v>211</v>
      </c>
      <c r="C34" s="150"/>
      <c r="D34" s="150"/>
      <c r="E34" s="150"/>
      <c r="F34" s="150"/>
    </row>
    <row r="35" ht="14.1" customHeight="1" spans="1:6">
      <c r="A35" s="33">
        <v>720149</v>
      </c>
      <c r="B35" s="48" t="s">
        <v>212</v>
      </c>
      <c r="C35" s="151">
        <f>SUM(C30:C34)</f>
        <v>0</v>
      </c>
      <c r="D35" s="151">
        <f>SUM(D30:D34)</f>
        <v>0</v>
      </c>
      <c r="E35" s="151">
        <f>SUM(E30:E34)</f>
        <v>0</v>
      </c>
      <c r="F35" s="152">
        <f>SUM(F30:F34)</f>
        <v>0</v>
      </c>
    </row>
    <row r="36" ht="14.1" customHeight="1" spans="1:6">
      <c r="A36" s="33">
        <v>720151</v>
      </c>
      <c r="B36" s="153" t="s">
        <v>213</v>
      </c>
      <c r="C36" s="150"/>
      <c r="D36" s="150"/>
      <c r="E36" s="150"/>
      <c r="F36" s="150"/>
    </row>
    <row r="37" ht="14.1" customHeight="1" spans="1:6">
      <c r="A37" s="33">
        <v>720152</v>
      </c>
      <c r="B37" s="48" t="s">
        <v>214</v>
      </c>
      <c r="C37" s="150"/>
      <c r="D37" s="150"/>
      <c r="E37" s="150"/>
      <c r="F37" s="150"/>
    </row>
    <row r="38" ht="14.1" customHeight="1" spans="1:6">
      <c r="A38" s="33">
        <v>720153</v>
      </c>
      <c r="B38" s="48" t="s">
        <v>215</v>
      </c>
      <c r="C38" s="150"/>
      <c r="D38" s="150"/>
      <c r="E38" s="150"/>
      <c r="F38" s="150"/>
    </row>
    <row r="39" ht="14.1" customHeight="1" spans="1:6">
      <c r="A39" s="33">
        <v>720154</v>
      </c>
      <c r="B39" s="48" t="s">
        <v>216</v>
      </c>
      <c r="C39" s="150"/>
      <c r="D39" s="150"/>
      <c r="E39" s="150"/>
      <c r="F39" s="150"/>
    </row>
    <row r="40" ht="12.45" spans="1:6">
      <c r="A40" s="140">
        <v>720155</v>
      </c>
      <c r="B40" s="16" t="s">
        <v>217</v>
      </c>
      <c r="C40" s="150"/>
      <c r="D40" s="150"/>
      <c r="E40" s="150"/>
      <c r="F40" s="150"/>
    </row>
    <row r="41" ht="12.45" spans="1:6">
      <c r="A41" s="140">
        <v>720189</v>
      </c>
      <c r="B41" s="16" t="s">
        <v>218</v>
      </c>
      <c r="C41" s="151">
        <f>SUM(C36:C40)</f>
        <v>0</v>
      </c>
      <c r="D41" s="151">
        <f>SUM(D36:D40)</f>
        <v>0</v>
      </c>
      <c r="E41" s="151">
        <f>SUM(E36:E40)</f>
        <v>0</v>
      </c>
      <c r="F41" s="152">
        <f>SUM(F36:F40)</f>
        <v>0</v>
      </c>
    </row>
    <row r="42" spans="1:6">
      <c r="A42" s="140">
        <v>720199</v>
      </c>
      <c r="B42" s="16" t="s">
        <v>219</v>
      </c>
      <c r="C42" s="151">
        <f>C35-C41</f>
        <v>0</v>
      </c>
      <c r="D42" s="151">
        <f>D35-D41</f>
        <v>0</v>
      </c>
      <c r="E42" s="151">
        <f>E35-E41</f>
        <v>0</v>
      </c>
      <c r="F42" s="152">
        <f>F35-F41</f>
        <v>0</v>
      </c>
    </row>
    <row r="43" ht="12.45" spans="1:2">
      <c r="A43" s="140">
        <v>7301</v>
      </c>
      <c r="B43" s="16" t="s">
        <v>220</v>
      </c>
    </row>
    <row r="44" ht="12.45" spans="1:6">
      <c r="A44" s="140">
        <v>730101</v>
      </c>
      <c r="B44" s="16" t="s">
        <v>221</v>
      </c>
      <c r="C44" s="150"/>
      <c r="D44" s="150"/>
      <c r="E44" s="150"/>
      <c r="F44" s="150"/>
    </row>
    <row r="45" ht="12.45" spans="1:6">
      <c r="A45" s="140">
        <v>730102</v>
      </c>
      <c r="B45" s="16" t="s">
        <v>222</v>
      </c>
      <c r="C45" s="150"/>
      <c r="D45" s="150"/>
      <c r="E45" s="150"/>
      <c r="F45" s="150"/>
    </row>
    <row r="46" spans="1:6">
      <c r="A46" s="140">
        <v>730103</v>
      </c>
      <c r="B46" s="16" t="s">
        <v>223</v>
      </c>
      <c r="C46" s="150"/>
      <c r="D46" s="150"/>
      <c r="E46" s="150"/>
      <c r="F46" s="150"/>
    </row>
    <row r="47" ht="12.45" spans="1:6">
      <c r="A47" s="140">
        <v>730104</v>
      </c>
      <c r="B47" s="16" t="s">
        <v>224</v>
      </c>
      <c r="C47" s="150"/>
      <c r="D47" s="150"/>
      <c r="E47" s="150"/>
      <c r="F47" s="150"/>
    </row>
    <row r="48" ht="12.45" spans="1:6">
      <c r="A48" s="140">
        <v>730149</v>
      </c>
      <c r="B48" s="16" t="s">
        <v>225</v>
      </c>
      <c r="C48" s="151">
        <f>SUM(C44:C47)</f>
        <v>0</v>
      </c>
      <c r="D48" s="151">
        <f>SUM(D44:D47)</f>
        <v>0</v>
      </c>
      <c r="E48" s="151">
        <f>SUM(E44:E47)</f>
        <v>0</v>
      </c>
      <c r="F48" s="152">
        <f>SUM(F44:F47)</f>
        <v>0</v>
      </c>
    </row>
    <row r="49" ht="12.45" spans="1:6">
      <c r="A49" s="140">
        <v>730151</v>
      </c>
      <c r="B49" s="16" t="s">
        <v>226</v>
      </c>
      <c r="C49" s="150"/>
      <c r="D49" s="150"/>
      <c r="E49" s="150"/>
      <c r="F49" s="150"/>
    </row>
    <row r="50" spans="1:6">
      <c r="A50" s="140">
        <v>730152</v>
      </c>
      <c r="B50" s="16" t="s">
        <v>227</v>
      </c>
      <c r="C50" s="150"/>
      <c r="D50" s="150"/>
      <c r="E50" s="150"/>
      <c r="F50" s="150"/>
    </row>
    <row r="51" ht="12.45" spans="1:6">
      <c r="A51" s="140">
        <v>730153</v>
      </c>
      <c r="B51" s="16" t="s">
        <v>228</v>
      </c>
      <c r="C51" s="150"/>
      <c r="D51" s="150"/>
      <c r="E51" s="150"/>
      <c r="F51" s="150"/>
    </row>
    <row r="52" ht="12.45" spans="1:6">
      <c r="A52" s="140">
        <v>730189</v>
      </c>
      <c r="B52" s="16" t="s">
        <v>229</v>
      </c>
      <c r="C52" s="151">
        <f>SUM(C49:C51)</f>
        <v>0</v>
      </c>
      <c r="D52" s="151">
        <f>SUM(D49:D51)</f>
        <v>0</v>
      </c>
      <c r="E52" s="151">
        <f>SUM(E49:E51)</f>
        <v>0</v>
      </c>
      <c r="F52" s="152">
        <f>SUM(F49:F51)</f>
        <v>0</v>
      </c>
    </row>
    <row r="53" ht="12.45" spans="1:6">
      <c r="A53" s="140">
        <v>730199</v>
      </c>
      <c r="B53" s="16" t="s">
        <v>230</v>
      </c>
      <c r="C53" s="151">
        <f>C48-C52</f>
        <v>0</v>
      </c>
      <c r="D53" s="151">
        <f>D48-D52</f>
        <v>0</v>
      </c>
      <c r="E53" s="151">
        <f>E48-E52</f>
        <v>0</v>
      </c>
      <c r="F53" s="152">
        <f>F48-F52</f>
        <v>0</v>
      </c>
    </row>
    <row r="54" ht="12.45" spans="1:4">
      <c r="A54" s="140">
        <v>7401</v>
      </c>
      <c r="B54" s="16" t="s">
        <v>231</v>
      </c>
      <c r="C54" s="150"/>
      <c r="D54" s="150"/>
    </row>
    <row r="55" ht="12.45" spans="1:6">
      <c r="A55" s="140">
        <v>7501</v>
      </c>
      <c r="B55" s="16" t="s">
        <v>232</v>
      </c>
      <c r="C55" s="151">
        <f>C28+C42+C53</f>
        <v>0</v>
      </c>
      <c r="D55" s="151">
        <f>D28+D42+D53</f>
        <v>0</v>
      </c>
      <c r="E55" s="151">
        <f>E28+E42+E53</f>
        <v>0</v>
      </c>
      <c r="F55" s="151">
        <f>F28+F42+F53</f>
        <v>0</v>
      </c>
    </row>
    <row r="56" ht="12.45" spans="1:6">
      <c r="A56" s="140">
        <v>750101</v>
      </c>
      <c r="B56" s="16" t="s">
        <v>233</v>
      </c>
      <c r="C56" s="150"/>
      <c r="D56" s="150"/>
      <c r="E56" s="150"/>
      <c r="F56" s="150"/>
    </row>
    <row r="57" ht="12.45" spans="1:6">
      <c r="A57" s="140">
        <v>7601</v>
      </c>
      <c r="B57" s="16" t="s">
        <v>234</v>
      </c>
      <c r="C57" s="151">
        <f>C55+C56</f>
        <v>0</v>
      </c>
      <c r="D57" s="151">
        <f>D55+D56</f>
        <v>0</v>
      </c>
      <c r="E57" s="151">
        <f>E55+E56</f>
        <v>0</v>
      </c>
      <c r="F57" s="152">
        <f>F55+F56</f>
        <v>0</v>
      </c>
    </row>
  </sheetData>
  <customSheetViews>
    <customSheetView guid="{EFE5EB9F-962C-4232-9E60-22B2AE19D01B}" scale="130">
      <pane xSplit="1" ySplit="1" topLeftCell="B2" activePane="bottomRight" state="frozen"/>
      <selection activeCell="B24" sqref="B24"/>
      <pageMargins left="0.75" right="0.75" top="1" bottom="1" header="0.5" footer="0.5"/>
      <pageSetup paperSize="1" orientation="portrait" horizontalDpi="300" verticalDpi="300"/>
      <headerFooter alignWithMargins="0"/>
    </customSheetView>
  </customSheetViews>
  <pageMargins left="0.75" right="0.75" top="1" bottom="1" header="0.5" footer="0.5"/>
  <pageSetup paperSize="1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>
    <pageSetUpPr fitToPage="1"/>
  </sheetPr>
  <dimension ref="A1:I163"/>
  <sheetViews>
    <sheetView workbookViewId="0">
      <selection activeCell="B51" sqref="B51"/>
    </sheetView>
  </sheetViews>
  <sheetFormatPr defaultColWidth="9.14414414414414" defaultRowHeight="12.4"/>
  <cols>
    <col min="1" max="1" width="27.8558558558559" customWidth="1"/>
    <col min="2" max="2" width="34" customWidth="1"/>
    <col min="3" max="3" width="23.7117117117117" customWidth="1"/>
    <col min="4" max="5" width="22.4234234234234" customWidth="1"/>
    <col min="8" max="8" width="12.2882882882883" customWidth="1"/>
    <col min="9" max="9" width="14.7117117117117" customWidth="1"/>
  </cols>
  <sheetData>
    <row r="1" ht="15.75" customHeight="1" spans="1:5">
      <c r="A1" s="121" t="s">
        <v>235</v>
      </c>
      <c r="B1" s="121"/>
      <c r="C1" s="121"/>
      <c r="D1" s="121"/>
      <c r="E1" s="121"/>
    </row>
    <row r="2" ht="15.75" customHeight="1" spans="1:5">
      <c r="A2" s="122" t="s">
        <v>236</v>
      </c>
      <c r="B2" s="122"/>
      <c r="C2" s="122"/>
      <c r="D2" s="122"/>
      <c r="E2" s="122"/>
    </row>
    <row r="3" ht="15.75" customHeight="1" spans="1:5">
      <c r="A3" s="123"/>
      <c r="B3" s="124">
        <v>45107</v>
      </c>
      <c r="C3" s="124">
        <f>DATE(YEAR(B3)-1,12,31)</f>
        <v>44926</v>
      </c>
      <c r="D3" s="124">
        <f>DATE(YEAR(C3)-1,MONTH(C3),DAY(C3))</f>
        <v>44561</v>
      </c>
      <c r="E3" s="124">
        <f>DATE(YEAR(C3)-2,MONTH(C3),DAY(C3))</f>
        <v>44196</v>
      </c>
    </row>
    <row r="4" ht="15.7" spans="1:5">
      <c r="A4" s="123"/>
      <c r="B4" s="125" t="s">
        <v>237</v>
      </c>
      <c r="C4" s="125" t="s">
        <v>237</v>
      </c>
      <c r="D4" s="125" t="s">
        <v>237</v>
      </c>
      <c r="E4" s="125" t="s">
        <v>237</v>
      </c>
    </row>
    <row r="5" ht="15.75" customHeight="1" spans="1:8">
      <c r="A5" s="126" t="s">
        <v>238</v>
      </c>
      <c r="B5" s="126"/>
      <c r="C5" s="126"/>
      <c r="D5" s="126"/>
      <c r="E5" s="126"/>
      <c r="H5" s="16" t="s">
        <v>239</v>
      </c>
    </row>
    <row r="6" ht="15.75" spans="1:9">
      <c r="A6" s="127" t="s">
        <v>240</v>
      </c>
      <c r="B6" s="128">
        <f>ROUND(HLOOKUP($B$3,bs!$C$1:$AA$110,MATCH("*"&amp;A6&amp;"*",bs!$B$1:$B$110,),FALSE),0)/IF(LEN($G$6)&gt;4,10000,1)</f>
        <v>0</v>
      </c>
      <c r="C6" s="128">
        <f>ROUND(HLOOKUP($C$3,bs!$C$1:$AA$110,MATCH("*"&amp;A6&amp;"*",bs!$B$1:$B$110,),FALSE),0)/IF(LEN($G$6)&gt;4,10000,1)</f>
        <v>0</v>
      </c>
      <c r="D6" s="128">
        <f>ROUND(HLOOKUP($D$3,bs!$C$1:$AA$110,MATCH("*"&amp;A6&amp;"*",bs!$B$1:$B$110,),FALSE),0)/IF(LEN($G$6)&gt;4,10000,1)</f>
        <v>0</v>
      </c>
      <c r="E6" s="128">
        <f>ROUND(HLOOKUP($E$3,bs!$C$1:$AA$110,MATCH("*"&amp;A6&amp;"*",bs!$B$1:$B$110,),FALSE),0)/IF(LEN($G$6)&gt;4,10000,1)</f>
        <v>0</v>
      </c>
      <c r="G6" t="s">
        <v>241</v>
      </c>
      <c r="H6" s="129">
        <f>B6+C6+D6+E6</f>
        <v>0</v>
      </c>
      <c r="I6" s="34"/>
    </row>
    <row r="7" ht="15.75" spans="1:8">
      <c r="A7" s="127" t="s">
        <v>242</v>
      </c>
      <c r="B7" s="128">
        <f>ROUND(HLOOKUP($B$3,bs!$C$1:$AA$110,MATCH("*"&amp;A7&amp;"*",bs!$B$1:$B$110,),FALSE),0)/IF(LEN($G$6)&gt;4,10000,1)</f>
        <v>0</v>
      </c>
      <c r="C7" s="128">
        <f>ROUND(HLOOKUP($C$3,bs!$C$1:$AA$110,MATCH("*"&amp;A7&amp;"*",bs!$B$1:$B$110,),FALSE),0)/IF(LEN($G$6)&gt;4,10000,1)</f>
        <v>0</v>
      </c>
      <c r="D7" s="128">
        <f>ROUND(HLOOKUP($D$3,bs!$C$1:$AA$110,MATCH("*"&amp;A7&amp;"*",bs!$B$1:$B$110,),FALSE),0)/IF(LEN($G$6)&gt;4,10000,1)</f>
        <v>0</v>
      </c>
      <c r="E7" s="128">
        <f>ROUND(HLOOKUP($E$3,bs!$C$1:$AA$110,MATCH("*"&amp;A7&amp;"*",bs!$B$1:$B$110,),FALSE),0)/IF(LEN($G$6)&gt;4,10000,1)</f>
        <v>0</v>
      </c>
      <c r="H7" s="129">
        <f t="shared" ref="H7:H70" si="0">B7+C7+D7+E7</f>
        <v>0</v>
      </c>
    </row>
    <row r="8" ht="15.75" spans="1:8">
      <c r="A8" s="127" t="s">
        <v>243</v>
      </c>
      <c r="B8" s="128">
        <f>ROUND(HLOOKUP($B$3,bs!$C$1:$AA$110,MATCH("*"&amp;A8&amp;"*",bs!$B$1:$B$110,),FALSE),0)/IF(LEN($G$6)&gt;4,10000,1)</f>
        <v>0</v>
      </c>
      <c r="C8" s="128">
        <f>ROUND(HLOOKUP($C$3,bs!$C$1:$AA$110,MATCH("*"&amp;A8&amp;"*",bs!$B$1:$B$110,),FALSE),0)/IF(LEN($G$6)&gt;4,10000,1)</f>
        <v>0</v>
      </c>
      <c r="D8" s="128">
        <f>ROUND(HLOOKUP($D$3,bs!$C$1:$AA$110,MATCH("*"&amp;A8&amp;"*",bs!$B$1:$B$110,),FALSE),0)/IF(LEN($G$6)&gt;4,10000,1)</f>
        <v>0</v>
      </c>
      <c r="E8" s="128">
        <f>ROUND(HLOOKUP($E$3,bs!$C$1:$AA$110,MATCH("*"&amp;A8&amp;"*",bs!$B$1:$B$110,),FALSE),0)/IF(LEN($G$6)&gt;4,10000,1)</f>
        <v>0</v>
      </c>
      <c r="H8" s="129">
        <f t="shared" si="0"/>
        <v>0</v>
      </c>
    </row>
    <row r="9" ht="15.75" spans="1:8">
      <c r="A9" s="127" t="s">
        <v>244</v>
      </c>
      <c r="B9" s="128">
        <f>ROUND(HLOOKUP($B$3,bs!$C$1:$AA$110,MATCH("*"&amp;A9&amp;"*",bs!$B$1:$B$110,),FALSE),0)/IF(LEN($G$6)&gt;4,10000,1)</f>
        <v>0</v>
      </c>
      <c r="C9" s="128">
        <f>ROUND(HLOOKUP($C$3,bs!$C$1:$AA$110,MATCH("*"&amp;A9&amp;"*",bs!$B$1:$B$110,),FALSE),0)/IF(LEN($G$6)&gt;4,10000,1)</f>
        <v>0</v>
      </c>
      <c r="D9" s="128">
        <f>ROUND(HLOOKUP($D$3,bs!$C$1:$AA$110,MATCH("*"&amp;A9&amp;"*",bs!$B$1:$B$110,),FALSE),0)/IF(LEN($G$6)&gt;4,10000,1)</f>
        <v>0</v>
      </c>
      <c r="E9" s="128">
        <f>ROUND(HLOOKUP($E$3,bs!$C$1:$AA$110,MATCH("*"&amp;A9&amp;"*",bs!$B$1:$B$110,),FALSE),0)/IF(LEN($G$6)&gt;4,10000,1)</f>
        <v>0</v>
      </c>
      <c r="H9" s="129">
        <f t="shared" si="0"/>
        <v>0</v>
      </c>
    </row>
    <row r="10" ht="15.75" spans="1:8">
      <c r="A10" s="127" t="s">
        <v>245</v>
      </c>
      <c r="B10" s="128">
        <f>ROUND(HLOOKUP($B$3,bs!$C$1:$AA$110,MATCH("*"&amp;A10&amp;"*",bs!$B$1:$B$110,),FALSE),0)/IF(LEN($G$6)&gt;4,10000,1)</f>
        <v>0</v>
      </c>
      <c r="C10" s="128">
        <f>ROUND(HLOOKUP($C$3,bs!$C$1:$AA$110,MATCH("*"&amp;A10&amp;"*",bs!$B$1:$B$110,),FALSE),0)/IF(LEN($G$6)&gt;4,10000,1)</f>
        <v>0</v>
      </c>
      <c r="D10" s="128">
        <f>ROUND(HLOOKUP($D$3,bs!$C$1:$AA$110,MATCH("*"&amp;A10&amp;"*",bs!$B$1:$B$110,),FALSE),0)/IF(LEN($G$6)&gt;4,10000,1)</f>
        <v>0</v>
      </c>
      <c r="E10" s="128">
        <f>ROUND(HLOOKUP($E$3,bs!$C$1:$AA$110,MATCH("*"&amp;A10&amp;"*",bs!$B$1:$B$110,),FALSE),0)/IF(LEN($G$6)&gt;4,10000,1)</f>
        <v>0</v>
      </c>
      <c r="H10" s="129">
        <f t="shared" si="0"/>
        <v>0</v>
      </c>
    </row>
    <row r="11" ht="15.75" spans="1:8">
      <c r="A11" s="127" t="s">
        <v>246</v>
      </c>
      <c r="B11" s="128">
        <f>ROUND(HLOOKUP($B$3,bs!$C$1:$AA$110,MATCH("*"&amp;A11&amp;"*",bs!$B$1:$B$110,),FALSE),0)/IF(LEN($G$6)&gt;4,10000,1)</f>
        <v>0</v>
      </c>
      <c r="C11" s="128">
        <f>ROUND(HLOOKUP($C$3,bs!$C$1:$AA$110,MATCH("*"&amp;A11&amp;"*",bs!$B$1:$B$110,),FALSE),0)/IF(LEN($G$6)&gt;4,10000,1)</f>
        <v>0</v>
      </c>
      <c r="D11" s="128">
        <f>ROUND(HLOOKUP($D$3,bs!$C$1:$AA$110,MATCH("*"&amp;A11&amp;"*",bs!$B$1:$B$110,),FALSE),0)/IF(LEN($G$6)&gt;4,10000,1)</f>
        <v>0</v>
      </c>
      <c r="E11" s="128">
        <f>ROUND(HLOOKUP($E$3,bs!$C$1:$AA$110,MATCH("*"&amp;A11&amp;"*",bs!$B$1:$B$110,),FALSE),0)/IF(LEN($G$6)&gt;4,10000,1)</f>
        <v>0</v>
      </c>
      <c r="H11" s="129">
        <f t="shared" si="0"/>
        <v>0</v>
      </c>
    </row>
    <row r="12" ht="15.75" spans="1:8">
      <c r="A12" s="127" t="s">
        <v>247</v>
      </c>
      <c r="B12" s="128">
        <f>ROUND(HLOOKUP($B$3,bs!$C$1:$AA$110,MATCH("*"&amp;A12&amp;"*",bs!$B$1:$B$110,),FALSE),0)/IF(LEN($G$6)&gt;4,10000,1)</f>
        <v>0</v>
      </c>
      <c r="C12" s="128">
        <f>ROUND(HLOOKUP($C$3,bs!$C$1:$AA$110,MATCH("*"&amp;A12&amp;"*",bs!$B$1:$B$110,),FALSE),0)/IF(LEN($G$6)&gt;4,10000,1)</f>
        <v>0</v>
      </c>
      <c r="D12" s="128">
        <f>ROUND(HLOOKUP($D$3,bs!$C$1:$AA$110,MATCH("*"&amp;A12&amp;"*",bs!$B$1:$B$110,),FALSE),0)/IF(LEN($G$6)&gt;4,10000,1)</f>
        <v>0</v>
      </c>
      <c r="E12" s="128">
        <f>ROUND(HLOOKUP($E$3,bs!$C$1:$AA$110,MATCH("*"&amp;A12&amp;"*",bs!$B$1:$B$110,),FALSE),0)/IF(LEN($G$6)&gt;4,10000,1)</f>
        <v>0</v>
      </c>
      <c r="H12" s="129">
        <f t="shared" si="0"/>
        <v>0</v>
      </c>
    </row>
    <row r="13" ht="15.75" spans="1:8">
      <c r="A13" s="127" t="s">
        <v>248</v>
      </c>
      <c r="B13" s="128">
        <f>ROUND(HLOOKUP($B$3,bs!$C$1:$AA$110,MATCH("*"&amp;A13&amp;"*",bs!$B$1:$B$110,),FALSE),0)/IF(LEN($G$6)&gt;4,10000,1)</f>
        <v>0</v>
      </c>
      <c r="C13" s="128">
        <f>ROUND(HLOOKUP($C$3,bs!$C$1:$AA$110,MATCH("*"&amp;A13&amp;"*",bs!$B$1:$B$110,),FALSE),0)/IF(LEN($G$6)&gt;4,10000,1)</f>
        <v>0</v>
      </c>
      <c r="D13" s="128">
        <f>ROUND(HLOOKUP($D$3,bs!$C$1:$AA$110,MATCH("*"&amp;A13&amp;"*",bs!$B$1:$B$110,),FALSE),0)/IF(LEN($G$6)&gt;4,10000,1)</f>
        <v>0</v>
      </c>
      <c r="E13" s="128">
        <f>ROUND(HLOOKUP($E$3,bs!$C$1:$AA$110,MATCH("*"&amp;A13&amp;"*",bs!$B$1:$B$110,),FALSE),0)/IF(LEN($G$6)&gt;4,10000,1)</f>
        <v>0</v>
      </c>
      <c r="H13" s="129">
        <f t="shared" si="0"/>
        <v>0</v>
      </c>
    </row>
    <row r="14" ht="15.75" spans="1:8">
      <c r="A14" s="127" t="s">
        <v>249</v>
      </c>
      <c r="B14" s="128">
        <f>ROUND(HLOOKUP($B$3,bs!$C$1:$AA$110,MATCH("*"&amp;A14&amp;"*",bs!$B$1:$B$110,),FALSE),0)/IF(LEN($G$6)&gt;4,10000,1)</f>
        <v>0</v>
      </c>
      <c r="C14" s="128">
        <f>ROUND(HLOOKUP($C$3,bs!$C$1:$AA$110,MATCH("*"&amp;A14&amp;"*",bs!$B$1:$B$110,),FALSE),0)/IF(LEN($G$6)&gt;4,10000,1)</f>
        <v>0</v>
      </c>
      <c r="D14" s="128">
        <f>ROUND(HLOOKUP($D$3,bs!$C$1:$AA$110,MATCH("*"&amp;A14&amp;"*",bs!$B$1:$B$110,),FALSE),0)/IF(LEN($G$6)&gt;4,10000,1)</f>
        <v>0</v>
      </c>
      <c r="E14" s="128">
        <f>ROUND(HLOOKUP($E$3,bs!$C$1:$AA$110,MATCH("*"&amp;A14&amp;"*",bs!$B$1:$B$110,),FALSE),0)/IF(LEN($G$6)&gt;4,10000,1)</f>
        <v>0</v>
      </c>
      <c r="H14" s="129">
        <f t="shared" si="0"/>
        <v>0</v>
      </c>
    </row>
    <row r="15" ht="15.75" spans="1:8">
      <c r="A15" s="127" t="s">
        <v>250</v>
      </c>
      <c r="B15" s="128">
        <f>ROUND(HLOOKUP($B$3,bs!$C$1:$AA$110,MATCH("*"&amp;A15&amp;"*",bs!$B$1:$B$110,),FALSE),0)/IF(LEN($G$6)&gt;4,10000,1)</f>
        <v>0</v>
      </c>
      <c r="C15" s="128">
        <f>ROUND(HLOOKUP($C$3,bs!$C$1:$AA$110,MATCH("*"&amp;A15&amp;"*",bs!$B$1:$B$110,),FALSE),0)/IF(LEN($G$6)&gt;4,10000,1)</f>
        <v>0</v>
      </c>
      <c r="D15" s="128">
        <f>ROUND(HLOOKUP($D$3,bs!$C$1:$AA$110,MATCH("*"&amp;A15&amp;"*",bs!$B$1:$B$110,),FALSE),0)/IF(LEN($G$6)&gt;4,10000,1)</f>
        <v>0</v>
      </c>
      <c r="E15" s="128">
        <f>ROUND(HLOOKUP($E$3,bs!$C$1:$AA$110,MATCH("*"&amp;A15&amp;"*",bs!$B$1:$B$110,),FALSE),0)/IF(LEN($G$6)&gt;4,10000,1)</f>
        <v>0</v>
      </c>
      <c r="H15" s="129">
        <f t="shared" si="0"/>
        <v>0</v>
      </c>
    </row>
    <row r="16" ht="15.75" spans="1:8">
      <c r="A16" s="127" t="s">
        <v>251</v>
      </c>
      <c r="B16" s="128">
        <f>ROUND(HLOOKUP($B$3,bs!$C$1:$AA$110,MATCH("*"&amp;A16&amp;"*",bs!$B$1:$B$110,),FALSE),0)/IF(LEN($G$6)&gt;4,10000,1)</f>
        <v>0</v>
      </c>
      <c r="C16" s="128">
        <f>ROUND(HLOOKUP($C$3,bs!$C$1:$AA$110,MATCH("*"&amp;A16&amp;"*",bs!$B$1:$B$110,),FALSE),0)/IF(LEN($G$6)&gt;4,10000,1)</f>
        <v>0</v>
      </c>
      <c r="D16" s="128">
        <f>ROUND(HLOOKUP($D$3,bs!$C$1:$AA$110,MATCH("*"&amp;A16&amp;"*",bs!$B$1:$B$110,),FALSE),0)/IF(LEN($G$6)&gt;4,10000,1)</f>
        <v>0</v>
      </c>
      <c r="E16" s="128">
        <f>ROUND(HLOOKUP($E$3,bs!$C$1:$AA$110,MATCH("*"&amp;A16&amp;"*",bs!$B$1:$B$110,),FALSE),0)/IF(LEN($G$6)&gt;4,10000,1)</f>
        <v>0</v>
      </c>
      <c r="H16" s="129">
        <f t="shared" si="0"/>
        <v>0</v>
      </c>
    </row>
    <row r="17" ht="15.75" spans="1:8">
      <c r="A17" s="127" t="s">
        <v>252</v>
      </c>
      <c r="B17" s="128">
        <f>ROUND(HLOOKUP($B$3,bs!$C$1:$AA$110,MATCH("*"&amp;A17&amp;"*",bs!$B$1:$B$110,),FALSE),0)/IF(LEN($G$6)&gt;4,10000,1)</f>
        <v>0</v>
      </c>
      <c r="C17" s="128">
        <f>ROUND(HLOOKUP($C$3,bs!$C$1:$AA$110,MATCH("*"&amp;A17&amp;"*",bs!$B$1:$B$110,),FALSE),0)/IF(LEN($G$6)&gt;4,10000,1)</f>
        <v>0</v>
      </c>
      <c r="D17" s="128">
        <f>ROUND(HLOOKUP($D$3,bs!$C$1:$AA$110,MATCH("*"&amp;A17&amp;"*",bs!$B$1:$B$110,),FALSE),0)/IF(LEN($G$6)&gt;4,10000,1)</f>
        <v>0</v>
      </c>
      <c r="E17" s="128">
        <f>ROUND(HLOOKUP($E$3,bs!$C$1:$AA$110,MATCH("*"&amp;A17&amp;"*",bs!$B$1:$B$110,),FALSE),0)/IF(LEN($G$6)&gt;4,10000,1)</f>
        <v>0</v>
      </c>
      <c r="H17" s="129">
        <f t="shared" si="0"/>
        <v>0</v>
      </c>
    </row>
    <row r="18" ht="15.75" spans="1:8">
      <c r="A18" s="127" t="s">
        <v>253</v>
      </c>
      <c r="B18" s="128">
        <f>ROUND(HLOOKUP($B$3,bs!$C$1:$AA$110,MATCH("*"&amp;A18&amp;"*",bs!$B$1:$B$110,),FALSE),0)/IF(LEN($G$6)&gt;4,10000,1)</f>
        <v>0</v>
      </c>
      <c r="C18" s="128">
        <f>ROUND(HLOOKUP($C$3,bs!$C$1:$AA$110,MATCH("*"&amp;A18&amp;"*",bs!$B$1:$B$110,),FALSE),0)/IF(LEN($G$6)&gt;4,10000,1)</f>
        <v>0</v>
      </c>
      <c r="D18" s="128">
        <f>ROUND(HLOOKUP($D$3,bs!$C$1:$AA$110,MATCH("*"&amp;A18&amp;"*",bs!$B$1:$B$110,),FALSE),0)/IF(LEN($G$6)&gt;4,10000,1)</f>
        <v>0</v>
      </c>
      <c r="E18" s="128">
        <f>ROUND(HLOOKUP($E$3,bs!$C$1:$AA$110,MATCH("*"&amp;A18&amp;"*",bs!$B$1:$B$110,),FALSE),0)/IF(LEN($G$6)&gt;4,10000,1)</f>
        <v>0</v>
      </c>
      <c r="H18" s="129">
        <f t="shared" si="0"/>
        <v>0</v>
      </c>
    </row>
    <row r="19" ht="15.75" spans="1:8">
      <c r="A19" s="127" t="s">
        <v>254</v>
      </c>
      <c r="B19" s="128">
        <f>ROUND(HLOOKUP($B$3,bs!$C$1:$AA$110,MATCH("*"&amp;A19&amp;"*",bs!$B$1:$B$110,),FALSE),0)/IF(LEN($G$6)&gt;4,10000,1)</f>
        <v>0</v>
      </c>
      <c r="C19" s="128">
        <f>ROUND(HLOOKUP($C$3,bs!$C$1:$AA$110,MATCH("*"&amp;A19&amp;"*",bs!$B$1:$B$110,),FALSE),0)/IF(LEN($G$6)&gt;4,10000,1)</f>
        <v>0</v>
      </c>
      <c r="D19" s="128">
        <f>ROUND(HLOOKUP($D$3,bs!$C$1:$AA$110,MATCH("*"&amp;A19&amp;"*",bs!$B$1:$B$110,),FALSE),0)/IF(LEN($G$6)&gt;4,10000,1)</f>
        <v>0</v>
      </c>
      <c r="E19" s="128">
        <f>ROUND(HLOOKUP($E$3,bs!$C$1:$AA$110,MATCH("*"&amp;A19&amp;"*",bs!$B$1:$B$110,),FALSE),0)/IF(LEN($G$6)&gt;4,10000,1)</f>
        <v>0</v>
      </c>
      <c r="H19" s="129">
        <f t="shared" si="0"/>
        <v>0</v>
      </c>
    </row>
    <row r="20" ht="15.75" spans="1:8">
      <c r="A20" s="127" t="s">
        <v>255</v>
      </c>
      <c r="B20" s="128">
        <f>ROUND(HLOOKUP($B$3,bs!$C$1:$AA$110,MATCH("*"&amp;A20&amp;"*",bs!$B$1:$B$110,),FALSE),0)/IF(LEN($G$6)&gt;4,10000,1)</f>
        <v>0</v>
      </c>
      <c r="C20" s="128">
        <f>ROUND(HLOOKUP($C$3,bs!$C$1:$AA$110,MATCH("*"&amp;A20&amp;"*",bs!$B$1:$B$110,),FALSE),0)/IF(LEN($G$6)&gt;4,10000,1)</f>
        <v>0</v>
      </c>
      <c r="D20" s="128">
        <f>ROUND(HLOOKUP($D$3,bs!$C$1:$AA$110,MATCH("*"&amp;A20&amp;"*",bs!$B$1:$B$110,),FALSE),0)/IF(LEN($G$6)&gt;4,10000,1)</f>
        <v>0</v>
      </c>
      <c r="E20" s="128">
        <f>ROUND(HLOOKUP($E$3,bs!$C$1:$AA$110,MATCH("*"&amp;A20&amp;"*",bs!$B$1:$B$110,),FALSE),0)/IF(LEN($G$6)&gt;4,10000,1)</f>
        <v>0</v>
      </c>
      <c r="H20" s="129">
        <f t="shared" si="0"/>
        <v>0</v>
      </c>
    </row>
    <row r="21" ht="15.75" spans="1:8">
      <c r="A21" s="127" t="s">
        <v>256</v>
      </c>
      <c r="B21" s="128">
        <f>ROUND(HLOOKUP($B$3,bs!$C$1:$AA$110,MATCH("*"&amp;A21&amp;"*",bs!$B$1:$B$110,),FALSE),0)/IF(LEN($G$6)&gt;4,10000,1)</f>
        <v>0</v>
      </c>
      <c r="C21" s="128">
        <f>ROUND(HLOOKUP($C$3,bs!$C$1:$AA$110,MATCH("*"&amp;A21&amp;"*",bs!$B$1:$B$110,),FALSE),0)/IF(LEN($G$6)&gt;4,10000,1)</f>
        <v>0</v>
      </c>
      <c r="D21" s="128">
        <f>ROUND(HLOOKUP($D$3,bs!$C$1:$AA$110,MATCH("*"&amp;A21&amp;"*",bs!$B$1:$B$110,),FALSE),0)/IF(LEN($G$6)&gt;4,10000,1)</f>
        <v>0</v>
      </c>
      <c r="E21" s="128">
        <f>ROUND(HLOOKUP($E$3,bs!$C$1:$AA$110,MATCH("*"&amp;A21&amp;"*",bs!$B$1:$B$110,),FALSE),0)/IF(LEN($G$6)&gt;4,10000,1)</f>
        <v>0</v>
      </c>
      <c r="H21" s="129">
        <f t="shared" si="0"/>
        <v>0</v>
      </c>
    </row>
    <row r="22" ht="15.75" spans="1:8">
      <c r="A22" s="127" t="s">
        <v>257</v>
      </c>
      <c r="B22" s="128">
        <f>ROUND(HLOOKUP($B$3,bs!$C$1:$AA$110,MATCH("*"&amp;A22&amp;"*",bs!$B$1:$B$110,),FALSE),0)/IF(LEN($G$6)&gt;4,10000,1)</f>
        <v>0</v>
      </c>
      <c r="C22" s="128">
        <f>ROUND(HLOOKUP($C$3,bs!$C$1:$AA$110,MATCH("*"&amp;A22&amp;"*",bs!$B$1:$B$110,),FALSE),0)/IF(LEN($G$6)&gt;4,10000,1)</f>
        <v>0</v>
      </c>
      <c r="D22" s="128">
        <f>ROUND(HLOOKUP($D$3,bs!$C$1:$AA$110,MATCH("*"&amp;A22&amp;"*",bs!$B$1:$B$110,),FALSE),0)/IF(LEN($G$6)&gt;4,10000,1)</f>
        <v>0</v>
      </c>
      <c r="E22" s="128">
        <f>ROUND(HLOOKUP($E$3,bs!$C$1:$AA$110,MATCH("*"&amp;A22&amp;"*",bs!$B$1:$B$110,),FALSE),0)/IF(LEN($G$6)&gt;4,10000,1)</f>
        <v>0</v>
      </c>
      <c r="H22" s="129">
        <f t="shared" si="0"/>
        <v>0</v>
      </c>
    </row>
    <row r="23" ht="15.75" spans="1:8">
      <c r="A23" s="127" t="s">
        <v>258</v>
      </c>
      <c r="B23" s="128">
        <f>ROUND(HLOOKUP($B$3,bs!$C$1:$AA$110,MATCH("*"&amp;A23&amp;"*",bs!$B$1:$B$110,),FALSE),0)/IF(LEN($G$6)&gt;4,10000,1)</f>
        <v>0</v>
      </c>
      <c r="C23" s="128">
        <f>ROUND(HLOOKUP($C$3,bs!$C$1:$AA$110,MATCH("*"&amp;A23&amp;"*",bs!$B$1:$B$110,),FALSE),0)/IF(LEN($G$6)&gt;4,10000,1)</f>
        <v>0</v>
      </c>
      <c r="D23" s="128">
        <f>ROUND(HLOOKUP($D$3,bs!$C$1:$AA$110,MATCH("*"&amp;A23&amp;"*",bs!$B$1:$B$110,),FALSE),0)/IF(LEN($G$6)&gt;4,10000,1)</f>
        <v>0</v>
      </c>
      <c r="E23" s="128">
        <f>ROUND(HLOOKUP($E$3,bs!$C$1:$AA$110,MATCH("*"&amp;A23&amp;"*",bs!$B$1:$B$110,),FALSE),0)/IF(LEN($G$6)&gt;4,10000,1)</f>
        <v>0</v>
      </c>
      <c r="H23" s="129">
        <f t="shared" si="0"/>
        <v>0</v>
      </c>
    </row>
    <row r="24" ht="15.75" spans="1:8">
      <c r="A24" s="127" t="s">
        <v>259</v>
      </c>
      <c r="B24" s="128">
        <f>ROUND(HLOOKUP($B$3,bs!$C$1:$AA$110,MATCH("*"&amp;A24&amp;"*",bs!$B$1:$B$110,),FALSE),0)/IF(LEN($G$6)&gt;4,10000,1)</f>
        <v>0</v>
      </c>
      <c r="C24" s="128">
        <f>ROUND(HLOOKUP($C$3,bs!$C$1:$AA$110,MATCH("*"&amp;A24&amp;"*",bs!$B$1:$B$110,),FALSE),0)/IF(LEN($G$6)&gt;4,10000,1)</f>
        <v>0</v>
      </c>
      <c r="D24" s="128">
        <f>ROUND(HLOOKUP($D$3,bs!$C$1:$AA$110,MATCH("*"&amp;A24&amp;"*",bs!$B$1:$B$110,),FALSE),0)/IF(LEN($G$6)&gt;4,10000,1)</f>
        <v>0</v>
      </c>
      <c r="E24" s="128">
        <f>ROUND(HLOOKUP($E$3,bs!$C$1:$AA$110,MATCH("*"&amp;A24&amp;"*",bs!$B$1:$B$110,),FALSE),0)/IF(LEN($G$6)&gt;4,10000,1)</f>
        <v>0</v>
      </c>
      <c r="H24" s="129">
        <f t="shared" si="0"/>
        <v>0</v>
      </c>
    </row>
    <row r="25" ht="15.75" spans="1:8">
      <c r="A25" s="127" t="s">
        <v>260</v>
      </c>
      <c r="B25" s="128">
        <f>ROUND(HLOOKUP($B$3,bs!$C$1:$AA$110,MATCH("*"&amp;A25&amp;"*",bs!$B$1:$B$110,),FALSE),0)/IF(LEN($G$6)&gt;4,10000,1)</f>
        <v>0</v>
      </c>
      <c r="C25" s="128">
        <f>ROUND(HLOOKUP($C$3,bs!$C$1:$AA$110,MATCH("*"&amp;A25&amp;"*",bs!$B$1:$B$110,),FALSE),0)/IF(LEN($G$6)&gt;4,10000,1)</f>
        <v>0</v>
      </c>
      <c r="D25" s="128">
        <f>ROUND(HLOOKUP($D$3,bs!$C$1:$AA$110,MATCH("*"&amp;A25&amp;"*",bs!$B$1:$B$110,),FALSE),0)/IF(LEN($G$6)&gt;4,10000,1)</f>
        <v>0</v>
      </c>
      <c r="E25" s="128">
        <f>ROUND(HLOOKUP($E$3,bs!$C$1:$AA$110,MATCH("*"&amp;A25&amp;"*",bs!$B$1:$B$110,),FALSE),0)/IF(LEN($G$6)&gt;4,10000,1)</f>
        <v>0</v>
      </c>
      <c r="H25" s="129">
        <f t="shared" si="0"/>
        <v>0</v>
      </c>
    </row>
    <row r="26" ht="15.75" spans="1:8">
      <c r="A26" s="127" t="s">
        <v>261</v>
      </c>
      <c r="B26" s="128">
        <f>ROUND(HLOOKUP($B$3,bs!$C$1:$AA$110,MATCH("*"&amp;A26&amp;"*",bs!$B$1:$B$110,),FALSE),0)/IF(LEN($G$6)&gt;4,10000,1)</f>
        <v>0</v>
      </c>
      <c r="C26" s="128">
        <f>ROUND(HLOOKUP($C$3,bs!$C$1:$AA$110,MATCH("*"&amp;A26&amp;"*",bs!$B$1:$B$110,),FALSE),0)/IF(LEN($G$6)&gt;4,10000,1)</f>
        <v>0</v>
      </c>
      <c r="D26" s="128">
        <f>ROUND(HLOOKUP($D$3,bs!$C$1:$AA$110,MATCH("*"&amp;A26&amp;"*",bs!$B$1:$B$110,),FALSE),0)/IF(LEN($G$6)&gt;4,10000,1)</f>
        <v>0</v>
      </c>
      <c r="E26" s="128">
        <f>ROUND(HLOOKUP($E$3,bs!$C$1:$AA$110,MATCH("*"&amp;A26&amp;"*",bs!$B$1:$B$110,),FALSE),0)/IF(LEN($G$6)&gt;4,10000,1)</f>
        <v>0</v>
      </c>
      <c r="H26" s="129">
        <f t="shared" si="0"/>
        <v>0</v>
      </c>
    </row>
    <row r="27" ht="15.75" spans="1:8">
      <c r="A27" s="130" t="s">
        <v>262</v>
      </c>
      <c r="B27" s="128">
        <f>ROUND(HLOOKUP($B$3,bs!$C$1:$AA$110,MATCH("*"&amp;A27&amp;"*",bs!$B$1:$B$110,),FALSE),0)/IF(LEN($G$6)&gt;4,10000,1)</f>
        <v>0</v>
      </c>
      <c r="C27" s="128">
        <f>ROUND(HLOOKUP($C$3,bs!$C$1:$AA$110,MATCH("*"&amp;A27&amp;"*",bs!$B$1:$B$110,),FALSE),0)/IF(LEN($G$6)&gt;4,10000,1)</f>
        <v>0</v>
      </c>
      <c r="D27" s="128">
        <f>ROUND(HLOOKUP($D$3,bs!$C$1:$AA$110,MATCH("*"&amp;A27&amp;"*",bs!$B$1:$B$110,),FALSE),0)/IF(LEN($G$6)&gt;4,10000,1)</f>
        <v>0</v>
      </c>
      <c r="E27" s="128">
        <f>ROUND(HLOOKUP($E$3,bs!$C$1:$AA$110,MATCH("*"&amp;A27&amp;"*",bs!$B$1:$B$110,),FALSE),0)/IF(LEN($G$6)&gt;4,10000,1)</f>
        <v>0</v>
      </c>
      <c r="H27" s="129">
        <f t="shared" si="0"/>
        <v>0</v>
      </c>
    </row>
    <row r="28" ht="15.75" spans="1:8">
      <c r="A28" s="127" t="s">
        <v>263</v>
      </c>
      <c r="B28" s="128">
        <f>ROUND(HLOOKUP($B$3,bs!$C$1:$AA$110,MATCH("*"&amp;A28&amp;"*",bs!$B$1:$B$110,),FALSE),0)/IF(LEN($G$6)&gt;4,10000,1)</f>
        <v>0</v>
      </c>
      <c r="C28" s="128">
        <f>ROUND(HLOOKUP($C$3,bs!$C$1:$AA$110,MATCH("*"&amp;A28&amp;"*",bs!$B$1:$B$110,),FALSE),0)/IF(LEN($G$6)&gt;4,10000,1)</f>
        <v>0</v>
      </c>
      <c r="D28" s="128">
        <f>ROUND(HLOOKUP($D$3,bs!$C$1:$AA$110,MATCH("*"&amp;A28&amp;"*",bs!$B$1:$B$110,),FALSE),0)/IF(LEN($G$6)&gt;4,10000,1)</f>
        <v>0</v>
      </c>
      <c r="E28" s="128">
        <f>ROUND(HLOOKUP($E$3,bs!$C$1:$AA$110,MATCH("*"&amp;A28&amp;"*",bs!$B$1:$B$110,),FALSE),0)/IF(LEN($G$6)&gt;4,10000,1)</f>
        <v>0</v>
      </c>
      <c r="H28" s="129">
        <f t="shared" si="0"/>
        <v>0</v>
      </c>
    </row>
    <row r="29" ht="15.75" spans="1:8">
      <c r="A29" s="127" t="s">
        <v>264</v>
      </c>
      <c r="B29" s="128">
        <f>ROUND(HLOOKUP($B$3,bs!$C$1:$AA$110,MATCH("*"&amp;A29&amp;"*",bs!$B$1:$B$110,),FALSE),0)/IF(LEN($G$6)&gt;4,10000,1)</f>
        <v>0</v>
      </c>
      <c r="C29" s="128">
        <f>ROUND(HLOOKUP($C$3,bs!$C$1:$AA$110,MATCH("*"&amp;A29&amp;"*",bs!$B$1:$B$110,),FALSE),0)/IF(LEN($G$6)&gt;4,10000,1)</f>
        <v>0</v>
      </c>
      <c r="D29" s="128">
        <f>ROUND(HLOOKUP($D$3,bs!$C$1:$AA$110,MATCH("*"&amp;A29&amp;"*",bs!$B$1:$B$110,),FALSE),0)/IF(LEN($G$6)&gt;4,10000,1)</f>
        <v>0</v>
      </c>
      <c r="E29" s="128">
        <f>ROUND(HLOOKUP($E$3,bs!$C$1:$AA$110,MATCH("*"&amp;A29&amp;"*",bs!$B$1:$B$110,),FALSE),0)/IF(LEN($G$6)&gt;4,10000,1)</f>
        <v>0</v>
      </c>
      <c r="H29" s="129">
        <f t="shared" si="0"/>
        <v>0</v>
      </c>
    </row>
    <row r="30" ht="15.75" spans="1:8">
      <c r="A30" s="127" t="s">
        <v>265</v>
      </c>
      <c r="B30" s="128">
        <f>ROUND(HLOOKUP($B$3,bs!$C$1:$AA$110,MATCH("*"&amp;A30&amp;"*",bs!$B$1:$B$110,),FALSE),0)/IF(LEN($G$6)&gt;4,10000,1)</f>
        <v>0</v>
      </c>
      <c r="C30" s="128">
        <f>ROUND(HLOOKUP($C$3,bs!$C$1:$AA$110,MATCH("*"&amp;A30&amp;"*",bs!$B$1:$B$110,),FALSE),0)/IF(LEN($G$6)&gt;4,10000,1)</f>
        <v>0</v>
      </c>
      <c r="D30" s="128">
        <f>ROUND(HLOOKUP($D$3,bs!$C$1:$AA$110,MATCH("*"&amp;A30&amp;"*",bs!$B$1:$B$110,),FALSE),0)/IF(LEN($G$6)&gt;4,10000,1)</f>
        <v>0</v>
      </c>
      <c r="E30" s="128">
        <f>ROUND(HLOOKUP($E$3,bs!$C$1:$AA$110,MATCH("*"&amp;A30&amp;"*",bs!$B$1:$B$110,),FALSE),0)/IF(LEN($G$6)&gt;4,10000,1)</f>
        <v>0</v>
      </c>
      <c r="H30" s="129">
        <f t="shared" si="0"/>
        <v>0</v>
      </c>
    </row>
    <row r="31" ht="15.75" spans="1:8">
      <c r="A31" s="127" t="s">
        <v>266</v>
      </c>
      <c r="B31" s="128">
        <f>ROUND(HLOOKUP($B$3,bs!$C$1:$AA$110,MATCH("*"&amp;A31&amp;"*",bs!$B$1:$B$110,),FALSE),0)/IF(LEN($G$6)&gt;4,10000,1)</f>
        <v>0</v>
      </c>
      <c r="C31" s="128">
        <f>ROUND(HLOOKUP($C$3,bs!$C$1:$AA$110,MATCH("*"&amp;A31&amp;"*",bs!$B$1:$B$110,),FALSE),0)/IF(LEN($G$6)&gt;4,10000,1)</f>
        <v>0</v>
      </c>
      <c r="D31" s="128">
        <f>ROUND(HLOOKUP($D$3,bs!$C$1:$AA$110,MATCH("*"&amp;A31&amp;"*",bs!$B$1:$B$110,),FALSE),0)/IF(LEN($G$6)&gt;4,10000,1)</f>
        <v>0</v>
      </c>
      <c r="E31" s="128">
        <f>ROUND(HLOOKUP($E$3,bs!$C$1:$AA$110,MATCH("*"&amp;A31&amp;"*",bs!$B$1:$B$110,),FALSE),0)/IF(LEN($G$6)&gt;4,10000,1)</f>
        <v>0</v>
      </c>
      <c r="H31" s="129">
        <f t="shared" si="0"/>
        <v>0</v>
      </c>
    </row>
    <row r="32" ht="15.75" spans="1:8">
      <c r="A32" s="127" t="s">
        <v>267</v>
      </c>
      <c r="B32" s="128">
        <f>ROUND(HLOOKUP($B$3,bs!$C$1:$AA$110,MATCH("*"&amp;A32&amp;"*",bs!$B$1:$B$110,),FALSE),0)/IF(LEN($G$6)&gt;4,10000,1)</f>
        <v>0</v>
      </c>
      <c r="C32" s="128">
        <f>ROUND(HLOOKUP($C$3,bs!$C$1:$AA$110,MATCH("*"&amp;A32&amp;"*",bs!$B$1:$B$110,),FALSE),0)/IF(LEN($G$6)&gt;4,10000,1)</f>
        <v>0</v>
      </c>
      <c r="D32" s="128">
        <f>ROUND(HLOOKUP($D$3,bs!$C$1:$AA$110,MATCH("*"&amp;A32&amp;"*",bs!$B$1:$B$110,),FALSE),0)/IF(LEN($G$6)&gt;4,10000,1)</f>
        <v>0</v>
      </c>
      <c r="E32" s="128">
        <f>ROUND(HLOOKUP($E$3,bs!$C$1:$AA$110,MATCH("*"&amp;A32&amp;"*",bs!$B$1:$B$110,),FALSE),0)/IF(LEN($G$6)&gt;4,10000,1)</f>
        <v>0</v>
      </c>
      <c r="H32" s="129">
        <f t="shared" si="0"/>
        <v>0</v>
      </c>
    </row>
    <row r="33" ht="15.75" spans="1:8">
      <c r="A33" s="127" t="s">
        <v>268</v>
      </c>
      <c r="B33" s="128">
        <f>ROUND(HLOOKUP($B$3,bs!$C$1:$AA$110,MATCH("*"&amp;A33&amp;"*",bs!$B$1:$B$110,),FALSE),0)/IF(LEN($G$6)&gt;4,10000,1)</f>
        <v>0</v>
      </c>
      <c r="C33" s="128">
        <f>ROUND(HLOOKUP($C$3,bs!$C$1:$AA$110,MATCH("*"&amp;A33&amp;"*",bs!$B$1:$B$110,),FALSE),0)/IF(LEN($G$6)&gt;4,10000,1)</f>
        <v>0</v>
      </c>
      <c r="D33" s="128">
        <f>ROUND(HLOOKUP($D$3,bs!$C$1:$AA$110,MATCH("*"&amp;A33&amp;"*",bs!$B$1:$B$110,),FALSE),0)/IF(LEN($G$6)&gt;4,10000,1)</f>
        <v>0</v>
      </c>
      <c r="E33" s="128">
        <f>ROUND(HLOOKUP($E$3,bs!$C$1:$AA$110,MATCH("*"&amp;A33&amp;"*",bs!$B$1:$B$110,),FALSE),0)/IF(LEN($G$6)&gt;4,10000,1)</f>
        <v>0</v>
      </c>
      <c r="H33" s="129">
        <f t="shared" si="0"/>
        <v>0</v>
      </c>
    </row>
    <row r="34" ht="15.75" spans="1:8">
      <c r="A34" s="127" t="s">
        <v>269</v>
      </c>
      <c r="B34" s="128">
        <f>ROUND(HLOOKUP($B$3,bs!$C$1:$AA$110,MATCH("*"&amp;A34&amp;"*",bs!$B$1:$B$110,),FALSE),0)/IF(LEN($G$6)&gt;4,10000,1)</f>
        <v>0</v>
      </c>
      <c r="C34" s="128">
        <f>ROUND(HLOOKUP($C$3,bs!$C$1:$AA$110,MATCH("*"&amp;A34&amp;"*",bs!$B$1:$B$110,),FALSE),0)/IF(LEN($G$6)&gt;4,10000,1)</f>
        <v>0</v>
      </c>
      <c r="D34" s="128">
        <f>ROUND(HLOOKUP($D$3,bs!$C$1:$AA$110,MATCH("*"&amp;A34&amp;"*",bs!$B$1:$B$110,),FALSE),0)/IF(LEN($G$6)&gt;4,10000,1)</f>
        <v>0</v>
      </c>
      <c r="E34" s="128">
        <f>ROUND(HLOOKUP($E$3,bs!$C$1:$AA$110,MATCH("*"&amp;A34&amp;"*",bs!$B$1:$B$110,),FALSE),0)/IF(LEN($G$6)&gt;4,10000,1)</f>
        <v>0</v>
      </c>
      <c r="H34" s="129">
        <f t="shared" si="0"/>
        <v>0</v>
      </c>
    </row>
    <row r="35" ht="15.75" spans="1:8">
      <c r="A35" s="127" t="s">
        <v>270</v>
      </c>
      <c r="B35" s="128">
        <f>ROUND(HLOOKUP($B$3,bs!$C$1:$AA$110,MATCH("*"&amp;A35&amp;"*",bs!$B$1:$B$110,),FALSE),0)/IF(LEN($G$6)&gt;4,10000,1)</f>
        <v>0</v>
      </c>
      <c r="C35" s="128">
        <f>ROUND(HLOOKUP($C$3,bs!$C$1:$AA$110,MATCH("*"&amp;A35&amp;"*",bs!$B$1:$B$110,),FALSE),0)/IF(LEN($G$6)&gt;4,10000,1)</f>
        <v>0</v>
      </c>
      <c r="D35" s="128">
        <f>ROUND(HLOOKUP($D$3,bs!$C$1:$AA$110,MATCH("*"&amp;A35&amp;"*",bs!$B$1:$B$110,),FALSE),0)/IF(LEN($G$6)&gt;4,10000,1)</f>
        <v>0</v>
      </c>
      <c r="E35" s="128">
        <f>ROUND(HLOOKUP($E$3,bs!$C$1:$AA$110,MATCH("*"&amp;A35&amp;"*",bs!$B$1:$B$110,),FALSE),0)/IF(LEN($G$6)&gt;4,10000,1)</f>
        <v>0</v>
      </c>
      <c r="H35" s="129">
        <f t="shared" si="0"/>
        <v>0</v>
      </c>
    </row>
    <row r="36" ht="15.75" spans="1:8">
      <c r="A36" s="127" t="s">
        <v>271</v>
      </c>
      <c r="B36" s="128">
        <f>ROUND(HLOOKUP($B$3,bs!$C$1:$AA$110,MATCH("*"&amp;A36&amp;"*",bs!$B$1:$B$110,),FALSE),0)/IF(LEN($G$6)&gt;4,10000,1)</f>
        <v>0</v>
      </c>
      <c r="C36" s="128">
        <f>ROUND(HLOOKUP($C$3,bs!$C$1:$AA$110,MATCH("*"&amp;A36&amp;"*",bs!$B$1:$B$110,),FALSE),0)/IF(LEN($G$6)&gt;4,10000,1)</f>
        <v>0</v>
      </c>
      <c r="D36" s="128">
        <f>ROUND(HLOOKUP($D$3,bs!$C$1:$AA$110,MATCH("*"&amp;A36&amp;"*",bs!$B$1:$B$110,),FALSE),0)/IF(LEN($G$6)&gt;4,10000,1)</f>
        <v>0</v>
      </c>
      <c r="E36" s="128">
        <f>ROUND(HLOOKUP($E$3,bs!$C$1:$AA$110,MATCH("*"&amp;A36&amp;"*",bs!$B$1:$B$110,),FALSE),0)/IF(LEN($G$6)&gt;4,10000,1)</f>
        <v>0</v>
      </c>
      <c r="H36" s="129">
        <f t="shared" si="0"/>
        <v>0</v>
      </c>
    </row>
    <row r="37" ht="15.75" spans="1:8">
      <c r="A37" s="127" t="s">
        <v>272</v>
      </c>
      <c r="B37" s="128">
        <f>ROUND(HLOOKUP($B$3,bs!$C$1:$AA$110,MATCH("*"&amp;A37&amp;"*",bs!$B$1:$B$110,),FALSE),0)/IF(LEN($G$6)&gt;4,10000,1)</f>
        <v>0</v>
      </c>
      <c r="C37" s="128">
        <f>ROUND(HLOOKUP($C$3,bs!$C$1:$AA$110,MATCH("*"&amp;A37&amp;"*",bs!$B$1:$B$110,),FALSE),0)/IF(LEN($G$6)&gt;4,10000,1)</f>
        <v>0</v>
      </c>
      <c r="D37" s="128">
        <f>ROUND(HLOOKUP($D$3,bs!$C$1:$AA$110,MATCH("*"&amp;A37&amp;"*",bs!$B$1:$B$110,),FALSE),0)/IF(LEN($G$6)&gt;4,10000,1)</f>
        <v>0</v>
      </c>
      <c r="E37" s="128">
        <f>ROUND(HLOOKUP($E$3,bs!$C$1:$AA$110,MATCH("*"&amp;A37&amp;"*",bs!$B$1:$B$110,),FALSE),0)/IF(LEN($G$6)&gt;4,10000,1)</f>
        <v>0</v>
      </c>
      <c r="H37" s="129">
        <f t="shared" si="0"/>
        <v>0</v>
      </c>
    </row>
    <row r="38" ht="15.75" spans="1:8">
      <c r="A38" s="127" t="s">
        <v>273</v>
      </c>
      <c r="B38" s="128">
        <f>ROUND(HLOOKUP($B$3,bs!$C$1:$AA$110,MATCH("*"&amp;A38&amp;"*",bs!$B$1:$B$110,),FALSE),0)/IF(LEN($G$6)&gt;4,10000,1)</f>
        <v>0</v>
      </c>
      <c r="C38" s="128">
        <f>ROUND(HLOOKUP($C$3,bs!$C$1:$AA$110,MATCH("*"&amp;A38&amp;"*",bs!$B$1:$B$110,),FALSE),0)/IF(LEN($G$6)&gt;4,10000,1)</f>
        <v>0</v>
      </c>
      <c r="D38" s="128">
        <f>ROUND(HLOOKUP($D$3,bs!$C$1:$AA$110,MATCH("*"&amp;A38&amp;"*",bs!$B$1:$B$110,),FALSE),0)/IF(LEN($G$6)&gt;4,10000,1)</f>
        <v>0</v>
      </c>
      <c r="E38" s="128">
        <f>ROUND(HLOOKUP($E$3,bs!$C$1:$AA$110,MATCH("*"&amp;A38&amp;"*",bs!$B$1:$B$110,),FALSE),0)/IF(LEN($G$6)&gt;4,10000,1)</f>
        <v>0</v>
      </c>
      <c r="H38" s="129">
        <f t="shared" si="0"/>
        <v>0</v>
      </c>
    </row>
    <row r="39" ht="15.75" spans="1:8">
      <c r="A39" s="127" t="s">
        <v>274</v>
      </c>
      <c r="B39" s="128">
        <f>ROUND(HLOOKUP($B$3,bs!$C$1:$AA$110,MATCH("*"&amp;A39&amp;"*",bs!$B$1:$B$110,),FALSE),0)/IF(LEN($G$6)&gt;4,10000,1)</f>
        <v>0</v>
      </c>
      <c r="C39" s="128">
        <f>ROUND(HLOOKUP($C$3,bs!$C$1:$AA$110,MATCH("*"&amp;A39&amp;"*",bs!$B$1:$B$110,),FALSE),0)/IF(LEN($G$6)&gt;4,10000,1)</f>
        <v>0</v>
      </c>
      <c r="D39" s="128">
        <f>ROUND(HLOOKUP($D$3,bs!$C$1:$AA$110,MATCH("*"&amp;A39&amp;"*",bs!$B$1:$B$110,),FALSE),0)/IF(LEN($G$6)&gt;4,10000,1)</f>
        <v>0</v>
      </c>
      <c r="E39" s="128">
        <f>ROUND(HLOOKUP($E$3,bs!$C$1:$AA$110,MATCH("*"&amp;A39&amp;"*",bs!$B$1:$B$110,),FALSE),0)/IF(LEN($G$6)&gt;4,10000,1)</f>
        <v>0</v>
      </c>
      <c r="H39" s="129">
        <f t="shared" si="0"/>
        <v>0</v>
      </c>
    </row>
    <row r="40" ht="15.75" spans="1:8">
      <c r="A40" s="127" t="s">
        <v>275</v>
      </c>
      <c r="B40" s="128">
        <f>ROUND(HLOOKUP($B$3,bs!$C$1:$AA$110,MATCH("*"&amp;A40&amp;"*",bs!$B$1:$B$110,),FALSE),0)/IF(LEN($G$6)&gt;4,10000,1)</f>
        <v>0</v>
      </c>
      <c r="C40" s="128">
        <f>ROUND(HLOOKUP($C$3,bs!$C$1:$AA$110,MATCH("*"&amp;A40&amp;"*",bs!$B$1:$B$110,),FALSE),0)/IF(LEN($G$6)&gt;4,10000,1)</f>
        <v>0</v>
      </c>
      <c r="D40" s="128">
        <f>ROUND(HLOOKUP($D$3,bs!$C$1:$AA$110,MATCH("*"&amp;A40&amp;"*",bs!$B$1:$B$110,),FALSE),0)/IF(LEN($G$6)&gt;4,10000,1)</f>
        <v>0</v>
      </c>
      <c r="E40" s="128">
        <f>ROUND(HLOOKUP($E$3,bs!$C$1:$AA$110,MATCH("*"&amp;A40&amp;"*",bs!$B$1:$B$110,),FALSE),0)/IF(LEN($G$6)&gt;4,10000,1)</f>
        <v>0</v>
      </c>
      <c r="H40" s="129">
        <f t="shared" si="0"/>
        <v>0</v>
      </c>
    </row>
    <row r="41" ht="15.75" spans="1:8">
      <c r="A41" s="127" t="s">
        <v>276</v>
      </c>
      <c r="B41" s="128">
        <f>ROUND(HLOOKUP($B$3,bs!$C$1:$AA$110,MATCH("*"&amp;A41&amp;"*",bs!$B$1:$B$110,),FALSE),0)/IF(LEN($G$6)&gt;4,10000,1)</f>
        <v>0</v>
      </c>
      <c r="C41" s="128">
        <f>ROUND(HLOOKUP($C$3,bs!$C$1:$AA$110,MATCH("*"&amp;A41&amp;"*",bs!$B$1:$B$110,),FALSE),0)/IF(LEN($G$6)&gt;4,10000,1)</f>
        <v>0</v>
      </c>
      <c r="D41" s="128">
        <f>ROUND(HLOOKUP($D$3,bs!$C$1:$AA$110,MATCH("*"&amp;A41&amp;"*",bs!$B$1:$B$110,),FALSE),0)/IF(LEN($G$6)&gt;4,10000,1)</f>
        <v>0</v>
      </c>
      <c r="E41" s="128">
        <f>ROUND(HLOOKUP($E$3,bs!$C$1:$AA$110,MATCH("*"&amp;A41&amp;"*",bs!$B$1:$B$110,),FALSE),0)/IF(LEN($G$6)&gt;4,10000,1)</f>
        <v>0</v>
      </c>
      <c r="H41" s="129">
        <f t="shared" si="0"/>
        <v>0</v>
      </c>
    </row>
    <row r="42" ht="15.75" spans="1:8">
      <c r="A42" s="127" t="s">
        <v>277</v>
      </c>
      <c r="B42" s="128">
        <f>ROUND(HLOOKUP($B$3,bs!$C$1:$AA$110,MATCH("*"&amp;A42&amp;"*",bs!$B$1:$B$110,),FALSE),0)/IF(LEN($G$6)&gt;4,10000,1)</f>
        <v>0</v>
      </c>
      <c r="C42" s="128">
        <f>ROUND(HLOOKUP($C$3,bs!$C$1:$AA$110,MATCH("*"&amp;A42&amp;"*",bs!$B$1:$B$110,),FALSE),0)/IF(LEN($G$6)&gt;4,10000,1)</f>
        <v>0</v>
      </c>
      <c r="D42" s="128">
        <f>ROUND(HLOOKUP($D$3,bs!$C$1:$AA$110,MATCH("*"&amp;A42&amp;"*",bs!$B$1:$B$110,),FALSE),0)/IF(LEN($G$6)&gt;4,10000,1)</f>
        <v>0</v>
      </c>
      <c r="E42" s="128">
        <f>ROUND(HLOOKUP($E$3,bs!$C$1:$AA$110,MATCH("*"&amp;A42&amp;"*",bs!$B$1:$B$110,),FALSE),0)/IF(LEN($G$6)&gt;4,10000,1)</f>
        <v>0</v>
      </c>
      <c r="H42" s="129">
        <f t="shared" si="0"/>
        <v>0</v>
      </c>
    </row>
    <row r="43" ht="15.75" spans="1:8">
      <c r="A43" s="127" t="s">
        <v>278</v>
      </c>
      <c r="B43" s="128">
        <f>ROUND(HLOOKUP($B$3,bs!$C$1:$AA$110,MATCH("*"&amp;A43&amp;"*",bs!$B$1:$B$110,),FALSE),0)/IF(LEN($G$6)&gt;4,10000,1)</f>
        <v>0</v>
      </c>
      <c r="C43" s="128">
        <f>ROUND(HLOOKUP($C$3,bs!$C$1:$AA$110,MATCH("*"&amp;A43&amp;"*",bs!$B$1:$B$110,),FALSE),0)/IF(LEN($G$6)&gt;4,10000,1)</f>
        <v>0</v>
      </c>
      <c r="D43" s="128">
        <f>ROUND(HLOOKUP($D$3,bs!$C$1:$AA$110,MATCH("*"&amp;A43&amp;"*",bs!$B$1:$B$110,),FALSE),0)/IF(LEN($G$6)&gt;4,10000,1)</f>
        <v>0</v>
      </c>
      <c r="E43" s="128">
        <f>ROUND(HLOOKUP($E$3,bs!$C$1:$AA$110,MATCH("*"&amp;A43&amp;"*",bs!$B$1:$B$110,),FALSE),0)/IF(LEN($G$6)&gt;4,10000,1)</f>
        <v>0</v>
      </c>
      <c r="H43" s="129">
        <f t="shared" si="0"/>
        <v>0</v>
      </c>
    </row>
    <row r="44" ht="15.75" spans="1:8">
      <c r="A44" s="127" t="s">
        <v>279</v>
      </c>
      <c r="B44" s="128">
        <f>ROUND(HLOOKUP($B$3,bs!$C$1:$AA$110,MATCH("*"&amp;A44&amp;"*",bs!$B$1:$B$110,),FALSE),0)/IF(LEN($G$6)&gt;4,10000,1)</f>
        <v>0</v>
      </c>
      <c r="C44" s="128">
        <f>ROUND(HLOOKUP($C$3,bs!$C$1:$AA$110,MATCH("*"&amp;A44&amp;"*",bs!$B$1:$B$110,),FALSE),0)/IF(LEN($G$6)&gt;4,10000,1)</f>
        <v>0</v>
      </c>
      <c r="D44" s="128">
        <f>ROUND(HLOOKUP($D$3,bs!$C$1:$AA$110,MATCH("*"&amp;A44&amp;"*",bs!$B$1:$B$110,),FALSE),0)/IF(LEN($G$6)&gt;4,10000,1)</f>
        <v>0</v>
      </c>
      <c r="E44" s="128">
        <f>ROUND(HLOOKUP($E$3,bs!$C$1:$AA$110,MATCH("*"&amp;A44&amp;"*",bs!$B$1:$B$110,),FALSE),0)/IF(LEN($G$6)&gt;4,10000,1)</f>
        <v>0</v>
      </c>
      <c r="H44" s="129">
        <f t="shared" si="0"/>
        <v>0</v>
      </c>
    </row>
    <row r="45" ht="15.75" spans="1:8">
      <c r="A45" s="127" t="s">
        <v>280</v>
      </c>
      <c r="B45" s="128">
        <f>ROUND(HLOOKUP($B$3,bs!$C$1:$AA$110,MATCH("*"&amp;A45&amp;"*",bs!$B$1:$B$110,),FALSE),0)/IF(LEN($G$6)&gt;4,10000,1)</f>
        <v>0</v>
      </c>
      <c r="C45" s="128">
        <f>ROUND(HLOOKUP($C$3,bs!$C$1:$AA$110,MATCH("*"&amp;A45&amp;"*",bs!$B$1:$B$110,),FALSE),0)/IF(LEN($G$6)&gt;4,10000,1)</f>
        <v>0</v>
      </c>
      <c r="D45" s="128">
        <f>ROUND(HLOOKUP($D$3,bs!$C$1:$AA$110,MATCH("*"&amp;A45&amp;"*",bs!$B$1:$B$110,),FALSE),0)/IF(LEN($G$6)&gt;4,10000,1)</f>
        <v>0</v>
      </c>
      <c r="E45" s="128">
        <f>ROUND(HLOOKUP($E$3,bs!$C$1:$AA$110,MATCH("*"&amp;A45&amp;"*",bs!$B$1:$B$110,),FALSE),0)/IF(LEN($G$6)&gt;4,10000,1)</f>
        <v>0</v>
      </c>
      <c r="H45" s="129">
        <f t="shared" si="0"/>
        <v>0</v>
      </c>
    </row>
    <row r="46" ht="15.75" spans="1:8">
      <c r="A46" s="127" t="s">
        <v>281</v>
      </c>
      <c r="B46" s="128">
        <f>ROUND(HLOOKUP($B$3,bs!$C$1:$AA$110,MATCH("*"&amp;A46&amp;"*",bs!$B$1:$B$110,),FALSE),0)/IF(LEN($G$6)&gt;4,10000,1)</f>
        <v>0</v>
      </c>
      <c r="C46" s="128">
        <f>ROUND(HLOOKUP($C$3,bs!$C$1:$AA$110,MATCH("*"&amp;A46&amp;"*",bs!$B$1:$B$110,),FALSE),0)/IF(LEN($G$6)&gt;4,10000,1)</f>
        <v>0</v>
      </c>
      <c r="D46" s="128">
        <f>ROUND(HLOOKUP($D$3,bs!$C$1:$AA$110,MATCH("*"&amp;A46&amp;"*",bs!$B$1:$B$110,),FALSE),0)/IF(LEN($G$6)&gt;4,10000,1)</f>
        <v>0</v>
      </c>
      <c r="E46" s="128">
        <f>ROUND(HLOOKUP($E$3,bs!$C$1:$AA$110,MATCH("*"&amp;A46&amp;"*",bs!$B$1:$B$110,),FALSE),0)/IF(LEN($G$6)&gt;4,10000,1)</f>
        <v>0</v>
      </c>
      <c r="H46" s="129">
        <f t="shared" si="0"/>
        <v>0</v>
      </c>
    </row>
    <row r="47" ht="15.75" spans="1:8">
      <c r="A47" s="127" t="s">
        <v>282</v>
      </c>
      <c r="B47" s="128">
        <f>ROUND(HLOOKUP($B$3,bs!$C$1:$AA$110,MATCH("*"&amp;A47&amp;"*",bs!$B$1:$B$110,),FALSE),0)/IF(LEN($G$6)&gt;4,10000,1)</f>
        <v>0</v>
      </c>
      <c r="C47" s="128">
        <f>ROUND(HLOOKUP($C$3,bs!$C$1:$AA$110,MATCH("*"&amp;A47&amp;"*",bs!$B$1:$B$110,),FALSE),0)/IF(LEN($G$6)&gt;4,10000,1)</f>
        <v>0</v>
      </c>
      <c r="D47" s="128">
        <f>ROUND(HLOOKUP($D$3,bs!$C$1:$AA$110,MATCH("*"&amp;A47&amp;"*",bs!$B$1:$B$110,),FALSE),0)/IF(LEN($G$6)&gt;4,10000,1)</f>
        <v>0</v>
      </c>
      <c r="E47" s="128">
        <f>ROUND(HLOOKUP($E$3,bs!$C$1:$AA$110,MATCH("*"&amp;A47&amp;"*",bs!$B$1:$B$110,),FALSE),0)/IF(LEN($G$6)&gt;4,10000,1)</f>
        <v>0</v>
      </c>
      <c r="H47" s="129">
        <f t="shared" si="0"/>
        <v>0</v>
      </c>
    </row>
    <row r="48" ht="15.75" spans="1:8">
      <c r="A48" s="127" t="s">
        <v>283</v>
      </c>
      <c r="B48" s="128">
        <f>ROUND(HLOOKUP($B$3,bs!$C$1:$AA$110,MATCH("*"&amp;A48&amp;"*",bs!$B$1:$B$110,),FALSE),0)/IF(LEN($G$6)&gt;4,10000,1)</f>
        <v>0</v>
      </c>
      <c r="C48" s="128">
        <f>ROUND(HLOOKUP($C$3,bs!$C$1:$AA$110,MATCH("*"&amp;A48&amp;"*",bs!$B$1:$B$110,),FALSE),0)/IF(LEN($G$6)&gt;4,10000,1)</f>
        <v>0</v>
      </c>
      <c r="D48" s="128">
        <f>ROUND(HLOOKUP($D$3,bs!$C$1:$AA$110,MATCH("*"&amp;A48&amp;"*",bs!$B$1:$B$110,),FALSE),0)/IF(LEN($G$6)&gt;4,10000,1)</f>
        <v>0</v>
      </c>
      <c r="E48" s="128">
        <f>ROUND(HLOOKUP($E$3,bs!$C$1:$AA$110,MATCH("*"&amp;A48&amp;"*",bs!$B$1:$B$110,),FALSE),0)/IF(LEN($G$6)&gt;4,10000,1)</f>
        <v>0</v>
      </c>
      <c r="H48" s="129">
        <f t="shared" si="0"/>
        <v>0</v>
      </c>
    </row>
    <row r="49" ht="15.75" spans="1:8">
      <c r="A49" s="127" t="s">
        <v>284</v>
      </c>
      <c r="B49" s="128">
        <f>ROUND(HLOOKUP($B$3,bs!$C$1:$AA$110,MATCH("*"&amp;A49&amp;"*",bs!$B$1:$B$110,),FALSE),0)/IF(LEN($G$6)&gt;4,10000,1)</f>
        <v>0</v>
      </c>
      <c r="C49" s="128">
        <f>ROUND(HLOOKUP($C$3,bs!$C$1:$AA$110,MATCH("*"&amp;A49&amp;"*",bs!$B$1:$B$110,),FALSE),0)/IF(LEN($G$6)&gt;4,10000,1)</f>
        <v>0</v>
      </c>
      <c r="D49" s="128">
        <f>ROUND(HLOOKUP($D$3,bs!$C$1:$AA$110,MATCH("*"&amp;A49&amp;"*",bs!$B$1:$B$110,),FALSE),0)/IF(LEN($G$6)&gt;4,10000,1)</f>
        <v>0</v>
      </c>
      <c r="E49" s="128">
        <f>ROUND(HLOOKUP($E$3,bs!$C$1:$AA$110,MATCH("*"&amp;A49&amp;"*",bs!$B$1:$B$110,),FALSE),0)/IF(LEN($G$6)&gt;4,10000,1)</f>
        <v>0</v>
      </c>
      <c r="H49" s="129">
        <f t="shared" si="0"/>
        <v>0</v>
      </c>
    </row>
    <row r="50" ht="15.75" spans="1:8">
      <c r="A50" s="127" t="s">
        <v>285</v>
      </c>
      <c r="B50" s="128">
        <f>ROUND(HLOOKUP($B$3,bs!$C$1:$AA$110,MATCH("*"&amp;A50&amp;"*",bs!$B$1:$B$110,),FALSE),0)/IF(LEN($G$6)&gt;4,10000,1)</f>
        <v>0</v>
      </c>
      <c r="C50" s="128">
        <f>ROUND(HLOOKUP($C$3,bs!$C$1:$AA$110,MATCH("*"&amp;A50&amp;"*",bs!$B$1:$B$110,),FALSE),0)/IF(LEN($G$6)&gt;4,10000,1)</f>
        <v>0</v>
      </c>
      <c r="D50" s="128">
        <f>ROUND(HLOOKUP($D$3,bs!$C$1:$AA$110,MATCH("*"&amp;A50&amp;"*",bs!$B$1:$B$110,),FALSE),0)/IF(LEN($G$6)&gt;4,10000,1)</f>
        <v>0</v>
      </c>
      <c r="E50" s="128">
        <f>ROUND(HLOOKUP($E$3,bs!$C$1:$AA$110,MATCH("*"&amp;A50&amp;"*",bs!$B$1:$B$110,),FALSE),0)/IF(LEN($G$6)&gt;4,10000,1)</f>
        <v>0</v>
      </c>
      <c r="H50" s="129">
        <f t="shared" si="0"/>
        <v>0</v>
      </c>
    </row>
    <row r="51" ht="15.75" spans="1:8">
      <c r="A51" s="127" t="s">
        <v>286</v>
      </c>
      <c r="B51" s="128">
        <f>ROUND(HLOOKUP($B$3,bs!$C$1:$AA$110,MATCH("*"&amp;A51&amp;"*",bs!$B$1:$B$110,),FALSE),0)/IF(LEN($G$6)&gt;4,10000,1)</f>
        <v>0</v>
      </c>
      <c r="C51" s="128">
        <f>ROUND(HLOOKUP($C$3,bs!$C$1:$AA$110,MATCH("*"&amp;A51&amp;"*",bs!$B$1:$B$110,),FALSE),0)/IF(LEN($G$6)&gt;4,10000,1)</f>
        <v>0</v>
      </c>
      <c r="D51" s="128">
        <f>ROUND(HLOOKUP($D$3,bs!$C$1:$AA$110,MATCH("*"&amp;A51&amp;"*",bs!$B$1:$B$110,),FALSE),0)/IF(LEN($G$6)&gt;4,10000,1)</f>
        <v>0</v>
      </c>
      <c r="E51" s="128">
        <f>ROUND(HLOOKUP($E$3,bs!$C$1:$AA$110,MATCH("*"&amp;A51&amp;"*",bs!$B$1:$B$110,),FALSE),0)/IF(LEN($G$6)&gt;4,10000,1)</f>
        <v>0</v>
      </c>
      <c r="H51" s="129">
        <f t="shared" si="0"/>
        <v>0</v>
      </c>
    </row>
    <row r="52" ht="15.75" spans="1:8">
      <c r="A52" s="127" t="s">
        <v>287</v>
      </c>
      <c r="B52" s="128">
        <f>ROUND(HLOOKUP($B$3,bs!$C$1:$AA$110,MATCH("*"&amp;A52&amp;"*",bs!$B$1:$B$110,),FALSE),0)/IF(LEN($G$6)&gt;4,10000,1)</f>
        <v>0</v>
      </c>
      <c r="C52" s="128">
        <f>ROUND(HLOOKUP($C$3,bs!$C$1:$AA$110,MATCH("*"&amp;A52&amp;"*",bs!$B$1:$B$110,),FALSE),0)/IF(LEN($G$6)&gt;4,10000,1)</f>
        <v>0</v>
      </c>
      <c r="D52" s="128">
        <f>ROUND(HLOOKUP($D$3,bs!$C$1:$AA$110,MATCH("*"&amp;A52&amp;"*",bs!$B$1:$B$110,),FALSE),0)/IF(LEN($G$6)&gt;4,10000,1)</f>
        <v>0</v>
      </c>
      <c r="E52" s="128">
        <f>ROUND(HLOOKUP($E$3,bs!$C$1:$AA$110,MATCH("*"&amp;A52&amp;"*",bs!$B$1:$B$110,),FALSE),0)/IF(LEN($G$6)&gt;4,10000,1)</f>
        <v>0</v>
      </c>
      <c r="H52" s="129">
        <f t="shared" si="0"/>
        <v>0</v>
      </c>
    </row>
    <row r="53" ht="15.75" spans="1:8">
      <c r="A53" s="127" t="s">
        <v>288</v>
      </c>
      <c r="B53" s="128">
        <f>ROUND(HLOOKUP($B$3,bs!$C$1:$AA$110,MATCH("*"&amp;A53&amp;"*",bs!$B$1:$B$110,),FALSE),0)/IF(LEN($G$6)&gt;4,10000,1)</f>
        <v>0</v>
      </c>
      <c r="C53" s="128">
        <f>ROUND(HLOOKUP($C$3,bs!$C$1:$AA$110,MATCH("*"&amp;A53&amp;"*",bs!$B$1:$B$110,),FALSE),0)/IF(LEN($G$6)&gt;4,10000,1)</f>
        <v>0</v>
      </c>
      <c r="D53" s="128">
        <f>ROUND(HLOOKUP($D$3,bs!$C$1:$AA$110,MATCH("*"&amp;A53&amp;"*",bs!$B$1:$B$110,),FALSE),0)/IF(LEN($G$6)&gt;4,10000,1)</f>
        <v>0</v>
      </c>
      <c r="E53" s="128">
        <f>ROUND(HLOOKUP($E$3,bs!$C$1:$AA$110,MATCH("*"&amp;A53&amp;"*",bs!$B$1:$B$110,),FALSE),0)/IF(LEN($G$6)&gt;4,10000,1)</f>
        <v>0</v>
      </c>
      <c r="H53" s="129">
        <f t="shared" si="0"/>
        <v>0</v>
      </c>
    </row>
    <row r="54" ht="15.75" spans="1:8">
      <c r="A54" s="130" t="s">
        <v>289</v>
      </c>
      <c r="B54" s="128">
        <f>ROUND(HLOOKUP($B$3,bs!$C$1:$AA$110,MATCH("*"&amp;A54&amp;"*",bs!$B$1:$B$110,),FALSE),0)/IF(LEN($G$6)&gt;4,10000,1)</f>
        <v>0</v>
      </c>
      <c r="C54" s="128">
        <f>ROUND(HLOOKUP($C$3,bs!$C$1:$AA$110,MATCH("*"&amp;A54&amp;"*",bs!$B$1:$B$110,),FALSE),0)/IF(LEN($G$6)&gt;4,10000,1)</f>
        <v>0</v>
      </c>
      <c r="D54" s="128">
        <f>ROUND(HLOOKUP($D$3,bs!$C$1:$AA$110,MATCH("*"&amp;A54&amp;"*",bs!$B$1:$B$110,),FALSE),0)/IF(LEN($G$6)&gt;4,10000,1)</f>
        <v>0</v>
      </c>
      <c r="E54" s="128">
        <f>ROUND(HLOOKUP($E$3,bs!$C$1:$AA$110,MATCH("*"&amp;A54&amp;"*",bs!$B$1:$B$110,),FALSE),0)/IF(LEN($G$6)&gt;4,10000,1)</f>
        <v>0</v>
      </c>
      <c r="H54" s="129">
        <f t="shared" si="0"/>
        <v>0</v>
      </c>
    </row>
    <row r="55" ht="15.75" spans="1:8">
      <c r="A55" s="130" t="s">
        <v>290</v>
      </c>
      <c r="B55" s="128">
        <f>ROUND(HLOOKUP($B$3,bs!$C$1:$AA$110,MATCH("*"&amp;A55&amp;"*",bs!$B$1:$B$110,),FALSE),0)/IF(LEN($G$6)&gt;4,10000,1)</f>
        <v>0</v>
      </c>
      <c r="C55" s="128">
        <f>ROUND(HLOOKUP($C$3,bs!$C$1:$AA$110,MATCH("*"&amp;A55&amp;"*",bs!$B$1:$B$110,),FALSE),0)/IF(LEN($G$6)&gt;4,10000,1)</f>
        <v>0</v>
      </c>
      <c r="D55" s="128">
        <f>ROUND(HLOOKUP($D$3,bs!$C$1:$AA$110,MATCH("*"&amp;A55&amp;"*",bs!$B$1:$B$110,),FALSE),0)/IF(LEN($G$6)&gt;4,10000,1)</f>
        <v>0</v>
      </c>
      <c r="E55" s="128">
        <f>ROUND(HLOOKUP($E$3,bs!$C$1:$AA$110,MATCH("*"&amp;A55&amp;"*",bs!$B$1:$B$110,),FALSE),0)/IF(LEN($G$6)&gt;4,10000,1)</f>
        <v>0</v>
      </c>
      <c r="H55" s="129">
        <f t="shared" si="0"/>
        <v>0</v>
      </c>
    </row>
    <row r="56" ht="15.75" spans="1:8">
      <c r="A56" s="127" t="s">
        <v>291</v>
      </c>
      <c r="B56" s="128">
        <f>ROUND(HLOOKUP($B$3,bs!$C$1:$AA$110,MATCH("*"&amp;A56&amp;"*",bs!$B$1:$B$110,),FALSE),0)/IF(LEN($G$6)&gt;4,10000,1)</f>
        <v>0</v>
      </c>
      <c r="C56" s="128">
        <f>ROUND(HLOOKUP($C$3,bs!$C$1:$AA$110,MATCH("*"&amp;A56&amp;"*",bs!$B$1:$B$110,),FALSE),0)/IF(LEN($G$6)&gt;4,10000,1)</f>
        <v>0</v>
      </c>
      <c r="D56" s="128">
        <f>ROUND(HLOOKUP($D$3,bs!$C$1:$AA$110,MATCH("*"&amp;A56&amp;"*",bs!$B$1:$B$110,),FALSE),0)/IF(LEN($G$6)&gt;4,10000,1)</f>
        <v>0</v>
      </c>
      <c r="E56" s="128">
        <f>ROUND(HLOOKUP($E$3,bs!$C$1:$AA$110,MATCH("*"&amp;A56&amp;"*",bs!$B$1:$B$110,),FALSE),0)/IF(LEN($G$6)&gt;4,10000,1)</f>
        <v>0</v>
      </c>
      <c r="H56" s="129">
        <f t="shared" si="0"/>
        <v>0</v>
      </c>
    </row>
    <row r="57" ht="15.75" spans="1:8">
      <c r="A57" s="127" t="s">
        <v>292</v>
      </c>
      <c r="B57" s="128">
        <f>ROUND(HLOOKUP($B$3,bs!$C$1:$AA$110,MATCH("*"&amp;A57&amp;"*",bs!$B$1:$B$110,),FALSE),0)/IF(LEN($G$6)&gt;4,10000,1)</f>
        <v>0</v>
      </c>
      <c r="C57" s="128">
        <f>ROUND(HLOOKUP($C$3,bs!$C$1:$AA$110,MATCH("*"&amp;A57&amp;"*",bs!$B$1:$B$110,),FALSE),0)/IF(LEN($G$6)&gt;4,10000,1)</f>
        <v>0</v>
      </c>
      <c r="D57" s="128">
        <f>ROUND(HLOOKUP($D$3,bs!$C$1:$AA$110,MATCH("*"&amp;A57&amp;"*",bs!$B$1:$B$110,),FALSE),0)/IF(LEN($G$6)&gt;4,10000,1)</f>
        <v>0</v>
      </c>
      <c r="E57" s="128">
        <f>ROUND(HLOOKUP($E$3,bs!$C$1:$AA$110,MATCH("*"&amp;A57&amp;"*",bs!$B$1:$B$110,),FALSE),0)/IF(LEN($G$6)&gt;4,10000,1)</f>
        <v>0</v>
      </c>
      <c r="H57" s="129">
        <f t="shared" si="0"/>
        <v>0</v>
      </c>
    </row>
    <row r="58" ht="15.75" spans="1:8">
      <c r="A58" s="127" t="s">
        <v>293</v>
      </c>
      <c r="B58" s="128">
        <f>ROUND(HLOOKUP($B$3,bs!$C$1:$AA$110,MATCH("*"&amp;A58&amp;"*",bs!$B$1:$B$110,),FALSE),0)/IF(LEN($G$6)&gt;4,10000,1)</f>
        <v>0</v>
      </c>
      <c r="C58" s="128">
        <f>ROUND(HLOOKUP($C$3,bs!$C$1:$AA$110,MATCH("*"&amp;A58&amp;"*",bs!$B$1:$B$110,),FALSE),0)/IF(LEN($G$6)&gt;4,10000,1)</f>
        <v>0</v>
      </c>
      <c r="D58" s="128">
        <f>ROUND(HLOOKUP($D$3,bs!$C$1:$AA$110,MATCH("*"&amp;A58&amp;"*",bs!$B$1:$B$110,),FALSE),0)/IF(LEN($G$6)&gt;4,10000,1)</f>
        <v>0</v>
      </c>
      <c r="E58" s="128">
        <f>ROUND(HLOOKUP($E$3,bs!$C$1:$AA$110,MATCH("*"&amp;A58&amp;"*",bs!$B$1:$B$110,),FALSE),0)/IF(LEN($G$6)&gt;4,10000,1)</f>
        <v>0</v>
      </c>
      <c r="H58" s="129">
        <f t="shared" si="0"/>
        <v>0</v>
      </c>
    </row>
    <row r="59" ht="15.75" spans="1:8">
      <c r="A59" s="127" t="s">
        <v>294</v>
      </c>
      <c r="B59" s="128">
        <f>ROUND(HLOOKUP($B$3,bs!$C$1:$AA$110,MATCH("*"&amp;A59&amp;"*",bs!$B$1:$B$110,),FALSE),0)/IF(LEN($G$6)&gt;4,10000,1)</f>
        <v>0</v>
      </c>
      <c r="C59" s="128">
        <f>ROUND(HLOOKUP($C$3,bs!$C$1:$AA$110,MATCH("*"&amp;A59&amp;"*",bs!$B$1:$B$110,),FALSE),0)/IF(LEN($G$6)&gt;4,10000,1)</f>
        <v>0</v>
      </c>
      <c r="D59" s="128">
        <f>ROUND(HLOOKUP($D$3,bs!$C$1:$AA$110,MATCH("*"&amp;A59&amp;"*",bs!$B$1:$B$110,),FALSE),0)/IF(LEN($G$6)&gt;4,10000,1)</f>
        <v>0</v>
      </c>
      <c r="E59" s="128">
        <f>ROUND(HLOOKUP($E$3,bs!$C$1:$AA$110,MATCH("*"&amp;A59&amp;"*",bs!$B$1:$B$110,),FALSE),0)/IF(LEN($G$6)&gt;4,10000,1)</f>
        <v>0</v>
      </c>
      <c r="H59" s="129">
        <f t="shared" si="0"/>
        <v>0</v>
      </c>
    </row>
    <row r="60" ht="15.75" spans="1:8">
      <c r="A60" s="127" t="s">
        <v>295</v>
      </c>
      <c r="B60" s="128">
        <f>ROUND(HLOOKUP($B$3,bs!$C$1:$AA$110,MATCH("*"&amp;A60&amp;"*",bs!$B$1:$B$110,),FALSE),0)/IF(LEN($G$6)&gt;4,10000,1)</f>
        <v>0</v>
      </c>
      <c r="C60" s="128">
        <f>ROUND(HLOOKUP($C$3,bs!$C$1:$AA$110,MATCH("*"&amp;A60&amp;"*",bs!$B$1:$B$110,),FALSE),0)/IF(LEN($G$6)&gt;4,10000,1)</f>
        <v>0</v>
      </c>
      <c r="D60" s="128">
        <f>ROUND(HLOOKUP($D$3,bs!$C$1:$AA$110,MATCH("*"&amp;A60&amp;"*",bs!$B$1:$B$110,),FALSE),0)/IF(LEN($G$6)&gt;4,10000,1)</f>
        <v>0</v>
      </c>
      <c r="E60" s="128">
        <f>ROUND(HLOOKUP($E$3,bs!$C$1:$AA$110,MATCH("*"&amp;A60&amp;"*",bs!$B$1:$B$110,),FALSE),0)/IF(LEN($G$6)&gt;4,10000,1)</f>
        <v>0</v>
      </c>
      <c r="H60" s="129">
        <f t="shared" si="0"/>
        <v>0</v>
      </c>
    </row>
    <row r="61" ht="15.75" spans="1:8">
      <c r="A61" s="127" t="s">
        <v>296</v>
      </c>
      <c r="B61" s="128">
        <f>ROUND(HLOOKUP($B$3,bs!$C$1:$AA$110,MATCH("*"&amp;A61&amp;"*",bs!$B$1:$B$110,),FALSE),0)/IF(LEN($G$6)&gt;4,10000,1)</f>
        <v>0</v>
      </c>
      <c r="C61" s="128">
        <f>ROUND(HLOOKUP($C$3,bs!$C$1:$AA$110,MATCH("*"&amp;A61&amp;"*",bs!$B$1:$B$110,),FALSE),0)/IF(LEN($G$6)&gt;4,10000,1)</f>
        <v>0</v>
      </c>
      <c r="D61" s="128">
        <f>ROUND(HLOOKUP($D$3,bs!$C$1:$AA$110,MATCH("*"&amp;A61&amp;"*",bs!$B$1:$B$110,),FALSE),0)/IF(LEN($G$6)&gt;4,10000,1)</f>
        <v>0</v>
      </c>
      <c r="E61" s="128">
        <f>ROUND(HLOOKUP($E$3,bs!$C$1:$AA$110,MATCH("*"&amp;A61&amp;"*",bs!$B$1:$B$110,),FALSE),0)/IF(LEN($G$6)&gt;4,10000,1)</f>
        <v>0</v>
      </c>
      <c r="H61" s="129">
        <f t="shared" si="0"/>
        <v>0</v>
      </c>
    </row>
    <row r="62" ht="15.75" spans="1:8">
      <c r="A62" s="127" t="s">
        <v>297</v>
      </c>
      <c r="B62" s="128">
        <f>ROUND(HLOOKUP($B$3,bs!$C$1:$AA$110,MATCH("*"&amp;A62&amp;"*",bs!$B$1:$B$110,),FALSE),0)/IF(LEN($G$6)&gt;4,10000,1)</f>
        <v>0</v>
      </c>
      <c r="C62" s="128">
        <f>ROUND(HLOOKUP($C$3,bs!$C$1:$AA$110,MATCH("*"&amp;A62&amp;"*",bs!$B$1:$B$110,),FALSE),0)/IF(LEN($G$6)&gt;4,10000,1)</f>
        <v>0</v>
      </c>
      <c r="D62" s="128">
        <f>ROUND(HLOOKUP($D$3,bs!$C$1:$AA$110,MATCH("*"&amp;A62&amp;"*",bs!$B$1:$B$110,),FALSE),0)/IF(LEN($G$6)&gt;4,10000,1)</f>
        <v>0</v>
      </c>
      <c r="E62" s="128">
        <f>ROUND(HLOOKUP($E$3,bs!$C$1:$AA$110,MATCH("*"&amp;A62&amp;"*",bs!$B$1:$B$110,),FALSE),0)/IF(LEN($G$6)&gt;4,10000,1)</f>
        <v>0</v>
      </c>
      <c r="H62" s="129">
        <f t="shared" si="0"/>
        <v>0</v>
      </c>
    </row>
    <row r="63" ht="15.75" spans="1:8">
      <c r="A63" s="127" t="s">
        <v>298</v>
      </c>
      <c r="B63" s="128">
        <f>ROUND(HLOOKUP($B$3,bs!$C$1:$AA$110,MATCH("*"&amp;A63&amp;"*",bs!$B$1:$B$110,),FALSE),0)/IF(LEN($G$6)&gt;4,10000,1)</f>
        <v>0</v>
      </c>
      <c r="C63" s="128">
        <f>ROUND(HLOOKUP($C$3,bs!$C$1:$AA$110,MATCH("*"&amp;A63&amp;"*",bs!$B$1:$B$110,),FALSE),0)/IF(LEN($G$6)&gt;4,10000,1)</f>
        <v>0</v>
      </c>
      <c r="D63" s="128">
        <f>ROUND(HLOOKUP($D$3,bs!$C$1:$AA$110,MATCH("*"&amp;A63&amp;"*",bs!$B$1:$B$110,),FALSE),0)/IF(LEN($G$6)&gt;4,10000,1)</f>
        <v>0</v>
      </c>
      <c r="E63" s="128">
        <f>ROUND(HLOOKUP($E$3,bs!$C$1:$AA$110,MATCH("*"&amp;A63&amp;"*",bs!$B$1:$B$110,),FALSE),0)/IF(LEN($G$6)&gt;4,10000,1)</f>
        <v>0</v>
      </c>
      <c r="H63" s="129">
        <f t="shared" si="0"/>
        <v>0</v>
      </c>
    </row>
    <row r="64" ht="15.75" spans="1:8">
      <c r="A64" s="127" t="s">
        <v>299</v>
      </c>
      <c r="B64" s="128">
        <f>ROUND(HLOOKUP($B$3,bs!$C$1:$AA$110,MATCH("*"&amp;A64&amp;"*",bs!$B$1:$B$110,),FALSE),0)/IF(LEN($G$6)&gt;4,10000,1)</f>
        <v>0</v>
      </c>
      <c r="C64" s="128">
        <f>ROUND(HLOOKUP($C$3,bs!$C$1:$AA$110,MATCH("*"&amp;A64&amp;"*",bs!$B$1:$B$110,),FALSE),0)/IF(LEN($G$6)&gt;4,10000,1)</f>
        <v>0</v>
      </c>
      <c r="D64" s="128">
        <f>ROUND(HLOOKUP($D$3,bs!$C$1:$AA$110,MATCH("*"&amp;A64&amp;"*",bs!$B$1:$B$110,),FALSE),0)/IF(LEN($G$6)&gt;4,10000,1)</f>
        <v>0</v>
      </c>
      <c r="E64" s="128">
        <f>ROUND(HLOOKUP($E$3,bs!$C$1:$AA$110,MATCH("*"&amp;A64&amp;"*",bs!$B$1:$B$110,),FALSE),0)/IF(LEN($G$6)&gt;4,10000,1)</f>
        <v>0</v>
      </c>
      <c r="H64" s="129">
        <f t="shared" si="0"/>
        <v>0</v>
      </c>
    </row>
    <row r="65" ht="15.75" spans="1:8">
      <c r="A65" s="127" t="s">
        <v>300</v>
      </c>
      <c r="B65" s="128">
        <f>ROUND(HLOOKUP($B$3,bs!$C$1:$AA$110,MATCH("*"&amp;A65&amp;"*",bs!$B$1:$B$110,),FALSE),0)/IF(LEN($G$6)&gt;4,10000,1)</f>
        <v>0</v>
      </c>
      <c r="C65" s="128">
        <f>ROUND(HLOOKUP($C$3,bs!$C$1:$AA$110,MATCH("*"&amp;A65&amp;"*",bs!$B$1:$B$110,),FALSE),0)/IF(LEN($G$6)&gt;4,10000,1)</f>
        <v>0</v>
      </c>
      <c r="D65" s="128">
        <f>ROUND(HLOOKUP($D$3,bs!$C$1:$AA$110,MATCH("*"&amp;A65&amp;"*",bs!$B$1:$B$110,),FALSE),0)/IF(LEN($G$6)&gt;4,10000,1)</f>
        <v>0</v>
      </c>
      <c r="E65" s="128">
        <f>ROUND(HLOOKUP($E$3,bs!$C$1:$AA$110,MATCH("*"&amp;A65&amp;"*",bs!$B$1:$B$110,),FALSE),0)/IF(LEN($G$6)&gt;4,10000,1)</f>
        <v>0</v>
      </c>
      <c r="H65" s="129">
        <f t="shared" si="0"/>
        <v>0</v>
      </c>
    </row>
    <row r="66" ht="15.75" spans="1:8">
      <c r="A66" s="127" t="s">
        <v>301</v>
      </c>
      <c r="B66" s="128">
        <f>ROUND(HLOOKUP($B$3,bs!$C$1:$AA$110,MATCH("*"&amp;A66&amp;"*",bs!$B$1:$B$110,),FALSE),0)/IF(LEN($G$6)&gt;4,10000,1)</f>
        <v>0</v>
      </c>
      <c r="C66" s="128">
        <f>ROUND(HLOOKUP($C$3,bs!$C$1:$AA$110,MATCH("*"&amp;A66&amp;"*",bs!$B$1:$B$110,),FALSE),0)/IF(LEN($G$6)&gt;4,10000,1)</f>
        <v>0</v>
      </c>
      <c r="D66" s="128">
        <f>ROUND(HLOOKUP($D$3,bs!$C$1:$AA$110,MATCH("*"&amp;A66&amp;"*",bs!$B$1:$B$110,),FALSE),0)/IF(LEN($G$6)&gt;4,10000,1)</f>
        <v>0</v>
      </c>
      <c r="E66" s="128">
        <f>ROUND(HLOOKUP($E$3,bs!$C$1:$AA$110,MATCH("*"&amp;A66&amp;"*",bs!$B$1:$B$110,),FALSE),0)/IF(LEN($G$6)&gt;4,10000,1)</f>
        <v>0</v>
      </c>
      <c r="H66" s="129">
        <f t="shared" si="0"/>
        <v>0</v>
      </c>
    </row>
    <row r="67" ht="15.75" spans="1:8">
      <c r="A67" s="127" t="s">
        <v>302</v>
      </c>
      <c r="B67" s="128">
        <f>ROUND(HLOOKUP($B$3,bs!$C$1:$AA$110,MATCH("*"&amp;A67&amp;"*",bs!$B$1:$B$110,),FALSE),0)/IF(LEN($G$6)&gt;4,10000,1)</f>
        <v>0</v>
      </c>
      <c r="C67" s="128">
        <f>ROUND(HLOOKUP($C$3,bs!$C$1:$AA$110,MATCH("*"&amp;A67&amp;"*",bs!$B$1:$B$110,),FALSE),0)/IF(LEN($G$6)&gt;4,10000,1)</f>
        <v>0</v>
      </c>
      <c r="D67" s="128">
        <f>ROUND(HLOOKUP($D$3,bs!$C$1:$AA$110,MATCH("*"&amp;A67&amp;"*",bs!$B$1:$B$110,),FALSE),0)/IF(LEN($G$6)&gt;4,10000,1)</f>
        <v>0</v>
      </c>
      <c r="E67" s="128">
        <f>ROUND(HLOOKUP($E$3,bs!$C$1:$AA$110,MATCH("*"&amp;A67&amp;"*",bs!$B$1:$B$110,),FALSE),0)/IF(LEN($G$6)&gt;4,10000,1)</f>
        <v>0</v>
      </c>
      <c r="H67" s="129">
        <f t="shared" si="0"/>
        <v>0</v>
      </c>
    </row>
    <row r="68" ht="15.75" spans="1:8">
      <c r="A68" s="127" t="s">
        <v>303</v>
      </c>
      <c r="B68" s="128">
        <f>ROUND(HLOOKUP($B$3,bs!$C$1:$AA$110,MATCH("*"&amp;A68&amp;"*",bs!$B$1:$B$110,),FALSE),0)/IF(LEN($G$6)&gt;4,10000,1)</f>
        <v>0</v>
      </c>
      <c r="C68" s="128">
        <f>ROUND(HLOOKUP($C$3,bs!$C$1:$AA$110,MATCH("*"&amp;A68&amp;"*",bs!$B$1:$B$110,),FALSE),0)/IF(LEN($G$6)&gt;4,10000,1)</f>
        <v>0</v>
      </c>
      <c r="D68" s="128">
        <f>ROUND(HLOOKUP($D$3,bs!$C$1:$AA$110,MATCH("*"&amp;A68&amp;"*",bs!$B$1:$B$110,),FALSE),0)/IF(LEN($G$6)&gt;4,10000,1)</f>
        <v>0</v>
      </c>
      <c r="E68" s="128">
        <f>ROUND(HLOOKUP($E$3,bs!$C$1:$AA$110,MATCH("*"&amp;A68&amp;"*",bs!$B$1:$B$110,),FALSE),0)/IF(LEN($G$6)&gt;4,10000,1)</f>
        <v>0</v>
      </c>
      <c r="H68" s="129">
        <f t="shared" si="0"/>
        <v>0</v>
      </c>
    </row>
    <row r="69" ht="15.75" spans="1:8">
      <c r="A69" s="127" t="s">
        <v>304</v>
      </c>
      <c r="B69" s="128">
        <f>ROUND(HLOOKUP($B$3,bs!$C$1:$AA$110,MATCH("*"&amp;A69&amp;"*",bs!$B$1:$B$110,),FALSE),0)/IF(LEN($G$6)&gt;4,10000,1)</f>
        <v>0</v>
      </c>
      <c r="C69" s="128">
        <f>ROUND(HLOOKUP($C$3,bs!$C$1:$AA$110,MATCH("*"&amp;A69&amp;"*",bs!$B$1:$B$110,),FALSE),0)/IF(LEN($G$6)&gt;4,10000,1)</f>
        <v>0</v>
      </c>
      <c r="D69" s="128">
        <f>ROUND(HLOOKUP($D$3,bs!$C$1:$AA$110,MATCH("*"&amp;A69&amp;"*",bs!$B$1:$B$110,),FALSE),0)/IF(LEN($G$6)&gt;4,10000,1)</f>
        <v>0</v>
      </c>
      <c r="E69" s="128">
        <f>ROUND(HLOOKUP($E$3,bs!$C$1:$AA$110,MATCH("*"&amp;A69&amp;"*",bs!$B$1:$B$110,),FALSE),0)/IF(LEN($G$6)&gt;4,10000,1)</f>
        <v>0</v>
      </c>
      <c r="H69" s="129">
        <f t="shared" si="0"/>
        <v>0</v>
      </c>
    </row>
    <row r="70" ht="15.75" spans="1:8">
      <c r="A70" s="127" t="s">
        <v>305</v>
      </c>
      <c r="B70" s="128">
        <f>ROUND(HLOOKUP($B$3,bs!$C$1:$AA$110,MATCH("*"&amp;A70&amp;"*",bs!$B$1:$B$110,),FALSE),0)/IF(LEN($G$6)&gt;4,10000,1)</f>
        <v>0</v>
      </c>
      <c r="C70" s="128">
        <f>ROUND(HLOOKUP($C$3,bs!$C$1:$AA$110,MATCH("*"&amp;A70&amp;"*",bs!$B$1:$B$110,),FALSE),0)/IF(LEN($G$6)&gt;4,10000,1)</f>
        <v>0</v>
      </c>
      <c r="D70" s="128">
        <f>ROUND(HLOOKUP($D$3,bs!$C$1:$AA$110,MATCH("*"&amp;A70&amp;"*",bs!$B$1:$B$110,),FALSE),0)/IF(LEN($G$6)&gt;4,10000,1)</f>
        <v>0</v>
      </c>
      <c r="E70" s="128">
        <f>ROUND(HLOOKUP($E$3,bs!$C$1:$AA$110,MATCH("*"&amp;A70&amp;"*",bs!$B$1:$B$110,),FALSE),0)/IF(LEN($G$6)&gt;4,10000,1)</f>
        <v>0</v>
      </c>
      <c r="H70" s="129">
        <f t="shared" si="0"/>
        <v>0</v>
      </c>
    </row>
    <row r="71" ht="15.75" spans="1:8">
      <c r="A71" s="127" t="s">
        <v>306</v>
      </c>
      <c r="B71" s="128">
        <f>ROUND(HLOOKUP($B$3,bs!$C$1:$AA$110,MATCH("*"&amp;A71&amp;"*",bs!$B$1:$B$110,),FALSE),0)/IF(LEN($G$6)&gt;4,10000,1)</f>
        <v>0</v>
      </c>
      <c r="C71" s="128">
        <f>ROUND(HLOOKUP($C$3,bs!$C$1:$AA$110,MATCH("*"&amp;A71&amp;"*",bs!$B$1:$B$110,),FALSE),0)/IF(LEN($G$6)&gt;4,10000,1)</f>
        <v>0</v>
      </c>
      <c r="D71" s="128">
        <f>ROUND(HLOOKUP($D$3,bs!$C$1:$AA$110,MATCH("*"&amp;A71&amp;"*",bs!$B$1:$B$110,),FALSE),0)/IF(LEN($G$6)&gt;4,10000,1)</f>
        <v>0</v>
      </c>
      <c r="E71" s="128">
        <f>ROUND(HLOOKUP($E$3,bs!$C$1:$AA$110,MATCH("*"&amp;A71&amp;"*",bs!$B$1:$B$110,),FALSE),0)/IF(LEN($G$6)&gt;4,10000,1)</f>
        <v>0</v>
      </c>
      <c r="H71" s="129">
        <f t="shared" ref="H71:H134" si="1">B71+C71+D71+E71</f>
        <v>0</v>
      </c>
    </row>
    <row r="72" ht="15.75" spans="1:8">
      <c r="A72" s="127" t="s">
        <v>307</v>
      </c>
      <c r="B72" s="128">
        <f>ROUND(HLOOKUP($B$3,bs!$C$1:$AA$110,MATCH("*"&amp;A72&amp;"*",bs!$B$1:$B$110,),FALSE),0)/IF(LEN($G$6)&gt;4,10000,1)</f>
        <v>0</v>
      </c>
      <c r="C72" s="128">
        <f>ROUND(HLOOKUP($C$3,bs!$C$1:$AA$110,MATCH("*"&amp;A72&amp;"*",bs!$B$1:$B$110,),FALSE),0)/IF(LEN($G$6)&gt;4,10000,1)</f>
        <v>0</v>
      </c>
      <c r="D72" s="128">
        <f>ROUND(HLOOKUP($D$3,bs!$C$1:$AA$110,MATCH("*"&amp;A72&amp;"*",bs!$B$1:$B$110,),FALSE),0)/IF(LEN($G$6)&gt;4,10000,1)</f>
        <v>0</v>
      </c>
      <c r="E72" s="128">
        <f>ROUND(HLOOKUP($E$3,bs!$C$1:$AA$110,MATCH("*"&amp;A72&amp;"*",bs!$B$1:$B$110,),FALSE),0)/IF(LEN($G$6)&gt;4,10000,1)</f>
        <v>0</v>
      </c>
      <c r="H72" s="129">
        <f t="shared" si="1"/>
        <v>0</v>
      </c>
    </row>
    <row r="73" ht="15.75" spans="1:8">
      <c r="A73" s="127" t="s">
        <v>308</v>
      </c>
      <c r="B73" s="128">
        <f>ROUND(HLOOKUP($B$3,bs!$C$1:$AA$110,MATCH("*"&amp;A73&amp;"*",bs!$B$1:$B$110,),FALSE),0)/IF(LEN($G$6)&gt;4,10000,1)</f>
        <v>0</v>
      </c>
      <c r="C73" s="128">
        <f>ROUND(HLOOKUP($C$3,bs!$C$1:$AA$110,MATCH("*"&amp;A73&amp;"*",bs!$B$1:$B$110,),FALSE),0)/IF(LEN($G$6)&gt;4,10000,1)</f>
        <v>0</v>
      </c>
      <c r="D73" s="128">
        <f>ROUND(HLOOKUP($D$3,bs!$C$1:$AA$110,MATCH("*"&amp;A73&amp;"*",bs!$B$1:$B$110,),FALSE),0)/IF(LEN($G$6)&gt;4,10000,1)</f>
        <v>0</v>
      </c>
      <c r="E73" s="128">
        <f>ROUND(HLOOKUP($E$3,bs!$C$1:$AA$110,MATCH("*"&amp;A73&amp;"*",bs!$B$1:$B$110,),FALSE),0)/IF(LEN($G$6)&gt;4,10000,1)</f>
        <v>0</v>
      </c>
      <c r="H73" s="129">
        <f t="shared" si="1"/>
        <v>0</v>
      </c>
    </row>
    <row r="74" ht="15.75" spans="1:8">
      <c r="A74" s="127" t="s">
        <v>309</v>
      </c>
      <c r="B74" s="128">
        <f>ROUND(HLOOKUP($B$3,bs!$C$1:$AA$110,MATCH("*"&amp;A74&amp;"*",bs!$B$1:$B$110,),FALSE),0)/IF(LEN($G$6)&gt;4,10000,1)</f>
        <v>0</v>
      </c>
      <c r="C74" s="128">
        <f>ROUND(HLOOKUP($C$3,bs!$C$1:$AA$110,MATCH("*"&amp;A74&amp;"*",bs!$B$1:$B$110,),FALSE),0)/IF(LEN($G$6)&gt;4,10000,1)</f>
        <v>0</v>
      </c>
      <c r="D74" s="128">
        <f>ROUND(HLOOKUP($D$3,bs!$C$1:$AA$110,MATCH("*"&amp;A74&amp;"*",bs!$B$1:$B$110,),FALSE),0)/IF(LEN($G$6)&gt;4,10000,1)</f>
        <v>0</v>
      </c>
      <c r="E74" s="128">
        <f>ROUND(HLOOKUP($E$3,bs!$C$1:$AA$110,MATCH("*"&amp;A74&amp;"*",bs!$B$1:$B$110,),FALSE),0)/IF(LEN($G$6)&gt;4,10000,1)</f>
        <v>0</v>
      </c>
      <c r="H74" s="129">
        <f t="shared" si="1"/>
        <v>0</v>
      </c>
    </row>
    <row r="75" ht="15.75" spans="1:8">
      <c r="A75" s="127" t="s">
        <v>310</v>
      </c>
      <c r="B75" s="128">
        <f>ROUND(HLOOKUP($B$3,bs!$C$1:$AA$110,MATCH("*"&amp;A75&amp;"*",bs!$B$1:$B$110,),FALSE),0)/IF(LEN($G$6)&gt;4,10000,1)</f>
        <v>0</v>
      </c>
      <c r="C75" s="128">
        <f>ROUND(HLOOKUP($C$3,bs!$C$1:$AA$110,MATCH("*"&amp;A75&amp;"*",bs!$B$1:$B$110,),FALSE),0)/IF(LEN($G$6)&gt;4,10000,1)</f>
        <v>0</v>
      </c>
      <c r="D75" s="128">
        <f>ROUND(HLOOKUP($D$3,bs!$C$1:$AA$110,MATCH("*"&amp;A75&amp;"*",bs!$B$1:$B$110,),FALSE),0)/IF(LEN($G$6)&gt;4,10000,1)</f>
        <v>0</v>
      </c>
      <c r="E75" s="128">
        <f>ROUND(HLOOKUP($E$3,bs!$C$1:$AA$110,MATCH("*"&amp;A75&amp;"*",bs!$B$1:$B$110,),FALSE),0)/IF(LEN($G$6)&gt;4,10000,1)</f>
        <v>0</v>
      </c>
      <c r="H75" s="129">
        <f t="shared" si="1"/>
        <v>0</v>
      </c>
    </row>
    <row r="76" ht="15.75" spans="1:8">
      <c r="A76" s="127" t="s">
        <v>311</v>
      </c>
      <c r="B76" s="128">
        <f>ROUND(HLOOKUP($B$3,bs!$C$1:$AA$110,MATCH("*"&amp;A76&amp;"*",bs!$B$1:$B$110,),FALSE),0)/IF(LEN($G$6)&gt;4,10000,1)</f>
        <v>0</v>
      </c>
      <c r="C76" s="128">
        <f>ROUND(HLOOKUP($C$3,bs!$C$1:$AA$110,MATCH("*"&amp;A76&amp;"*",bs!$B$1:$B$110,),FALSE),0)/IF(LEN($G$6)&gt;4,10000,1)</f>
        <v>0</v>
      </c>
      <c r="D76" s="128">
        <f>ROUND(HLOOKUP($D$3,bs!$C$1:$AA$110,MATCH("*"&amp;A76&amp;"*",bs!$B$1:$B$110,),FALSE),0)/IF(LEN($G$6)&gt;4,10000,1)</f>
        <v>0</v>
      </c>
      <c r="E76" s="128">
        <f>ROUND(HLOOKUP($E$3,bs!$C$1:$AA$110,MATCH("*"&amp;A76&amp;"*",bs!$B$1:$B$110,),FALSE),0)/IF(LEN($G$6)&gt;4,10000,1)</f>
        <v>0</v>
      </c>
      <c r="H76" s="129">
        <f t="shared" si="1"/>
        <v>0</v>
      </c>
    </row>
    <row r="77" ht="15.75" spans="1:8">
      <c r="A77" s="127" t="s">
        <v>312</v>
      </c>
      <c r="B77" s="128">
        <f>ROUND(HLOOKUP($B$3,bs!$C$1:$AA$110,MATCH("*"&amp;A77&amp;"*",bs!$B$1:$B$110,),FALSE),0)/IF(LEN($G$6)&gt;4,10000,1)</f>
        <v>0</v>
      </c>
      <c r="C77" s="128">
        <f>ROUND(HLOOKUP($C$3,bs!$C$1:$AA$110,MATCH("*"&amp;A77&amp;"*",bs!$B$1:$B$110,),FALSE),0)/IF(LEN($G$6)&gt;4,10000,1)</f>
        <v>0</v>
      </c>
      <c r="D77" s="128">
        <f>ROUND(HLOOKUP($D$3,bs!$C$1:$AA$110,MATCH("*"&amp;A77&amp;"*",bs!$B$1:$B$110,),FALSE),0)/IF(LEN($G$6)&gt;4,10000,1)</f>
        <v>0</v>
      </c>
      <c r="E77" s="128">
        <f>ROUND(HLOOKUP($E$3,bs!$C$1:$AA$110,MATCH("*"&amp;A77&amp;"*",bs!$B$1:$B$110,),FALSE),0)/IF(LEN($G$6)&gt;4,10000,1)</f>
        <v>0</v>
      </c>
      <c r="H77" s="129">
        <f t="shared" si="1"/>
        <v>0</v>
      </c>
    </row>
    <row r="78" ht="15.75" spans="1:8">
      <c r="A78" s="127" t="s">
        <v>313</v>
      </c>
      <c r="B78" s="128">
        <f>ROUND(HLOOKUP($B$3,bs!$C$1:$AA$110,MATCH("*"&amp;A78&amp;"*",bs!$B$1:$B$110,),FALSE),0)/IF(LEN($G$6)&gt;4,10000,1)</f>
        <v>0</v>
      </c>
      <c r="C78" s="128">
        <f>ROUND(HLOOKUP($C$3,bs!$C$1:$AA$110,MATCH("*"&amp;A78&amp;"*",bs!$B$1:$B$110,),FALSE),0)/IF(LEN($G$6)&gt;4,10000,1)</f>
        <v>0</v>
      </c>
      <c r="D78" s="128">
        <f>ROUND(HLOOKUP($D$3,bs!$C$1:$AA$110,MATCH("*"&amp;A78&amp;"*",bs!$B$1:$B$110,),FALSE),0)/IF(LEN($G$6)&gt;4,10000,1)</f>
        <v>0</v>
      </c>
      <c r="E78" s="128">
        <f>ROUND(HLOOKUP($E$3,bs!$C$1:$AA$110,MATCH("*"&amp;A78&amp;"*",bs!$B$1:$B$110,),FALSE),0)/IF(LEN($G$6)&gt;4,10000,1)</f>
        <v>0</v>
      </c>
      <c r="H78" s="129">
        <f t="shared" si="1"/>
        <v>0</v>
      </c>
    </row>
    <row r="79" ht="15.75" spans="1:8">
      <c r="A79" s="130" t="s">
        <v>314</v>
      </c>
      <c r="B79" s="128">
        <f>ROUND(HLOOKUP($B$3,bs!$C$1:$AA$110,MATCH("*"&amp;A79&amp;"*",bs!$B$1:$B$110,),FALSE),0)/IF(LEN($G$6)&gt;4,10000,1)</f>
        <v>0</v>
      </c>
      <c r="C79" s="128">
        <f>ROUND(HLOOKUP($C$3,bs!$C$1:$AA$110,MATCH("*"&amp;A79&amp;"*",bs!$B$1:$B$110,),FALSE),0)/IF(LEN($G$6)&gt;4,10000,1)</f>
        <v>0</v>
      </c>
      <c r="D79" s="128">
        <f>ROUND(HLOOKUP($D$3,bs!$C$1:$AA$110,MATCH("*"&amp;A79&amp;"*",bs!$B$1:$B$110,),FALSE),0)/IF(LEN($G$6)&gt;4,10000,1)</f>
        <v>0</v>
      </c>
      <c r="E79" s="128">
        <f>ROUND(HLOOKUP($E$3,bs!$C$1:$AA$110,MATCH("*"&amp;A79&amp;"*",bs!$B$1:$B$110,),FALSE),0)/IF(LEN($G$6)&gt;4,10000,1)</f>
        <v>0</v>
      </c>
      <c r="H79" s="129">
        <f t="shared" si="1"/>
        <v>0</v>
      </c>
    </row>
    <row r="80" ht="15.75" spans="1:8">
      <c r="A80" s="127" t="s">
        <v>315</v>
      </c>
      <c r="B80" s="128">
        <f>ROUND(HLOOKUP($B$3,bs!$C$1:$AA$110,MATCH("*"&amp;A80&amp;"*",bs!$B$1:$B$110,),FALSE),0)/IF(LEN($G$6)&gt;4,10000,1)</f>
        <v>0</v>
      </c>
      <c r="C80" s="128">
        <f>ROUND(HLOOKUP($C$3,bs!$C$1:$AA$110,MATCH("*"&amp;A80&amp;"*",bs!$B$1:$B$110,),FALSE),0)/IF(LEN($G$6)&gt;4,10000,1)</f>
        <v>0</v>
      </c>
      <c r="D80" s="128">
        <f>ROUND(HLOOKUP($D$3,bs!$C$1:$AA$110,MATCH("*"&amp;A80&amp;"*",bs!$B$1:$B$110,),FALSE),0)/IF(LEN($G$6)&gt;4,10000,1)</f>
        <v>0</v>
      </c>
      <c r="E80" s="128">
        <f>ROUND(HLOOKUP($E$3,bs!$C$1:$AA$110,MATCH("*"&amp;A80&amp;"*",bs!$B$1:$B$110,),FALSE),0)/IF(LEN($G$6)&gt;4,10000,1)</f>
        <v>0</v>
      </c>
      <c r="H80" s="129">
        <f t="shared" si="1"/>
        <v>0</v>
      </c>
    </row>
    <row r="81" ht="15.75" spans="1:8">
      <c r="A81" s="127" t="s">
        <v>316</v>
      </c>
      <c r="B81" s="128">
        <f>ROUND(HLOOKUP($B$3,bs!$C$1:$AA$110,MATCH("*"&amp;A81&amp;"*",bs!$B$1:$B$110,),FALSE),0)/IF(LEN($G$6)&gt;4,10000,1)</f>
        <v>0</v>
      </c>
      <c r="C81" s="128">
        <f>ROUND(HLOOKUP($C$3,bs!$C$1:$AA$110,MATCH("*"&amp;A81&amp;"*",bs!$B$1:$B$110,),FALSE),0)/IF(LEN($G$6)&gt;4,10000,1)</f>
        <v>0</v>
      </c>
      <c r="D81" s="128">
        <f>ROUND(HLOOKUP($D$3,bs!$C$1:$AA$110,MATCH("*"&amp;A81&amp;"*",bs!$B$1:$B$110,),FALSE),0)/IF(LEN($G$6)&gt;4,10000,1)</f>
        <v>0</v>
      </c>
      <c r="E81" s="128">
        <f>ROUND(HLOOKUP($E$3,bs!$C$1:$AA$110,MATCH("*"&amp;A81&amp;"*",bs!$B$1:$B$110,),FALSE),0)/IF(LEN($G$6)&gt;4,10000,1)</f>
        <v>0</v>
      </c>
      <c r="H81" s="129">
        <f t="shared" si="1"/>
        <v>0</v>
      </c>
    </row>
    <row r="82" ht="15.75" spans="1:8">
      <c r="A82" s="127" t="s">
        <v>317</v>
      </c>
      <c r="B82" s="128">
        <f>ROUND(HLOOKUP($B$3,bs!$C$1:$AA$110,MATCH("*"&amp;A82&amp;"*",bs!$B$1:$B$110,),FALSE),0)/IF(LEN($G$6)&gt;4,10000,1)</f>
        <v>0</v>
      </c>
      <c r="C82" s="128">
        <f>ROUND(HLOOKUP($C$3,bs!$C$1:$AA$110,MATCH("*"&amp;A82&amp;"*",bs!$B$1:$B$110,),FALSE),0)/IF(LEN($G$6)&gt;4,10000,1)</f>
        <v>0</v>
      </c>
      <c r="D82" s="128">
        <f>ROUND(HLOOKUP($D$3,bs!$C$1:$AA$110,MATCH("*"&amp;A82&amp;"*",bs!$B$1:$B$110,),FALSE),0)/IF(LEN($G$6)&gt;4,10000,1)</f>
        <v>0</v>
      </c>
      <c r="E82" s="128">
        <f>ROUND(HLOOKUP($E$3,bs!$C$1:$AA$110,MATCH("*"&amp;A82&amp;"*",bs!$B$1:$B$110,),FALSE),0)/IF(LEN($G$6)&gt;4,10000,1)</f>
        <v>0</v>
      </c>
      <c r="H82" s="129">
        <f t="shared" si="1"/>
        <v>0</v>
      </c>
    </row>
    <row r="83" ht="15.75" spans="1:8">
      <c r="A83" s="127" t="s">
        <v>98</v>
      </c>
      <c r="B83" s="128">
        <f>ROUND(HLOOKUP($B$3,bs!$C$1:$AA$110,MATCH("*"&amp;A83&amp;"*",bs!$B$1:$B$110,),FALSE),0)/IF(LEN($G$6)&gt;4,10000,1)</f>
        <v>0</v>
      </c>
      <c r="C83" s="128">
        <f>ROUND(HLOOKUP($C$3,bs!$C$1:$AA$110,MATCH("*"&amp;A83&amp;"*",bs!$B$1:$B$110,),FALSE),0)/IF(LEN($G$6)&gt;4,10000,1)</f>
        <v>0</v>
      </c>
      <c r="D83" s="128">
        <f>ROUND(HLOOKUP($D$3,bs!$C$1:$AA$110,MATCH("*"&amp;A83&amp;"*",bs!$B$1:$B$110,),FALSE),0)/IF(LEN($G$6)&gt;4,10000,1)</f>
        <v>0</v>
      </c>
      <c r="E83" s="128">
        <f>ROUND(HLOOKUP($E$3,bs!$C$1:$AA$110,MATCH("*"&amp;A83&amp;"*",bs!$B$1:$B$110,),FALSE),0)/IF(LEN($G$6)&gt;4,10000,1)</f>
        <v>0</v>
      </c>
      <c r="H83" s="129">
        <f t="shared" si="1"/>
        <v>0</v>
      </c>
    </row>
    <row r="84" ht="15.75" spans="1:8">
      <c r="A84" s="127" t="s">
        <v>318</v>
      </c>
      <c r="B84" s="128">
        <f>ROUND(HLOOKUP($B$3,bs!$C$1:$AA$110,MATCH("*"&amp;A84&amp;"*",bs!$B$1:$B$110,),FALSE),0)/IF(LEN($G$6)&gt;4,10000,1)</f>
        <v>0</v>
      </c>
      <c r="C84" s="128">
        <f>ROUND(HLOOKUP($C$3,bs!$C$1:$AA$110,MATCH("*"&amp;A84&amp;"*",bs!$B$1:$B$110,),FALSE),0)/IF(LEN($G$6)&gt;4,10000,1)</f>
        <v>0</v>
      </c>
      <c r="D84" s="128">
        <f>ROUND(HLOOKUP($D$3,bs!$C$1:$AA$110,MATCH("*"&amp;A84&amp;"*",bs!$B$1:$B$110,),FALSE),0)/IF(LEN($G$6)&gt;4,10000,1)</f>
        <v>0</v>
      </c>
      <c r="E84" s="128">
        <f>ROUND(HLOOKUP($E$3,bs!$C$1:$AA$110,MATCH("*"&amp;A84&amp;"*",bs!$B$1:$B$110,),FALSE),0)/IF(LEN($G$6)&gt;4,10000,1)</f>
        <v>0</v>
      </c>
      <c r="H84" s="129">
        <f t="shared" si="1"/>
        <v>0</v>
      </c>
    </row>
    <row r="85" ht="15.75" spans="1:8">
      <c r="A85" s="127" t="s">
        <v>319</v>
      </c>
      <c r="B85" s="128">
        <f>ROUND(HLOOKUP($B$3,bs!$C$1:$AA$110,MATCH("*"&amp;A85&amp;"*",bs!$B$1:$B$110,),FALSE),0)/IF(LEN($G$6)&gt;4,10000,1)</f>
        <v>0</v>
      </c>
      <c r="C85" s="128">
        <f>ROUND(HLOOKUP($C$3,bs!$C$1:$AA$110,MATCH("*"&amp;A85&amp;"*",bs!$B$1:$B$110,),FALSE),0)/IF(LEN($G$6)&gt;4,10000,1)</f>
        <v>0</v>
      </c>
      <c r="D85" s="128">
        <f>ROUND(HLOOKUP($D$3,bs!$C$1:$AA$110,MATCH("*"&amp;A85&amp;"*",bs!$B$1:$B$110,),FALSE),0)/IF(LEN($G$6)&gt;4,10000,1)</f>
        <v>0</v>
      </c>
      <c r="E85" s="128">
        <f>ROUND(HLOOKUP($E$3,bs!$C$1:$AA$110,MATCH("*"&amp;A85&amp;"*",bs!$B$1:$B$110,),FALSE),0)/IF(LEN($G$6)&gt;4,10000,1)</f>
        <v>0</v>
      </c>
      <c r="H85" s="129">
        <f t="shared" si="1"/>
        <v>0</v>
      </c>
    </row>
    <row r="86" ht="15.75" spans="1:8">
      <c r="A86" s="127" t="s">
        <v>320</v>
      </c>
      <c r="B86" s="128">
        <f>ROUND(HLOOKUP($B$3,bs!$C$1:$AA$110,MATCH("*"&amp;A86&amp;"*",bs!$B$1:$B$110,),FALSE),0)/IF(LEN($G$6)&gt;4,10000,1)</f>
        <v>0</v>
      </c>
      <c r="C86" s="128">
        <f>ROUND(HLOOKUP($C$3,bs!$C$1:$AA$110,MATCH("*"&amp;A86&amp;"*",bs!$B$1:$B$110,),FALSE),0)/IF(LEN($G$6)&gt;4,10000,1)</f>
        <v>0</v>
      </c>
      <c r="D86" s="128">
        <f>ROUND(HLOOKUP($D$3,bs!$C$1:$AA$110,MATCH("*"&amp;A86&amp;"*",bs!$B$1:$B$110,),FALSE),0)/IF(LEN($G$6)&gt;4,10000,1)</f>
        <v>0</v>
      </c>
      <c r="E86" s="128">
        <f>ROUND(HLOOKUP($E$3,bs!$C$1:$AA$110,MATCH("*"&amp;A86&amp;"*",bs!$B$1:$B$110,),FALSE),0)/IF(LEN($G$6)&gt;4,10000,1)</f>
        <v>0</v>
      </c>
      <c r="H86" s="129">
        <f t="shared" si="1"/>
        <v>0</v>
      </c>
    </row>
    <row r="87" ht="15.75" spans="1:8">
      <c r="A87" s="127" t="s">
        <v>321</v>
      </c>
      <c r="B87" s="128">
        <f>ROUND(HLOOKUP($B$3,bs!$C$1:$AA$110,MATCH("*"&amp;A87&amp;"*",bs!$B$1:$B$110,),FALSE),0)/IF(LEN($G$6)&gt;4,10000,1)</f>
        <v>0</v>
      </c>
      <c r="C87" s="128">
        <f>ROUND(HLOOKUP($C$3,bs!$C$1:$AA$110,MATCH("*"&amp;A87&amp;"*",bs!$B$1:$B$110,),FALSE),0)/IF(LEN($G$6)&gt;4,10000,1)</f>
        <v>0</v>
      </c>
      <c r="D87" s="128">
        <f>ROUND(HLOOKUP($D$3,bs!$C$1:$AA$110,MATCH("*"&amp;A87&amp;"*",bs!$B$1:$B$110,),FALSE),0)/IF(LEN($G$6)&gt;4,10000,1)</f>
        <v>0</v>
      </c>
      <c r="E87" s="128">
        <f>ROUND(HLOOKUP($E$3,bs!$C$1:$AA$110,MATCH("*"&amp;A87&amp;"*",bs!$B$1:$B$110,),FALSE),0)/IF(LEN($G$6)&gt;4,10000,1)</f>
        <v>0</v>
      </c>
      <c r="H87" s="129">
        <f t="shared" si="1"/>
        <v>0</v>
      </c>
    </row>
    <row r="88" ht="15.75" spans="1:8">
      <c r="A88" s="127" t="s">
        <v>322</v>
      </c>
      <c r="B88" s="128">
        <f>ROUND(HLOOKUP($B$3,bs!$C$1:$AA$110,MATCH("*"&amp;A88&amp;"*",bs!$B$1:$B$110,),FALSE),0)/IF(LEN($G$6)&gt;4,10000,1)</f>
        <v>0</v>
      </c>
      <c r="C88" s="128">
        <f>ROUND(HLOOKUP($C$3,bs!$C$1:$AA$110,MATCH("*"&amp;A88&amp;"*",bs!$B$1:$B$110,),FALSE),0)/IF(LEN($G$6)&gt;4,10000,1)</f>
        <v>0</v>
      </c>
      <c r="D88" s="128">
        <f>ROUND(HLOOKUP($D$3,bs!$C$1:$AA$110,MATCH("*"&amp;A88&amp;"*",bs!$B$1:$B$110,),FALSE),0)/IF(LEN($G$6)&gt;4,10000,1)</f>
        <v>0</v>
      </c>
      <c r="E88" s="128">
        <f>ROUND(HLOOKUP($E$3,bs!$C$1:$AA$110,MATCH("*"&amp;A88&amp;"*",bs!$B$1:$B$110,),FALSE),0)/IF(LEN($G$6)&gt;4,10000,1)</f>
        <v>0</v>
      </c>
      <c r="H88" s="129">
        <f t="shared" si="1"/>
        <v>0</v>
      </c>
    </row>
    <row r="89" ht="15.75" spans="1:8">
      <c r="A89" s="127" t="s">
        <v>323</v>
      </c>
      <c r="B89" s="128">
        <f>ROUND(HLOOKUP($B$3,bs!$C$1:$AA$110,MATCH("*"&amp;A89&amp;"*",bs!$B$1:$B$110,),FALSE),0)/IF(LEN($G$6)&gt;4,10000,1)</f>
        <v>0</v>
      </c>
      <c r="C89" s="128">
        <f>ROUND(HLOOKUP($C$3,bs!$C$1:$AA$110,MATCH("*"&amp;A89&amp;"*",bs!$B$1:$B$110,),FALSE),0)/IF(LEN($G$6)&gt;4,10000,1)</f>
        <v>0</v>
      </c>
      <c r="D89" s="128">
        <f>ROUND(HLOOKUP($D$3,bs!$C$1:$AA$110,MATCH("*"&amp;A89&amp;"*",bs!$B$1:$B$110,),FALSE),0)/IF(LEN($G$6)&gt;4,10000,1)</f>
        <v>0</v>
      </c>
      <c r="E89" s="128">
        <f>ROUND(HLOOKUP($E$3,bs!$C$1:$AA$110,MATCH("*"&amp;A89&amp;"*",bs!$B$1:$B$110,),FALSE),0)/IF(LEN($G$6)&gt;4,10000,1)</f>
        <v>0</v>
      </c>
      <c r="H89" s="129">
        <f t="shared" si="1"/>
        <v>0</v>
      </c>
    </row>
    <row r="90" ht="15.75" spans="1:8">
      <c r="A90" s="127" t="s">
        <v>324</v>
      </c>
      <c r="B90" s="128">
        <f>ROUND(HLOOKUP($B$3,bs!$C$1:$AA$110,MATCH("*"&amp;A90&amp;"*",bs!$B$1:$B$110,),FALSE),0)/IF(LEN($G$6)&gt;4,10000,1)</f>
        <v>0</v>
      </c>
      <c r="C90" s="128">
        <f>ROUND(HLOOKUP($C$3,bs!$C$1:$AA$110,MATCH("*"&amp;A90&amp;"*",bs!$B$1:$B$110,),FALSE),0)/IF(LEN($G$6)&gt;4,10000,1)</f>
        <v>0</v>
      </c>
      <c r="D90" s="128">
        <f>ROUND(HLOOKUP($D$3,bs!$C$1:$AA$110,MATCH("*"&amp;A90&amp;"*",bs!$B$1:$B$110,),FALSE),0)/IF(LEN($G$6)&gt;4,10000,1)</f>
        <v>0</v>
      </c>
      <c r="E90" s="128">
        <f>ROUND(HLOOKUP($E$3,bs!$C$1:$AA$110,MATCH("*"&amp;A90&amp;"*",bs!$B$1:$B$110,),FALSE),0)/IF(LEN($G$6)&gt;4,10000,1)</f>
        <v>0</v>
      </c>
      <c r="H90" s="129">
        <f t="shared" si="1"/>
        <v>0</v>
      </c>
    </row>
    <row r="91" ht="15.75" spans="1:8">
      <c r="A91" s="127" t="s">
        <v>325</v>
      </c>
      <c r="B91" s="128">
        <f>ROUND(HLOOKUP($B$3,bs!$C$1:$AA$110,MATCH("*"&amp;A91&amp;"*",bs!$B$1:$B$110,),FALSE),0)/IF(LEN($G$6)&gt;4,10000,1)</f>
        <v>0</v>
      </c>
      <c r="C91" s="128">
        <f>ROUND(HLOOKUP($C$3,bs!$C$1:$AA$110,MATCH("*"&amp;A91&amp;"*",bs!$B$1:$B$110,),FALSE),0)/IF(LEN($G$6)&gt;4,10000,1)</f>
        <v>0</v>
      </c>
      <c r="D91" s="128">
        <f>ROUND(HLOOKUP($D$3,bs!$C$1:$AA$110,MATCH("*"&amp;A91&amp;"*",bs!$B$1:$B$110,),FALSE),0)/IF(LEN($G$6)&gt;4,10000,1)</f>
        <v>0</v>
      </c>
      <c r="E91" s="128">
        <f>ROUND(HLOOKUP($E$3,bs!$C$1:$AA$110,MATCH("*"&amp;A91&amp;"*",bs!$B$1:$B$110,),FALSE),0)/IF(LEN($G$6)&gt;4,10000,1)</f>
        <v>0</v>
      </c>
      <c r="H91" s="129">
        <f t="shared" si="1"/>
        <v>0</v>
      </c>
    </row>
    <row r="92" ht="15.75" spans="1:8">
      <c r="A92" s="127" t="s">
        <v>326</v>
      </c>
      <c r="B92" s="128">
        <f>ROUND(HLOOKUP($B$3,bs!$C$1:$AA$110,MATCH("*"&amp;A92&amp;"*",bs!$B$1:$B$110,),FALSE),0)/IF(LEN($G$6)&gt;4,10000,1)</f>
        <v>0</v>
      </c>
      <c r="C92" s="128">
        <f>ROUND(HLOOKUP($C$3,bs!$C$1:$AA$110,MATCH("*"&amp;A92&amp;"*",bs!$B$1:$B$110,),FALSE),0)/IF(LEN($G$6)&gt;4,10000,1)</f>
        <v>0</v>
      </c>
      <c r="D92" s="128">
        <f>ROUND(HLOOKUP($D$3,bs!$C$1:$AA$110,MATCH("*"&amp;A92&amp;"*",bs!$B$1:$B$110,),FALSE),0)/IF(LEN($G$6)&gt;4,10000,1)</f>
        <v>0</v>
      </c>
      <c r="E92" s="128">
        <f>ROUND(HLOOKUP($E$3,bs!$C$1:$AA$110,MATCH("*"&amp;A92&amp;"*",bs!$B$1:$B$110,),FALSE),0)/IF(LEN($G$6)&gt;4,10000,1)</f>
        <v>0</v>
      </c>
      <c r="H92" s="129">
        <f t="shared" si="1"/>
        <v>0</v>
      </c>
    </row>
    <row r="93" ht="15.75" spans="1:8">
      <c r="A93" s="130" t="s">
        <v>327</v>
      </c>
      <c r="B93" s="128">
        <f>ROUND(HLOOKUP($B$3,bs!$C$1:$AA$110,MATCH("*"&amp;A93&amp;"*",bs!$B$1:$B$110,),FALSE),0)/IF(LEN($G$6)&gt;4,10000,1)</f>
        <v>0</v>
      </c>
      <c r="C93" s="128">
        <f>ROUND(HLOOKUP($C$3,bs!$C$1:$AA$110,MATCH("*"&amp;A93&amp;"*",bs!$B$1:$B$110,),FALSE),0)/IF(LEN($G$6)&gt;4,10000,1)</f>
        <v>0</v>
      </c>
      <c r="D93" s="128">
        <f>ROUND(HLOOKUP($D$3,bs!$C$1:$AA$110,MATCH("*"&amp;A93&amp;"*",bs!$B$1:$B$110,),FALSE),0)/IF(LEN($G$6)&gt;4,10000,1)</f>
        <v>0</v>
      </c>
      <c r="E93" s="128">
        <f>ROUND(HLOOKUP($E$3,bs!$C$1:$AA$110,MATCH("*"&amp;A93&amp;"*",bs!$B$1:$B$110,),FALSE),0)/IF(LEN($G$6)&gt;4,10000,1)</f>
        <v>0</v>
      </c>
      <c r="H93" s="129">
        <f t="shared" si="1"/>
        <v>0</v>
      </c>
    </row>
    <row r="94" ht="15.75" spans="1:8">
      <c r="A94" s="130" t="s">
        <v>328</v>
      </c>
      <c r="B94" s="128">
        <f>ROUND(HLOOKUP($B$3,bs!$C$1:$AA$110,MATCH("*"&amp;A94,bs!$B$1:$B$110,),FALSE),0)/IF(LEN($G$6)&gt;4,10000,1)</f>
        <v>0</v>
      </c>
      <c r="C94" s="128">
        <f>ROUND(HLOOKUP($C$3,bs!$C$1:$AA$110,MATCH("*"&amp;A94,bs!$B$1:$B$110,),FALSE),0)/IF(LEN($G$6)&gt;4,10000,1)</f>
        <v>0</v>
      </c>
      <c r="D94" s="128">
        <f>ROUND(HLOOKUP($D$3,bs!$C$1:$AA$110,MATCH("*"&amp;A94,bs!$B$1:$B$110,),FALSE),0)/IF(LEN($G$6)&gt;4,10000,1)</f>
        <v>0</v>
      </c>
      <c r="E94" s="128">
        <f>ROUND(HLOOKUP($E$3,bs!$C$1:$AA$110,MATCH("*"&amp;A94,bs!$B$1:$B$110,),FALSE),0)/IF(LEN($G$6)&gt;4,10000,1)</f>
        <v>0</v>
      </c>
      <c r="F94" s="16" t="s">
        <v>329</v>
      </c>
      <c r="H94" s="129">
        <f t="shared" si="1"/>
        <v>0</v>
      </c>
    </row>
    <row r="95" ht="15.75" spans="1:8">
      <c r="A95" s="127" t="s">
        <v>330</v>
      </c>
      <c r="B95" s="128">
        <f>ROUND(HLOOKUP($B$3,bs!$C$1:$AA$110,MATCH("*"&amp;A95&amp;"*",bs!$B$1:$B$110,),FALSE),0)/IF(LEN($G$6)&gt;4,10000,1)</f>
        <v>0</v>
      </c>
      <c r="C95" s="128">
        <f>ROUND(HLOOKUP($C$3,bs!$C$1:$AA$110,MATCH("*"&amp;A95&amp;"*",bs!$B$1:$B$110,),FALSE),0)/IF(LEN($G$6)&gt;4,10000,1)</f>
        <v>0</v>
      </c>
      <c r="D95" s="128">
        <f>ROUND(HLOOKUP($D$3,bs!$C$1:$AA$110,MATCH("*"&amp;A95&amp;"*",bs!$B$1:$B$110,),FALSE),0)/IF(LEN($G$6)&gt;4,10000,1)</f>
        <v>0</v>
      </c>
      <c r="E95" s="128">
        <f>ROUND(HLOOKUP($E$3,bs!$C$1:$AA$110,MATCH("*"&amp;A95&amp;"*",bs!$B$1:$B$110,),FALSE),0)/IF(LEN($G$6)&gt;4,10000,1)</f>
        <v>0</v>
      </c>
      <c r="H95" s="129">
        <f t="shared" si="1"/>
        <v>0</v>
      </c>
    </row>
    <row r="96" ht="15.75" spans="1:8">
      <c r="A96" s="127" t="s">
        <v>331</v>
      </c>
      <c r="B96" s="128">
        <f>ROUND(HLOOKUP($B$3,bs!$C$1:$AA$110,MATCH("*"&amp;A96&amp;"*",bs!$B$1:$B$110,),FALSE),0)/IF(LEN($G$6)&gt;4,10000,1)</f>
        <v>0</v>
      </c>
      <c r="C96" s="128">
        <f>ROUND(HLOOKUP($C$3,bs!$C$1:$AA$110,MATCH("*"&amp;A96&amp;"*",bs!$B$1:$B$110,),FALSE),0)/IF(LEN($G$6)&gt;4,10000,1)</f>
        <v>0</v>
      </c>
      <c r="D96" s="128">
        <f>ROUND(HLOOKUP($D$3,bs!$C$1:$AA$110,MATCH("*"&amp;A96&amp;"*",bs!$B$1:$B$110,),FALSE),0)/IF(LEN($G$6)&gt;4,10000,1)</f>
        <v>0</v>
      </c>
      <c r="E96" s="128">
        <f>ROUND(HLOOKUP($E$3,bs!$C$1:$AA$110,MATCH("*"&amp;A96&amp;"*",bs!$B$1:$B$110,),FALSE),0)/IF(LEN($G$6)&gt;4,10000,1)</f>
        <v>0</v>
      </c>
      <c r="H96" s="129">
        <f t="shared" si="1"/>
        <v>0</v>
      </c>
    </row>
    <row r="97" ht="15.75" spans="1:8">
      <c r="A97" s="127" t="s">
        <v>98</v>
      </c>
      <c r="B97" s="128">
        <f>ROUND(HLOOKUP($B$3,bs!$C$1:$AA$110,MATCH("*"&amp;A97&amp;"*",bs!$B$1:$B$110,),FALSE),0)/IF(LEN($G$6)&gt;4,10000,1)</f>
        <v>0</v>
      </c>
      <c r="C97" s="128">
        <f>ROUND(HLOOKUP($C$3,bs!$C$1:$AA$110,MATCH("*"&amp;A97&amp;"*",bs!$B$1:$B$110,),FALSE),0)/IF(LEN($G$6)&gt;4,10000,1)</f>
        <v>0</v>
      </c>
      <c r="D97" s="128">
        <f>ROUND(HLOOKUP($D$3,bs!$C$1:$AA$110,MATCH("*"&amp;A97&amp;"*",bs!$B$1:$B$110,),FALSE),0)/IF(LEN($G$6)&gt;4,10000,1)</f>
        <v>0</v>
      </c>
      <c r="E97" s="128">
        <f>ROUND(HLOOKUP($E$3,bs!$C$1:$AA$110,MATCH("*"&amp;A97&amp;"*",bs!$B$1:$B$110,),FALSE),0)/IF(LEN($G$6)&gt;4,10000,1)</f>
        <v>0</v>
      </c>
      <c r="H97" s="129">
        <f t="shared" si="1"/>
        <v>0</v>
      </c>
    </row>
    <row r="98" ht="15.75" spans="1:8">
      <c r="A98" s="127" t="s">
        <v>318</v>
      </c>
      <c r="B98" s="128">
        <f>ROUND(HLOOKUP($B$3,bs!$C$1:$AA$110,MATCH("*"&amp;A98&amp;"*",bs!$B$1:$B$110,),FALSE),0)/IF(LEN($G$6)&gt;4,10000,1)</f>
        <v>0</v>
      </c>
      <c r="C98" s="128">
        <f>ROUND(HLOOKUP($C$3,bs!$C$1:$AA$110,MATCH("*"&amp;A98&amp;"*",bs!$B$1:$B$110,),FALSE),0)/IF(LEN($G$6)&gt;4,10000,1)</f>
        <v>0</v>
      </c>
      <c r="D98" s="128">
        <f>ROUND(HLOOKUP($D$3,bs!$C$1:$AA$110,MATCH("*"&amp;A98&amp;"*",bs!$B$1:$B$110,),FALSE),0)/IF(LEN($G$6)&gt;4,10000,1)</f>
        <v>0</v>
      </c>
      <c r="E98" s="128">
        <f>ROUND(HLOOKUP($E$3,bs!$C$1:$AA$110,MATCH("*"&amp;A98&amp;"*",bs!$B$1:$B$110,),FALSE),0)/IF(LEN($G$6)&gt;4,10000,1)</f>
        <v>0</v>
      </c>
      <c r="H98" s="129">
        <f t="shared" si="1"/>
        <v>0</v>
      </c>
    </row>
    <row r="99" ht="15.75" spans="1:8">
      <c r="A99" s="127" t="s">
        <v>332</v>
      </c>
      <c r="B99" s="128">
        <f>ROUND(HLOOKUP($B$3,bs!$C$1:$AA$110,MATCH("*"&amp;A99&amp;"*",bs!$B$1:$B$110,),FALSE),0)/IF(LEN($G$6)&gt;4,10000,1)</f>
        <v>0</v>
      </c>
      <c r="C99" s="128">
        <f>ROUND(HLOOKUP($C$3,bs!$C$1:$AA$110,MATCH("*"&amp;A99&amp;"*",bs!$B$1:$B$110,),FALSE),0)/IF(LEN($G$6)&gt;4,10000,1)</f>
        <v>0</v>
      </c>
      <c r="D99" s="128">
        <f>ROUND(HLOOKUP($D$3,bs!$C$1:$AA$110,MATCH("*"&amp;A99&amp;"*",bs!$B$1:$B$110,),FALSE),0)/IF(LEN($G$6)&gt;4,10000,1)</f>
        <v>0</v>
      </c>
      <c r="E99" s="128">
        <f>ROUND(HLOOKUP($E$3,bs!$C$1:$AA$110,MATCH("*"&amp;A99&amp;"*",bs!$B$1:$B$110,),FALSE),0)/IF(LEN($G$6)&gt;4,10000,1)</f>
        <v>0</v>
      </c>
      <c r="H99" s="129">
        <f t="shared" si="1"/>
        <v>0</v>
      </c>
    </row>
    <row r="100" ht="15.75" spans="1:8">
      <c r="A100" s="127" t="s">
        <v>333</v>
      </c>
      <c r="B100" s="128">
        <f>ROUND(HLOOKUP($B$3,bs!$C$1:$AA$110,MATCH("*"&amp;A100&amp;"*",bs!$B$1:$B$110,),FALSE),0)/IF(LEN($G$6)&gt;4,10000,1)</f>
        <v>0</v>
      </c>
      <c r="C100" s="128">
        <f>ROUND(HLOOKUP($C$3,bs!$C$1:$AA$110,MATCH("*"&amp;A100&amp;"*",bs!$B$1:$B$110,),FALSE),0)/IF(LEN($G$6)&gt;4,10000,1)</f>
        <v>0</v>
      </c>
      <c r="D100" s="128">
        <f>ROUND(HLOOKUP($D$3,bs!$C$1:$AA$110,MATCH("*"&amp;A100&amp;"*",bs!$B$1:$B$110,),FALSE),0)/IF(LEN($G$6)&gt;4,10000,1)</f>
        <v>0</v>
      </c>
      <c r="E100" s="128">
        <f>ROUND(HLOOKUP($E$3,bs!$C$1:$AA$110,MATCH("*"&amp;A100&amp;"*",bs!$B$1:$B$110,),FALSE),0)/IF(LEN($G$6)&gt;4,10000,1)</f>
        <v>0</v>
      </c>
      <c r="H100" s="129">
        <f t="shared" si="1"/>
        <v>0</v>
      </c>
    </row>
    <row r="101" ht="15.75" spans="1:8">
      <c r="A101" s="127" t="s">
        <v>334</v>
      </c>
      <c r="B101" s="128">
        <f>ROUND(HLOOKUP($B$3,bs!$C$1:$AA$110,MATCH("*"&amp;A101&amp;"*",bs!$B$1:$B$110,),FALSE),0)/IF(LEN($G$6)&gt;4,10000,1)</f>
        <v>0</v>
      </c>
      <c r="C101" s="128">
        <f>ROUND(HLOOKUP($C$3,bs!$C$1:$AA$110,MATCH("*"&amp;A101&amp;"*",bs!$B$1:$B$110,),FALSE),0)/IF(LEN($G$6)&gt;4,10000,1)</f>
        <v>0</v>
      </c>
      <c r="D101" s="128">
        <f>ROUND(HLOOKUP($D$3,bs!$C$1:$AA$110,MATCH("*"&amp;A101&amp;"*",bs!$B$1:$B$110,),FALSE),0)/IF(LEN($G$6)&gt;4,10000,1)</f>
        <v>0</v>
      </c>
      <c r="E101" s="128">
        <f>ROUND(HLOOKUP($E$3,bs!$C$1:$AA$110,MATCH("*"&amp;A101&amp;"*",bs!$B$1:$B$110,),FALSE),0)/IF(LEN($G$6)&gt;4,10000,1)</f>
        <v>0</v>
      </c>
      <c r="H101" s="129">
        <f t="shared" si="1"/>
        <v>0</v>
      </c>
    </row>
    <row r="102" ht="15.75" spans="1:8">
      <c r="A102" s="127" t="s">
        <v>335</v>
      </c>
      <c r="B102" s="128">
        <f>ROUND(HLOOKUP($B$3,bs!$C$1:$AA$110,MATCH("*"&amp;A102&amp;"*",bs!$B$1:$B$110,),FALSE),0)/IF(LEN($G$6)&gt;4,10000,1)</f>
        <v>0</v>
      </c>
      <c r="C102" s="128">
        <f>ROUND(HLOOKUP($C$3,bs!$C$1:$AA$110,MATCH("*"&amp;A102&amp;"*",bs!$B$1:$B$110,),FALSE),0)/IF(LEN($G$6)&gt;4,10000,1)</f>
        <v>0</v>
      </c>
      <c r="D102" s="128">
        <f>ROUND(HLOOKUP($D$3,bs!$C$1:$AA$110,MATCH("*"&amp;A102&amp;"*",bs!$B$1:$B$110,),FALSE),0)/IF(LEN($G$6)&gt;4,10000,1)</f>
        <v>0</v>
      </c>
      <c r="E102" s="128">
        <f>ROUND(HLOOKUP($E$3,bs!$C$1:$AA$110,MATCH("*"&amp;A102&amp;"*",bs!$B$1:$B$110,),FALSE),0)/IF(LEN($G$6)&gt;4,10000,1)</f>
        <v>0</v>
      </c>
      <c r="H102" s="129">
        <f t="shared" si="1"/>
        <v>0</v>
      </c>
    </row>
    <row r="103" ht="15.75" spans="1:8">
      <c r="A103" s="127" t="s">
        <v>336</v>
      </c>
      <c r="B103" s="128">
        <f>ROUND(HLOOKUP($B$3,bs!$C$1:$AA$110,MATCH("*"&amp;A103&amp;"*",bs!$B$1:$B$110,),FALSE),0)/IF(LEN($G$6)&gt;4,10000,1)</f>
        <v>0</v>
      </c>
      <c r="C103" s="128">
        <f>ROUND(HLOOKUP($C$3,bs!$C$1:$AA$110,MATCH("*"&amp;A103&amp;"*",bs!$B$1:$B$110,),FALSE),0)/IF(LEN($G$6)&gt;4,10000,1)</f>
        <v>0</v>
      </c>
      <c r="D103" s="128">
        <f>ROUND(HLOOKUP($D$3,bs!$C$1:$AA$110,MATCH("*"&amp;A103&amp;"*",bs!$B$1:$B$110,),FALSE),0)/IF(LEN($G$6)&gt;4,10000,1)</f>
        <v>0</v>
      </c>
      <c r="E103" s="128">
        <f>ROUND(HLOOKUP($E$3,bs!$C$1:$AA$110,MATCH("*"&amp;A103&amp;"*",bs!$B$1:$B$110,),FALSE),0)/IF(LEN($G$6)&gt;4,10000,1)</f>
        <v>0</v>
      </c>
      <c r="H103" s="129">
        <f t="shared" si="1"/>
        <v>0</v>
      </c>
    </row>
    <row r="104" ht="15.75" spans="1:8">
      <c r="A104" s="127" t="s">
        <v>337</v>
      </c>
      <c r="B104" s="128">
        <f>ROUND(HLOOKUP($B$3,bs!$C$1:$AA$110,MATCH("*"&amp;A104&amp;"*",bs!$B$1:$B$110,),FALSE),0)/IF(LEN($G$6)&gt;4,10000,1)</f>
        <v>0</v>
      </c>
      <c r="C104" s="128">
        <f>ROUND(HLOOKUP($C$3,bs!$C$1:$AA$110,MATCH("*"&amp;A104&amp;"*",bs!$B$1:$B$110,),FALSE),0)/IF(LEN($G$6)&gt;4,10000,1)</f>
        <v>0</v>
      </c>
      <c r="D104" s="128">
        <f>ROUND(HLOOKUP($D$3,bs!$C$1:$AA$110,MATCH("*"&amp;A104&amp;"*",bs!$B$1:$B$110,),FALSE),0)/IF(LEN($G$6)&gt;4,10000,1)</f>
        <v>0</v>
      </c>
      <c r="E104" s="128">
        <f>ROUND(HLOOKUP($E$3,bs!$C$1:$AA$110,MATCH("*"&amp;A104&amp;"*",bs!$B$1:$B$110,),FALSE),0)/IF(LEN($G$6)&gt;4,10000,1)</f>
        <v>0</v>
      </c>
      <c r="H104" s="129">
        <f t="shared" si="1"/>
        <v>0</v>
      </c>
    </row>
    <row r="105" ht="15.75" spans="1:8">
      <c r="A105" s="127" t="s">
        <v>338</v>
      </c>
      <c r="B105" s="128">
        <f>ROUND(HLOOKUP($B$3,bs!$C$1:$AA$110,MATCH("*"&amp;A105&amp;"*",bs!$B$1:$B$110,),FALSE),0)/IF(LEN($G$6)&gt;4,10000,1)</f>
        <v>0</v>
      </c>
      <c r="C105" s="128">
        <f>ROUND(HLOOKUP($C$3,bs!$C$1:$AA$110,MATCH("*"&amp;A105&amp;"*",bs!$B$1:$B$110,),FALSE),0)/IF(LEN($G$6)&gt;4,10000,1)</f>
        <v>0</v>
      </c>
      <c r="D105" s="128">
        <f>ROUND(HLOOKUP($D$3,bs!$C$1:$AA$110,MATCH("*"&amp;A105&amp;"*",bs!$B$1:$B$110,),FALSE),0)/IF(LEN($G$6)&gt;4,10000,1)</f>
        <v>0</v>
      </c>
      <c r="E105" s="128">
        <f>ROUND(HLOOKUP($E$3,bs!$C$1:$AA$110,MATCH("*"&amp;A105&amp;"*",bs!$B$1:$B$110,),FALSE),0)/IF(LEN($G$6)&gt;4,10000,1)</f>
        <v>0</v>
      </c>
      <c r="H105" s="129">
        <f t="shared" si="1"/>
        <v>0</v>
      </c>
    </row>
    <row r="106" ht="30.75" spans="1:8">
      <c r="A106" s="127" t="s">
        <v>106</v>
      </c>
      <c r="B106" s="128">
        <f>ROUND(HLOOKUP($B$3,bs!$C$1:$AA$110,MATCH("*"&amp;A106&amp;"*",bs!$B$1:$B$110,),FALSE),0)/IF(LEN($G$6)&gt;4,10000,1)</f>
        <v>0</v>
      </c>
      <c r="C106" s="128">
        <f>ROUND(HLOOKUP($C$3,bs!$C$1:$AA$110,MATCH("*"&amp;A106&amp;"*",bs!$B$1:$B$110,),FALSE),0)/IF(LEN($G$6)&gt;4,10000,1)</f>
        <v>0</v>
      </c>
      <c r="D106" s="128">
        <f>ROUND(HLOOKUP($D$3,bs!$C$1:$AA$110,MATCH("*"&amp;A106&amp;"*",bs!$B$1:$B$110,),FALSE),0)/IF(LEN($G$6)&gt;4,10000,1)</f>
        <v>0</v>
      </c>
      <c r="E106" s="128">
        <f>ROUND(HLOOKUP($E$3,bs!$C$1:$AA$110,MATCH("*"&amp;A106&amp;"*",bs!$B$1:$B$110,),FALSE),0)/IF(LEN($G$6)&gt;4,10000,1)</f>
        <v>0</v>
      </c>
      <c r="H106" s="129">
        <f t="shared" si="1"/>
        <v>0</v>
      </c>
    </row>
    <row r="107" ht="15.75" spans="1:8">
      <c r="A107" s="127" t="s">
        <v>339</v>
      </c>
      <c r="B107" s="128">
        <f>ROUND(HLOOKUP($B$3,bs!$C$1:$AA$110,MATCH("*"&amp;A107&amp;"*",bs!$B$1:$B$110,),FALSE),0)/IF(LEN($G$6)&gt;4,10000,1)</f>
        <v>0</v>
      </c>
      <c r="C107" s="128">
        <f>ROUND(HLOOKUP($C$3,bs!$C$1:$AA$110,MATCH("*"&amp;A107&amp;"*",bs!$B$1:$B$110,),FALSE),0)/IF(LEN($G$6)&gt;4,10000,1)</f>
        <v>0</v>
      </c>
      <c r="D107" s="128">
        <f>ROUND(HLOOKUP($D$3,bs!$C$1:$AA$110,MATCH("*"&amp;A107&amp;"*",bs!$B$1:$B$110,),FALSE),0)/IF(LEN($G$6)&gt;4,10000,1)</f>
        <v>0</v>
      </c>
      <c r="E107" s="128">
        <f>ROUND(HLOOKUP($E$3,bs!$C$1:$AA$110,MATCH("*"&amp;A107&amp;"*",bs!$B$1:$B$110,),FALSE),0)/IF(LEN($G$6)&gt;4,10000,1)</f>
        <v>0</v>
      </c>
      <c r="H107" s="129">
        <f t="shared" si="1"/>
        <v>0</v>
      </c>
    </row>
    <row r="108" ht="30.75" spans="1:8">
      <c r="A108" s="130" t="s">
        <v>340</v>
      </c>
      <c r="B108" s="128">
        <f>ROUND(HLOOKUP($B$3,bs!$C$1:$AA$110,MATCH("*"&amp;A108&amp;"*",bs!$B$1:$B$110,),FALSE),0)/IF(LEN($G$6)&gt;4,10000,1)</f>
        <v>0</v>
      </c>
      <c r="C108" s="128">
        <f>ROUND(HLOOKUP($C$3,bs!$C$1:$AA$110,MATCH("*"&amp;A108&amp;"*",bs!$B$1:$B$110,),FALSE),0)/IF(LEN($G$6)&gt;4,10000,1)</f>
        <v>0</v>
      </c>
      <c r="D108" s="128">
        <f>ROUND(HLOOKUP($D$3,bs!$C$1:$AA$110,MATCH("*"&amp;A108&amp;"*",bs!$B$1:$B$110,),FALSE),0)/IF(LEN($G$6)&gt;4,10000,1)</f>
        <v>0</v>
      </c>
      <c r="E108" s="128">
        <f>ROUND(HLOOKUP($E$3,bs!$C$1:$AA$110,MATCH("*"&amp;A108&amp;"*",bs!$B$1:$B$110,),FALSE),0)/IF(LEN($G$6)&gt;4,10000,1)</f>
        <v>0</v>
      </c>
      <c r="F108" t="str">
        <f>LEFT(A108,5)</f>
        <v> 所有者权</v>
      </c>
      <c r="G108">
        <f>MATCH("*"&amp;LEFT(A108,5)&amp;"*",bs!$B$1:$B$110,)</f>
        <v>109</v>
      </c>
      <c r="H108" s="129">
        <f t="shared" si="1"/>
        <v>0</v>
      </c>
    </row>
    <row r="109" ht="15.75" customHeight="1" spans="1:8">
      <c r="A109" s="126" t="s">
        <v>341</v>
      </c>
      <c r="B109" s="126"/>
      <c r="C109" s="126"/>
      <c r="D109" s="126"/>
      <c r="E109" s="126"/>
      <c r="H109" s="129">
        <f t="shared" si="1"/>
        <v>0</v>
      </c>
    </row>
    <row r="110" ht="15.75" spans="1:8">
      <c r="A110" s="127" t="s">
        <v>342</v>
      </c>
      <c r="B110" s="128">
        <f>ROUND(HLOOKUP($B$3,pl!$C$1:$V$71,MATCH("*"&amp;A110&amp;"*",pl!$B$1:$B$71,),FALSE),0)/IF(LEN($G$6)&gt;4,10000,1)</f>
        <v>0</v>
      </c>
      <c r="C110" s="128">
        <f>ROUND(HLOOKUP($C$3,pl!$C$1:$V$71,MATCH("*"&amp;A110&amp;"*",pl!$B$1:$B$71,),FALSE),0)/IF(LEN($G$6)&gt;4,10000,1)</f>
        <v>0</v>
      </c>
      <c r="D110" s="128">
        <f>ROUND(HLOOKUP($D$3,pl!$C$1:$V$71,MATCH("*"&amp;A110&amp;"*",pl!$B$1:$B$71,),FALSE),0)/IF(LEN($G$6)&gt;4,10000,1)</f>
        <v>0</v>
      </c>
      <c r="E110" s="128">
        <f>ROUND(HLOOKUP($E$3,pl!$C$1:$V$71,MATCH("*"&amp;A110&amp;"*",pl!$B$1:$B$71,),FALSE),0)/IF(LEN($G$6)&gt;4,10000,1)</f>
        <v>0</v>
      </c>
      <c r="F110">
        <f>MATCH("*"&amp;A110&amp;"*",pl!$B$1:$B$71,)</f>
        <v>3</v>
      </c>
      <c r="G110">
        <f>HLOOKUP($E$3,pl!$C$1:$V$71,3,FALSE)</f>
        <v>0</v>
      </c>
      <c r="H110" s="129">
        <f t="shared" si="1"/>
        <v>0</v>
      </c>
    </row>
    <row r="111" ht="15.75" spans="1:8">
      <c r="A111" s="127" t="s">
        <v>343</v>
      </c>
      <c r="B111" s="128">
        <f>ROUND(HLOOKUP($B$3,pl!$C$1:$V$71,MATCH("*"&amp;A111&amp;"*",pl!$B$1:$B$71,),FALSE),0)/IF(LEN($G$6)&gt;4,10000,1)</f>
        <v>0</v>
      </c>
      <c r="C111" s="128">
        <f>ROUND(HLOOKUP($C$3,pl!$C$1:$V$71,MATCH("*"&amp;A111&amp;"*",pl!$B$1:$B$71,),FALSE),0)/IF(LEN($G$6)&gt;4,10000,1)</f>
        <v>0</v>
      </c>
      <c r="D111" s="128">
        <f>ROUND(HLOOKUP($D$3,pl!$C$1:$V$71,MATCH("*"&amp;A111&amp;"*",pl!$B$1:$B$71,),FALSE),0)/IF(LEN($G$6)&gt;4,10000,1)</f>
        <v>0</v>
      </c>
      <c r="E111" s="128">
        <f>ROUND(HLOOKUP($E$3,pl!$C$1:$V$71,MATCH("*"&amp;A111&amp;"*",pl!$B$1:$B$71,),FALSE),0)/IF(LEN($G$6)&gt;4,10000,1)</f>
        <v>0</v>
      </c>
      <c r="H111" s="129">
        <f t="shared" si="1"/>
        <v>0</v>
      </c>
    </row>
    <row r="112" ht="15.75" spans="1:8">
      <c r="A112" s="127" t="s">
        <v>344</v>
      </c>
      <c r="B112" s="128">
        <f>ROUND(HLOOKUP($B$3,pl!$C$1:$V$71,MATCH("*"&amp;A112&amp;"*",pl!$B$1:$B$71,),FALSE),0)/IF(LEN($G$6)&gt;4,10000,1)</f>
        <v>0</v>
      </c>
      <c r="C112" s="128">
        <f>ROUND(HLOOKUP($C$3,pl!$C$1:$V$71,MATCH("*"&amp;A112&amp;"*",pl!$B$1:$B$71,),FALSE),0)/IF(LEN($G$6)&gt;4,10000,1)</f>
        <v>0</v>
      </c>
      <c r="D112" s="128">
        <f>ROUND(HLOOKUP($D$3,pl!$C$1:$V$71,MATCH("*"&amp;A112&amp;"*",pl!$B$1:$B$71,),FALSE),0)/IF(LEN($G$6)&gt;4,10000,1)</f>
        <v>0</v>
      </c>
      <c r="E112" s="128">
        <f>ROUND(HLOOKUP($E$3,pl!$C$1:$V$71,MATCH("*"&amp;A112&amp;"*",pl!$B$1:$B$71,),FALSE),0)/IF(LEN($G$6)&gt;4,10000,1)</f>
        <v>0</v>
      </c>
      <c r="H112" s="129">
        <f t="shared" si="1"/>
        <v>0</v>
      </c>
    </row>
    <row r="113" ht="15.75" spans="1:8">
      <c r="A113" s="127" t="s">
        <v>345</v>
      </c>
      <c r="B113" s="128">
        <f>ROUND(HLOOKUP($B$3,pl!$C$1:$V$71,MATCH("*"&amp;A113&amp;"*",pl!$B$1:$B$71,),FALSE),0)/IF(LEN($G$6)&gt;4,10000,1)</f>
        <v>0</v>
      </c>
      <c r="C113" s="128">
        <f>ROUND(HLOOKUP($C$3,pl!$C$1:$V$71,MATCH("*"&amp;A113&amp;"*",pl!$B$1:$B$71,),FALSE),0)/IF(LEN($G$6)&gt;4,10000,1)</f>
        <v>0</v>
      </c>
      <c r="D113" s="128">
        <f>ROUND(HLOOKUP($D$3,pl!$C$1:$V$71,MATCH("*"&amp;A113&amp;"*",pl!$B$1:$B$71,),FALSE),0)/IF(LEN($G$6)&gt;4,10000,1)</f>
        <v>0</v>
      </c>
      <c r="E113" s="128">
        <f>ROUND(HLOOKUP($E$3,pl!$C$1:$V$71,MATCH("*"&amp;A113&amp;"*",pl!$B$1:$B$71,),FALSE),0)/IF(LEN($G$6)&gt;4,10000,1)</f>
        <v>0</v>
      </c>
      <c r="H113" s="129">
        <f t="shared" si="1"/>
        <v>0</v>
      </c>
    </row>
    <row r="114" ht="15.75" spans="1:8">
      <c r="A114" s="127" t="s">
        <v>346</v>
      </c>
      <c r="B114" s="128">
        <f>ROUND(HLOOKUP($B$3,pl!$C$1:$V$71,MATCH("*"&amp;A114&amp;"*",pl!$B$1:$B$71,),FALSE),0)/IF(LEN($G$6)&gt;4,10000,1)</f>
        <v>0</v>
      </c>
      <c r="C114" s="128">
        <f>ROUND(HLOOKUP($C$3,pl!$C$1:$V$71,MATCH("*"&amp;A114&amp;"*",pl!$B$1:$B$71,),FALSE),0)/IF(LEN($G$6)&gt;4,10000,1)</f>
        <v>0</v>
      </c>
      <c r="D114" s="128">
        <f>ROUND(HLOOKUP($D$3,pl!$C$1:$V$71,MATCH("*"&amp;A114&amp;"*",pl!$B$1:$B$71,),FALSE),0)/IF(LEN($G$6)&gt;4,10000,1)</f>
        <v>0</v>
      </c>
      <c r="E114" s="128">
        <f>ROUND(HLOOKUP($E$3,pl!$C$1:$V$71,MATCH("*"&amp;A114&amp;"*",pl!$B$1:$B$71,),FALSE),0)/IF(LEN($G$6)&gt;4,10000,1)</f>
        <v>0</v>
      </c>
      <c r="H114" s="129">
        <f t="shared" si="1"/>
        <v>0</v>
      </c>
    </row>
    <row r="115" ht="15.75" spans="1:8">
      <c r="A115" s="127" t="s">
        <v>347</v>
      </c>
      <c r="B115" s="128">
        <f>ROUND(HLOOKUP($B$3,pl!$C$1:$V$71,MATCH("*"&amp;A115&amp;"*",pl!$B$1:$B$71,),FALSE),0)/IF(LEN($G$6)&gt;4,10000,1)</f>
        <v>0</v>
      </c>
      <c r="C115" s="128">
        <f>ROUND(HLOOKUP($C$3,pl!$C$1:$V$71,MATCH("*"&amp;A115&amp;"*",pl!$B$1:$B$71,),FALSE),0)/IF(LEN($G$6)&gt;4,10000,1)</f>
        <v>0</v>
      </c>
      <c r="D115" s="128">
        <f>ROUND(HLOOKUP($D$3,pl!$C$1:$V$71,MATCH("*"&amp;A115&amp;"*",pl!$B$1:$B$71,),FALSE),0)/IF(LEN($G$6)&gt;4,10000,1)</f>
        <v>0</v>
      </c>
      <c r="E115" s="128">
        <f>ROUND(HLOOKUP($E$3,pl!$C$1:$V$71,MATCH("*"&amp;A115&amp;"*",pl!$B$1:$B$71,),FALSE),0)/IF(LEN($G$6)&gt;4,10000,1)</f>
        <v>0</v>
      </c>
      <c r="H115" s="129">
        <f t="shared" si="1"/>
        <v>0</v>
      </c>
    </row>
    <row r="116" ht="15.75" spans="1:8">
      <c r="A116" s="127" t="s">
        <v>348</v>
      </c>
      <c r="B116" s="128">
        <f>ROUND(HLOOKUP($B$3,pl!$C$1:$V$71,MATCH("*"&amp;A116&amp;"*",pl!$B$1:$B$71,),FALSE),0)/IF(LEN($G$6)&gt;4,10000,1)</f>
        <v>0</v>
      </c>
      <c r="C116" s="128">
        <f>ROUND(HLOOKUP($C$3,pl!$C$1:$V$71,MATCH("*"&amp;A116&amp;"*",pl!$B$1:$B$71,),FALSE),0)/IF(LEN($G$6)&gt;4,10000,1)</f>
        <v>0</v>
      </c>
      <c r="D116" s="128">
        <f>ROUND(HLOOKUP($D$3,pl!$C$1:$V$71,MATCH("*"&amp;A116&amp;"*",pl!$B$1:$B$71,),FALSE),0)/IF(LEN($G$6)&gt;4,10000,1)</f>
        <v>0</v>
      </c>
      <c r="E116" s="128">
        <f>ROUND(HLOOKUP($E$3,pl!$C$1:$V$71,MATCH("*"&amp;A116&amp;"*",pl!$B$1:$B$71,),FALSE),0)/IF(LEN($G$6)&gt;4,10000,1)</f>
        <v>0</v>
      </c>
      <c r="H116" s="129">
        <f t="shared" si="1"/>
        <v>0</v>
      </c>
    </row>
    <row r="117" ht="15.75" spans="1:8">
      <c r="A117" s="127" t="s">
        <v>349</v>
      </c>
      <c r="B117" s="128">
        <f>ROUND(HLOOKUP($B$3,pl!$C$1:$V$71,MATCH("*"&amp;A117&amp;"*",pl!$B$1:$B$71,),FALSE),0)/IF(LEN($G$6)&gt;4,10000,1)</f>
        <v>0</v>
      </c>
      <c r="C117" s="128">
        <f>ROUND(HLOOKUP($C$3,pl!$C$1:$V$71,MATCH("*"&amp;A117&amp;"*",pl!$B$1:$B$71,),FALSE),0)/IF(LEN($G$6)&gt;4,10000,1)</f>
        <v>0</v>
      </c>
      <c r="D117" s="128">
        <f>ROUND(HLOOKUP($D$3,pl!$C$1:$V$71,MATCH("*"&amp;A117&amp;"*",pl!$B$1:$B$71,),FALSE),0)/IF(LEN($G$6)&gt;4,10000,1)</f>
        <v>0</v>
      </c>
      <c r="E117" s="128">
        <f>ROUND(HLOOKUP($E$3,pl!$C$1:$V$71,MATCH("*"&amp;A117&amp;"*",pl!$B$1:$B$71,),FALSE),0)/IF(LEN($G$6)&gt;4,10000,1)</f>
        <v>0</v>
      </c>
      <c r="H117" s="129">
        <f t="shared" si="1"/>
        <v>0</v>
      </c>
    </row>
    <row r="118" ht="15.75" spans="1:8">
      <c r="A118" s="127" t="s">
        <v>350</v>
      </c>
      <c r="B118" s="128">
        <f>ROUND(HLOOKUP($B$3,pl!$C$1:$V$71,MATCH("*"&amp;A118&amp;"*",pl!$B$1:$B$71,),FALSE),0)/IF(LEN($G$6)&gt;4,10000,1)</f>
        <v>0</v>
      </c>
      <c r="C118" s="128">
        <f>ROUND(HLOOKUP($C$3,pl!$C$1:$V$71,MATCH("*"&amp;A118&amp;"*",pl!$B$1:$B$71,),FALSE),0)/IF(LEN($G$6)&gt;4,10000,1)</f>
        <v>0</v>
      </c>
      <c r="D118" s="128">
        <f>ROUND(HLOOKUP($D$3,pl!$C$1:$V$71,MATCH("*"&amp;A118&amp;"*",pl!$B$1:$B$71,),FALSE),0)/IF(LEN($G$6)&gt;4,10000,1)</f>
        <v>0</v>
      </c>
      <c r="E118" s="128">
        <f>ROUND(HLOOKUP($E$3,pl!$C$1:$V$71,MATCH("*"&amp;A118&amp;"*",pl!$B$1:$B$71,),FALSE),0)/IF(LEN($G$6)&gt;4,10000,1)</f>
        <v>0</v>
      </c>
      <c r="H118" s="129">
        <f t="shared" si="1"/>
        <v>0</v>
      </c>
    </row>
    <row r="119" ht="15.75" spans="1:8">
      <c r="A119" s="130" t="s">
        <v>351</v>
      </c>
      <c r="B119" s="128">
        <f>ROUND(HLOOKUP($B$3,pl!$C$1:$V$71,MATCH("*"&amp;A119&amp;"*",pl!$B$1:$B$71,),FALSE),0)/IF(LEN($G$6)&gt;4,10000,1)</f>
        <v>0</v>
      </c>
      <c r="C119" s="128">
        <f>ROUND(HLOOKUP($C$3,pl!$C$1:$V$71,MATCH("*"&amp;A119&amp;"*",pl!$B$1:$B$71,),FALSE),0)/IF(LEN($G$6)&gt;4,10000,1)</f>
        <v>0</v>
      </c>
      <c r="D119" s="128">
        <f>ROUND(HLOOKUP($D$3,pl!$C$1:$V$71,MATCH("*"&amp;A119&amp;"*",pl!$B$1:$B$71,),FALSE),0)/IF(LEN($G$6)&gt;4,10000,1)</f>
        <v>0</v>
      </c>
      <c r="E119" s="128">
        <f>ROUND(HLOOKUP($E$3,pl!$C$1:$V$71,MATCH("*"&amp;A119&amp;"*",pl!$B$1:$B$71,),FALSE),0)/IF(LEN($G$6)&gt;4,10000,1)</f>
        <v>0</v>
      </c>
      <c r="H119" s="129">
        <f t="shared" si="1"/>
        <v>0</v>
      </c>
    </row>
    <row r="120" ht="15.75" spans="1:8">
      <c r="A120" s="130" t="s">
        <v>352</v>
      </c>
      <c r="B120" s="128">
        <f>ROUND(HLOOKUP($B$3,pl!$C$1:$V$71,MATCH("*"&amp;A120&amp;"*",pl!$B$1:$B$71,),FALSE),0)/IF(LEN($G$6)&gt;4,10000,1)</f>
        <v>0</v>
      </c>
      <c r="C120" s="128">
        <f>ROUND(HLOOKUP($C$3,pl!$C$1:$V$71,MATCH("*"&amp;A120&amp;"*",pl!$B$1:$B$71,),FALSE),0)/IF(LEN($G$6)&gt;4,10000,1)</f>
        <v>0</v>
      </c>
      <c r="D120" s="128">
        <f>ROUND(HLOOKUP($D$3,pl!$C$1:$V$71,MATCH("*"&amp;A120&amp;"*",pl!$B$1:$B$71,),FALSE),0)/IF(LEN($G$6)&gt;4,10000,1)</f>
        <v>0</v>
      </c>
      <c r="E120" s="128">
        <f>ROUND(HLOOKUP($E$3,pl!$C$1:$V$71,MATCH("*"&amp;A120&amp;"*",pl!$B$1:$B$71,),FALSE),0)/IF(LEN($G$6)&gt;4,10000,1)</f>
        <v>0</v>
      </c>
      <c r="H120" s="129">
        <f t="shared" si="1"/>
        <v>0</v>
      </c>
    </row>
    <row r="121" ht="15.75" spans="1:8">
      <c r="A121" s="127" t="s">
        <v>353</v>
      </c>
      <c r="B121" s="128">
        <f>ROUND(HLOOKUP($B$3,pl!$C$1:$V$71,MATCH("*"&amp;A121&amp;"*",pl!$B$1:$B$71,),FALSE),0)/IF(LEN($G$6)&gt;4,10000,1)</f>
        <v>0</v>
      </c>
      <c r="C121" s="128">
        <f>ROUND(HLOOKUP($C$3,pl!$C$1:$V$71,MATCH("*"&amp;A121&amp;"*",pl!$B$1:$B$71,),FALSE),0)/IF(LEN($G$6)&gt;4,10000,1)</f>
        <v>0</v>
      </c>
      <c r="D121" s="128">
        <f>ROUND(HLOOKUP($D$3,pl!$C$1:$V$71,MATCH("*"&amp;A121&amp;"*",pl!$B$1:$B$71,),FALSE),0)/IF(LEN($G$6)&gt;4,10000,1)</f>
        <v>0</v>
      </c>
      <c r="E121" s="128">
        <f>ROUND(HLOOKUP($E$3,pl!$C$1:$V$71,MATCH("*"&amp;A121&amp;"*",pl!$B$1:$B$71,),FALSE),0)/IF(LEN($G$6)&gt;4,10000,1)</f>
        <v>0</v>
      </c>
      <c r="H121" s="129">
        <f t="shared" si="1"/>
        <v>0</v>
      </c>
    </row>
    <row r="122" ht="15.75" spans="1:8">
      <c r="A122" s="130" t="s">
        <v>354</v>
      </c>
      <c r="B122" s="128">
        <f>ROUND(HLOOKUP($B$3,pl!$C$1:$V$71,MATCH("*"&amp;A122&amp;"*",pl!$B$1:$B$71,),FALSE),0)/IF(LEN($G$6)&gt;4,10000,1)</f>
        <v>0</v>
      </c>
      <c r="C122" s="128">
        <f>ROUND(HLOOKUP($C$3,pl!$C$1:$V$71,MATCH("*"&amp;A122&amp;"*",pl!$B$1:$B$71,),FALSE),0)/IF(LEN($G$6)&gt;4,10000,1)</f>
        <v>0</v>
      </c>
      <c r="D122" s="128">
        <f>ROUND(HLOOKUP($D$3,pl!$C$1:$V$71,MATCH("*"&amp;A122&amp;"*",pl!$B$1:$B$71,),FALSE),0)/IF(LEN($G$6)&gt;4,10000,1)</f>
        <v>0</v>
      </c>
      <c r="E122" s="128">
        <f>ROUND(HLOOKUP($E$3,pl!$C$1:$V$71,MATCH("*"&amp;A122&amp;"*",pl!$B$1:$B$71,),FALSE),0)/IF(LEN($G$6)&gt;4,10000,1)</f>
        <v>0</v>
      </c>
      <c r="H122" s="129">
        <f t="shared" si="1"/>
        <v>0</v>
      </c>
    </row>
    <row r="123" ht="44.25" customHeight="1" spans="1:8">
      <c r="A123" s="130" t="s">
        <v>355</v>
      </c>
      <c r="B123" s="131"/>
      <c r="C123" s="131"/>
      <c r="D123" s="131"/>
      <c r="E123" s="131"/>
      <c r="H123" s="129">
        <f t="shared" si="1"/>
        <v>0</v>
      </c>
    </row>
    <row r="124" ht="15.75" customHeight="1" spans="1:8">
      <c r="A124" s="132" t="s">
        <v>356</v>
      </c>
      <c r="B124" s="132"/>
      <c r="C124" s="132"/>
      <c r="D124" s="132"/>
      <c r="E124" s="132"/>
      <c r="H124" s="129">
        <f t="shared" si="1"/>
        <v>0</v>
      </c>
    </row>
    <row r="125" ht="30.75" spans="1:8">
      <c r="A125" s="130" t="s">
        <v>357</v>
      </c>
      <c r="B125" s="128">
        <f>ROUND(HLOOKUP($B$3,cf!$C$1:$Z$68,MATCH("*"&amp;A125&amp;"*",cf!$B$1:$B$68,),FALSE),0)/IF(LEN($G$6)&gt;4,10000,1)</f>
        <v>0</v>
      </c>
      <c r="C125" s="128">
        <f>ROUND(HLOOKUP($C$3,cf!$C$1:$Z$68,MATCH("*"&amp;A125&amp;"*",cf!$B$1:$B$68,),FALSE),0)/IF(LEN($G$6)&gt;4,10000,1)</f>
        <v>0</v>
      </c>
      <c r="D125" s="128">
        <f>ROUND(HLOOKUP($D$3,cf!$C$1:$Z$68,MATCH("*"&amp;A125&amp;"*",cf!$B$1:$B$68,),FALSE),0)/IF(LEN($G$6)&gt;4,10000,1)</f>
        <v>0</v>
      </c>
      <c r="E125" s="128">
        <f>ROUND(HLOOKUP($E$3,cf!$C$1:$Z$68,MATCH("*"&amp;A125&amp;"*",cf!$B$1:$B$68,),FALSE),0)/IF(LEN($G$6)&gt;4,10000,1)</f>
        <v>0</v>
      </c>
      <c r="F125">
        <f>MATCH("*"&amp;A125&amp;"*",cf!$B$1:$B$68,)</f>
        <v>3</v>
      </c>
      <c r="G125">
        <f>HLOOKUP($B$3,cf!$C$1:$Z$68,F125,FALSE)</f>
        <v>0</v>
      </c>
      <c r="H125" s="129">
        <f t="shared" si="1"/>
        <v>0</v>
      </c>
    </row>
    <row r="126" ht="15.75" spans="1:8">
      <c r="A126" s="127" t="s">
        <v>358</v>
      </c>
      <c r="B126" s="128">
        <f>ROUND(HLOOKUP($B$3,cf!$C$1:$Z$68,MATCH("*"&amp;A126&amp;"*",cf!$B$1:$B$68,),FALSE),0)/IF(LEN($G$6)&gt;4,10000,1)</f>
        <v>0</v>
      </c>
      <c r="C126" s="128">
        <f>ROUND(HLOOKUP($C$3,cf!$C$1:$Z$68,MATCH("*"&amp;A126&amp;"*",cf!$B$1:$B$68,),FALSE),0)/IF(LEN($G$6)&gt;4,10000,1)</f>
        <v>0</v>
      </c>
      <c r="D126" s="128">
        <f>ROUND(HLOOKUP($D$3,cf!$C$1:$Z$68,MATCH("*"&amp;A126&amp;"*",cf!$B$1:$B$68,),FALSE),0)/IF(LEN($G$6)&gt;4,10000,1)</f>
        <v>0</v>
      </c>
      <c r="E126" s="128">
        <f>ROUND(HLOOKUP($E$3,cf!$C$1:$Z$68,MATCH("*"&amp;A126&amp;"*",cf!$B$1:$B$68,),FALSE),0)/IF(LEN($G$6)&gt;4,10000,1)</f>
        <v>0</v>
      </c>
      <c r="H126" s="129">
        <f t="shared" si="1"/>
        <v>0</v>
      </c>
    </row>
    <row r="127" ht="15.75" spans="1:8">
      <c r="A127" s="127" t="s">
        <v>359</v>
      </c>
      <c r="B127" s="128">
        <f>ROUND(HLOOKUP($B$3,cf!$C$1:$Z$68,MATCH("*"&amp;A127&amp;"*",cf!$B$1:$B$68,),FALSE),0)/IF(LEN($G$6)&gt;4,10000,1)</f>
        <v>0</v>
      </c>
      <c r="C127" s="128">
        <f>ROUND(HLOOKUP($C$3,cf!$C$1:$Z$68,MATCH("*"&amp;A127&amp;"*",cf!$B$1:$B$68,),FALSE),0)/IF(LEN($G$6)&gt;4,10000,1)</f>
        <v>0</v>
      </c>
      <c r="D127" s="128">
        <f>ROUND(HLOOKUP($D$3,cf!$C$1:$Z$68,MATCH("*"&amp;A127&amp;"*",cf!$B$1:$B$68,),FALSE),0)/IF(LEN($G$6)&gt;4,10000,1)</f>
        <v>0</v>
      </c>
      <c r="E127" s="128">
        <f>ROUND(HLOOKUP($E$3,cf!$C$1:$Z$68,MATCH("*"&amp;A127&amp;"*",cf!$B$1:$B$68,),FALSE),0)/IF(LEN($G$6)&gt;4,10000,1)</f>
        <v>0</v>
      </c>
      <c r="H127" s="129">
        <f t="shared" si="1"/>
        <v>0</v>
      </c>
    </row>
    <row r="128" ht="30.75" spans="1:8">
      <c r="A128" s="130" t="s">
        <v>205</v>
      </c>
      <c r="B128" s="128">
        <f>ROUND(HLOOKUP($B$3,cf!$C$1:$Z$68,MATCH("*"&amp;A128&amp;"*",cf!$B$1:$B$68,),FALSE),0)/IF(LEN($G$6)&gt;4,10000,1)</f>
        <v>0</v>
      </c>
      <c r="C128" s="128">
        <f>ROUND(HLOOKUP($C$3,cf!$C$1:$Z$68,MATCH("*"&amp;A128&amp;"*",cf!$B$1:$B$68,),FALSE),0)/IF(LEN($G$6)&gt;4,10000,1)</f>
        <v>0</v>
      </c>
      <c r="D128" s="128">
        <f>ROUND(HLOOKUP($D$3,cf!$C$1:$Z$68,MATCH("*"&amp;A128&amp;"*",cf!$B$1:$B$68,),FALSE),0)/IF(LEN($G$6)&gt;4,10000,1)</f>
        <v>0</v>
      </c>
      <c r="E128" s="128">
        <f>ROUND(HLOOKUP($E$3,cf!$C$1:$Z$68,MATCH("*"&amp;A128&amp;"*",cf!$B$1:$B$68,),FALSE),0)/IF(LEN($G$6)&gt;4,10000,1)</f>
        <v>0</v>
      </c>
      <c r="H128" s="129">
        <f t="shared" si="1"/>
        <v>0</v>
      </c>
    </row>
    <row r="129" ht="15.75" spans="1:8">
      <c r="A129" s="127" t="s">
        <v>360</v>
      </c>
      <c r="B129" s="128">
        <f>ROUND(HLOOKUP($B$3,cf!$C$1:$Z$68,MATCH("*"&amp;A129&amp;"*",cf!$B$1:$B$68,),FALSE),0)/IF(LEN($G$6)&gt;4,10000,1)</f>
        <v>0</v>
      </c>
      <c r="C129" s="128">
        <f>ROUND(HLOOKUP($C$3,cf!$C$1:$Z$68,MATCH("*"&amp;A129&amp;"*",cf!$B$1:$B$68,),FALSE),0)/IF(LEN($G$6)&gt;4,10000,1)</f>
        <v>0</v>
      </c>
      <c r="D129" s="128">
        <f>ROUND(HLOOKUP($D$3,cf!$C$1:$Z$68,MATCH("*"&amp;A129&amp;"*",cf!$B$1:$B$68,),FALSE),0)/IF(LEN($G$6)&gt;4,10000,1)</f>
        <v>0</v>
      </c>
      <c r="E129" s="128">
        <f>ROUND(HLOOKUP($E$3,cf!$C$1:$Z$68,MATCH("*"&amp;A129&amp;"*",cf!$B$1:$B$68,),FALSE),0)/IF(LEN($G$6)&gt;4,10000,1)</f>
        <v>0</v>
      </c>
      <c r="H129" s="129">
        <f t="shared" si="1"/>
        <v>0</v>
      </c>
    </row>
    <row r="130" ht="15.75" spans="1:8">
      <c r="A130" s="127" t="s">
        <v>361</v>
      </c>
      <c r="B130" s="128">
        <f>ROUND(HLOOKUP($B$3,cf!$C$1:$Z$68,MATCH("*"&amp;A130&amp;"*",cf!$B$1:$B$68,),FALSE),0)/IF(LEN($G$6)&gt;4,10000,1)</f>
        <v>0</v>
      </c>
      <c r="C130" s="128">
        <f>ROUND(HLOOKUP($C$3,cf!$C$1:$Z$68,MATCH("*"&amp;A130&amp;"*",cf!$B$1:$B$68,),FALSE),0)/IF(LEN($G$6)&gt;4,10000,1)</f>
        <v>0</v>
      </c>
      <c r="D130" s="128">
        <f>ROUND(HLOOKUP($D$3,cf!$C$1:$Z$68,MATCH("*"&amp;A130&amp;"*",cf!$B$1:$B$68,),FALSE),0)/IF(LEN($G$6)&gt;4,10000,1)</f>
        <v>0</v>
      </c>
      <c r="E130" s="128">
        <f>ROUND(HLOOKUP($E$3,cf!$C$1:$Z$68,MATCH("*"&amp;A130&amp;"*",cf!$B$1:$B$68,),FALSE),0)/IF(LEN($G$6)&gt;4,10000,1)</f>
        <v>0</v>
      </c>
      <c r="H130" s="129">
        <f t="shared" si="1"/>
        <v>0</v>
      </c>
    </row>
    <row r="131" ht="30.75" spans="1:8">
      <c r="A131" s="130" t="s">
        <v>219</v>
      </c>
      <c r="B131" s="128">
        <f>ROUND(HLOOKUP($B$3,cf!$C$1:$Z$68,MATCH("*"&amp;A131&amp;"*",cf!$B$1:$B$68,),FALSE),0)/IF(LEN($G$6)&gt;4,10000,1)</f>
        <v>0</v>
      </c>
      <c r="C131" s="128">
        <f>ROUND(HLOOKUP($C$3,cf!$C$1:$Z$68,MATCH("*"&amp;A131&amp;"*",cf!$B$1:$B$68,),FALSE),0)/IF(LEN($G$6)&gt;4,10000,1)</f>
        <v>0</v>
      </c>
      <c r="D131" s="128">
        <f>ROUND(HLOOKUP($D$3,cf!$C$1:$Z$68,MATCH("*"&amp;A131&amp;"*",cf!$B$1:$B$68,),FALSE),0)/IF(LEN($G$6)&gt;4,10000,1)</f>
        <v>0</v>
      </c>
      <c r="E131" s="128">
        <f>ROUND(HLOOKUP($E$3,cf!$C$1:$Z$68,MATCH("*"&amp;A131&amp;"*",cf!$B$1:$B$68,),FALSE),0)/IF(LEN($G$6)&gt;4,10000,1)</f>
        <v>0</v>
      </c>
      <c r="H131" s="129">
        <f t="shared" si="1"/>
        <v>0</v>
      </c>
    </row>
    <row r="132" ht="15.75" spans="1:8">
      <c r="A132" s="127" t="s">
        <v>362</v>
      </c>
      <c r="B132" s="128">
        <f>ROUND(HLOOKUP($B$3,cf!$C$1:$Z$68,MATCH("*"&amp;A132&amp;"*",cf!$B$1:$B$68,),FALSE),0)/IF(LEN($G$6)&gt;4,10000,1)</f>
        <v>0</v>
      </c>
      <c r="C132" s="128">
        <f>ROUND(HLOOKUP($C$3,cf!$C$1:$Z$68,MATCH("*"&amp;A132&amp;"*",cf!$B$1:$B$68,),FALSE),0)/IF(LEN($G$6)&gt;4,10000,1)</f>
        <v>0</v>
      </c>
      <c r="D132" s="128">
        <f>ROUND(HLOOKUP($D$3,cf!$C$1:$Z$68,MATCH("*"&amp;A132&amp;"*",cf!$B$1:$B$68,),FALSE),0)/IF(LEN($G$6)&gt;4,10000,1)</f>
        <v>0</v>
      </c>
      <c r="E132" s="128">
        <f>ROUND(HLOOKUP($E$3,cf!$C$1:$Z$68,MATCH("*"&amp;A132&amp;"*",cf!$B$1:$B$68,),FALSE),0)/IF(LEN($G$6)&gt;4,10000,1)</f>
        <v>0</v>
      </c>
      <c r="H132" s="129">
        <f t="shared" si="1"/>
        <v>0</v>
      </c>
    </row>
    <row r="133" ht="15.75" spans="1:8">
      <c r="A133" s="127" t="s">
        <v>363</v>
      </c>
      <c r="B133" s="128">
        <f>ROUND(HLOOKUP($B$3,cf!$C$1:$Z$68,MATCH("*"&amp;A133&amp;"*",cf!$B$1:$B$68,),FALSE),0)/IF(LEN($G$6)&gt;4,10000,1)</f>
        <v>0</v>
      </c>
      <c r="C133" s="128">
        <f>ROUND(HLOOKUP($C$3,cf!$C$1:$Z$68,MATCH("*"&amp;A133&amp;"*",cf!$B$1:$B$68,),FALSE),0)/IF(LEN($G$6)&gt;4,10000,1)</f>
        <v>0</v>
      </c>
      <c r="D133" s="128">
        <f>ROUND(HLOOKUP($D$3,cf!$C$1:$Z$68,MATCH("*"&amp;A133&amp;"*",cf!$B$1:$B$68,),FALSE),0)/IF(LEN($G$6)&gt;4,10000,1)</f>
        <v>0</v>
      </c>
      <c r="E133" s="128">
        <f>ROUND(HLOOKUP($E$3,cf!$C$1:$Z$68,MATCH("*"&amp;A133&amp;"*",cf!$B$1:$B$68,),FALSE),0)/IF(LEN($G$6)&gt;4,10000,1)</f>
        <v>0</v>
      </c>
      <c r="H133" s="129">
        <f t="shared" si="1"/>
        <v>0</v>
      </c>
    </row>
    <row r="134" ht="30.75" spans="1:8">
      <c r="A134" s="130" t="s">
        <v>364</v>
      </c>
      <c r="B134" s="128">
        <f>ROUND(HLOOKUP($B$3,cf!$C$1:$Z$68,MATCH("*"&amp;A134&amp;"*",cf!$B$1:$B$68,),FALSE),0)/IF(LEN($G$6)&gt;4,10000,1)</f>
        <v>0</v>
      </c>
      <c r="C134" s="128">
        <f>ROUND(HLOOKUP($C$3,cf!$C$1:$Z$68,MATCH("*"&amp;A134&amp;"*",cf!$B$1:$B$68,),FALSE),0)/IF(LEN($G$6)&gt;4,10000,1)</f>
        <v>0</v>
      </c>
      <c r="D134" s="128">
        <f>ROUND(HLOOKUP($D$3,cf!$C$1:$Z$68,MATCH("*"&amp;A134&amp;"*",cf!$B$1:$B$68,),FALSE),0)/IF(LEN($G$6)&gt;4,10000,1)</f>
        <v>0</v>
      </c>
      <c r="E134" s="128">
        <f>ROUND(HLOOKUP($E$3,cf!$C$1:$Z$68,MATCH("*"&amp;A134&amp;"*",cf!$B$1:$B$68,),FALSE),0)/IF(LEN($G$6)&gt;4,10000,1)</f>
        <v>0</v>
      </c>
      <c r="H134" s="129">
        <f t="shared" si="1"/>
        <v>0</v>
      </c>
    </row>
    <row r="135" ht="15.75" spans="1:8">
      <c r="A135" s="130" t="s">
        <v>365</v>
      </c>
      <c r="B135" s="128">
        <f>ROUND(HLOOKUP($B$3,cf!$C$1:$Z$68,MATCH("*"&amp;A135&amp;"*",cf!$B$1:$B$68,),FALSE),0)/IF(LEN($G$6)&gt;4,10000,1)</f>
        <v>0</v>
      </c>
      <c r="C135" s="128">
        <f>ROUND(HLOOKUP($C$3,cf!$C$1:$Z$68,MATCH("*"&amp;A135&amp;"*",cf!$B$1:$B$68,),FALSE),0)/IF(LEN($G$6)&gt;4,10000,1)</f>
        <v>0</v>
      </c>
      <c r="D135" s="128">
        <f>ROUND(HLOOKUP($D$3,cf!$C$1:$Z$68,MATCH("*"&amp;A135&amp;"*",cf!$B$1:$B$68,),FALSE),0)/IF(LEN($G$6)&gt;4,10000,1)</f>
        <v>0</v>
      </c>
      <c r="E135" s="128">
        <f>ROUND(HLOOKUP($E$3,cf!$C$1:$Z$68,MATCH("*"&amp;A135&amp;"*",cf!$B$1:$B$68,),FALSE),0)/IF(LEN($G$6)&gt;4,10000,1)</f>
        <v>0</v>
      </c>
      <c r="H135" s="129">
        <f t="shared" ref="H135:H163" si="2">B135+C135+D135+E135</f>
        <v>0</v>
      </c>
    </row>
    <row r="136" ht="44.25" customHeight="1" spans="1:8">
      <c r="A136" s="130" t="s">
        <v>366</v>
      </c>
      <c r="B136" s="133"/>
      <c r="C136" s="133"/>
      <c r="D136" s="133"/>
      <c r="E136" s="133"/>
      <c r="H136" s="129">
        <f t="shared" si="2"/>
        <v>0</v>
      </c>
    </row>
    <row r="137" ht="15.75" customHeight="1" spans="1:8">
      <c r="A137" s="126" t="s">
        <v>367</v>
      </c>
      <c r="B137" s="126"/>
      <c r="C137" s="126"/>
      <c r="D137" s="126"/>
      <c r="E137" s="126"/>
      <c r="H137" s="129">
        <f t="shared" si="2"/>
        <v>0</v>
      </c>
    </row>
    <row r="138" ht="15.7" spans="1:8">
      <c r="A138" s="134" t="s">
        <v>368</v>
      </c>
      <c r="B138" s="135" t="e">
        <f>B27/B79</f>
        <v>#DIV/0!</v>
      </c>
      <c r="C138" s="135" t="e">
        <f>C27/C79</f>
        <v>#DIV/0!</v>
      </c>
      <c r="D138" s="135" t="e">
        <f>D27/D79</f>
        <v>#DIV/0!</v>
      </c>
      <c r="E138" s="135" t="e">
        <f>E27/E79</f>
        <v>#DIV/0!</v>
      </c>
      <c r="G138" t="e">
        <f>CONCATENATE("从短期偿债能力指标看，近三年及一期，拟承租人",A138,"分别为",ROUND(E138,2),"、",ROUND(D138,2),"、",ROUND(C138,2),"和",ROUND(B138,2),"。")</f>
        <v>#DIV/0!</v>
      </c>
      <c r="H138" s="129" t="e">
        <f t="shared" si="2"/>
        <v>#DIV/0!</v>
      </c>
    </row>
    <row r="139" ht="15.7" spans="1:8">
      <c r="A139" s="134" t="s">
        <v>369</v>
      </c>
      <c r="B139" s="128" t="e">
        <f>(B27-B11)/B79</f>
        <v>#DIV/0!</v>
      </c>
      <c r="C139" s="128" t="e">
        <f>(C27-C11)/C79</f>
        <v>#DIV/0!</v>
      </c>
      <c r="D139" s="128" t="e">
        <f>(D27-D11)/D79</f>
        <v>#DIV/0!</v>
      </c>
      <c r="E139" s="128" t="e">
        <f>(E27-E11)/E79</f>
        <v>#DIV/0!</v>
      </c>
      <c r="G139" t="e">
        <f>CONCATENATE("从短期偿债能力指标看，近三年及一期，拟承租人",A139,"分别为",ROUND(E139,2),"、",ROUND(D139,2),"、",ROUND(C139,2),"和",ROUND(B139,2),"。")</f>
        <v>#DIV/0!</v>
      </c>
      <c r="H139" s="129" t="e">
        <f t="shared" si="2"/>
        <v>#DIV/0!</v>
      </c>
    </row>
    <row r="140" ht="15.7" spans="1:8">
      <c r="A140" s="134" t="s">
        <v>370</v>
      </c>
      <c r="B140" s="136" t="e">
        <f>B94/B55</f>
        <v>#DIV/0!</v>
      </c>
      <c r="C140" s="136" t="e">
        <f>C94/C55</f>
        <v>#DIV/0!</v>
      </c>
      <c r="D140" s="136" t="e">
        <f>D94/D55</f>
        <v>#DIV/0!</v>
      </c>
      <c r="E140" s="136" t="e">
        <f>E94/E55</f>
        <v>#DIV/0!</v>
      </c>
      <c r="G140" t="e">
        <f>CONCATENATE("近三年及一期，拟承租人",A140,"分别为",TEXT(E140,"0.00%"),"、",TEXT(D140,"0.00%"),"、",TEXT(C140,"0.00%"),"和",TEXT(B140,"0.00%"),"。")</f>
        <v>#DIV/0!</v>
      </c>
      <c r="H140" s="129" t="e">
        <f t="shared" si="2"/>
        <v>#DIV/0!</v>
      </c>
    </row>
    <row r="141" ht="15.7" spans="1:8">
      <c r="A141" s="134" t="s">
        <v>371</v>
      </c>
      <c r="B141" s="137"/>
      <c r="C141" s="137"/>
      <c r="D141" s="137"/>
      <c r="E141" s="137"/>
      <c r="G141" t="str">
        <f>CONCATENATE("近三年及一期，拟承租人",A141,"分别为",TEXT(E141,"0.00%"),"、",TEXT(D141,"0.00%"),"、",TEXT(C141,"0.00%"),"和",TEXT(B141,"0.00%"),"。")</f>
        <v>近三年及一期，拟承租人调整后的资产负债率（%）分别为0.00%、0.00%、0.00%和0.00%。</v>
      </c>
      <c r="H141" s="129">
        <f t="shared" si="2"/>
        <v>0</v>
      </c>
    </row>
    <row r="142" ht="15.7" spans="1:8">
      <c r="A142" s="134" t="s">
        <v>372</v>
      </c>
      <c r="B142" s="136" t="e">
        <f>B79/B94</f>
        <v>#DIV/0!</v>
      </c>
      <c r="C142" s="136" t="e">
        <f>C79/C94</f>
        <v>#DIV/0!</v>
      </c>
      <c r="D142" s="136" t="e">
        <f>D79/D94</f>
        <v>#DIV/0!</v>
      </c>
      <c r="E142" s="136" t="e">
        <f>E79/E94</f>
        <v>#DIV/0!</v>
      </c>
      <c r="G142" t="e">
        <f>CONCATENATE("近三年及一期，拟承租人",A142,"分别为",TEXT(E142,"0.00%"),"、",TEXT(D142,"0.00%"),"、",TEXT(C142,"0.00%"),"和",TEXT(B142,"0.00%"),"。")</f>
        <v>#DIV/0!</v>
      </c>
      <c r="H142" s="129" t="e">
        <f t="shared" si="2"/>
        <v>#DIV/0!</v>
      </c>
    </row>
    <row r="143" ht="15.75" customHeight="1" spans="1:8">
      <c r="A143" s="126" t="s">
        <v>373</v>
      </c>
      <c r="B143" s="126"/>
      <c r="C143" s="126"/>
      <c r="D143" s="126"/>
      <c r="E143" s="126"/>
      <c r="H143" s="129">
        <f t="shared" si="2"/>
        <v>0</v>
      </c>
    </row>
    <row r="144" ht="15.7" spans="1:8">
      <c r="A144" s="134" t="s">
        <v>374</v>
      </c>
      <c r="B144" s="138" t="e">
        <f>0+(B111/(B11+C11)*2)</f>
        <v>#DIV/0!</v>
      </c>
      <c r="C144" s="138" t="e">
        <f>C111/(C11+D11)*2</f>
        <v>#DIV/0!</v>
      </c>
      <c r="D144" s="138" t="e">
        <f>0+(D111/(D11+E11)*2)</f>
        <v>#DIV/0!</v>
      </c>
      <c r="E144" s="138" t="e">
        <f>E111/E11</f>
        <v>#DIV/0!</v>
      </c>
      <c r="H144" s="129" t="e">
        <f t="shared" si="2"/>
        <v>#DIV/0!</v>
      </c>
    </row>
    <row r="145" ht="15.7" spans="1:8">
      <c r="A145" s="134" t="s">
        <v>375</v>
      </c>
      <c r="B145" s="128" t="e">
        <f>0+(B110/(B55+C55)*2)</f>
        <v>#DIV/0!</v>
      </c>
      <c r="C145" s="128" t="e">
        <f>C110/(C55+D55)*2</f>
        <v>#DIV/0!</v>
      </c>
      <c r="D145" s="128" t="e">
        <f>D110/(D55+E55)*2</f>
        <v>#DIV/0!</v>
      </c>
      <c r="E145" s="128" t="e">
        <f>E110/E55</f>
        <v>#DIV/0!</v>
      </c>
      <c r="H145" s="129" t="e">
        <f t="shared" si="2"/>
        <v>#DIV/0!</v>
      </c>
    </row>
    <row r="146" ht="15.7" spans="1:8">
      <c r="A146" s="134" t="s">
        <v>376</v>
      </c>
      <c r="B146" s="128" t="e">
        <f>0+(B110/(B8+C8)*2)</f>
        <v>#DIV/0!</v>
      </c>
      <c r="C146" s="128" t="e">
        <f>C110/(C8+D8)*2</f>
        <v>#DIV/0!</v>
      </c>
      <c r="D146" s="128" t="e">
        <f>D110/(D8+E8)*2</f>
        <v>#DIV/0!</v>
      </c>
      <c r="E146" s="128" t="e">
        <f>E110/E8</f>
        <v>#DIV/0!</v>
      </c>
      <c r="H146" s="129" t="e">
        <f t="shared" si="2"/>
        <v>#DIV/0!</v>
      </c>
    </row>
    <row r="147" ht="15.7" spans="1:8">
      <c r="A147" s="134" t="s">
        <v>377</v>
      </c>
      <c r="B147" s="136" t="e">
        <f>0+(B111/B110)</f>
        <v>#DIV/0!</v>
      </c>
      <c r="C147" s="136" t="e">
        <f>C111/C110</f>
        <v>#DIV/0!</v>
      </c>
      <c r="D147" s="136" t="e">
        <f>D111/D110</f>
        <v>#DIV/0!</v>
      </c>
      <c r="E147" s="136" t="e">
        <f>E111/E110</f>
        <v>#DIV/0!</v>
      </c>
      <c r="H147" s="129" t="e">
        <f t="shared" si="2"/>
        <v>#DIV/0!</v>
      </c>
    </row>
    <row r="148" ht="15.7" spans="1:8">
      <c r="A148" s="134" t="s">
        <v>378</v>
      </c>
      <c r="B148" s="136" t="e">
        <f>0+(B113/B110)</f>
        <v>#DIV/0!</v>
      </c>
      <c r="C148" s="136" t="e">
        <f>C113/C110</f>
        <v>#DIV/0!</v>
      </c>
      <c r="D148" s="136" t="e">
        <f>D113/D110</f>
        <v>#DIV/0!</v>
      </c>
      <c r="E148" s="136" t="e">
        <f>E113/E110</f>
        <v>#DIV/0!</v>
      </c>
      <c r="H148" s="129" t="e">
        <f t="shared" si="2"/>
        <v>#DIV/0!</v>
      </c>
    </row>
    <row r="149" ht="15.7" spans="1:8">
      <c r="A149" s="134" t="s">
        <v>379</v>
      </c>
      <c r="B149" s="136" t="e">
        <f>0+(B114/B110)</f>
        <v>#DIV/0!</v>
      </c>
      <c r="C149" s="136" t="e">
        <f>C114/C110</f>
        <v>#DIV/0!</v>
      </c>
      <c r="D149" s="136" t="e">
        <f>D114/D110</f>
        <v>#DIV/0!</v>
      </c>
      <c r="E149" s="136" t="e">
        <f>E114/E110</f>
        <v>#DIV/0!</v>
      </c>
      <c r="H149" s="129" t="e">
        <f t="shared" si="2"/>
        <v>#DIV/0!</v>
      </c>
    </row>
    <row r="150" ht="15.7" spans="1:8">
      <c r="A150" s="134" t="s">
        <v>380</v>
      </c>
      <c r="B150" s="136" t="e">
        <f>0+(B116/B110)</f>
        <v>#DIV/0!</v>
      </c>
      <c r="C150" s="136" t="e">
        <f>C116/C110</f>
        <v>#DIV/0!</v>
      </c>
      <c r="D150" s="136" t="e">
        <f>D116/D110</f>
        <v>#DIV/0!</v>
      </c>
      <c r="E150" s="136" t="e">
        <f>E116/E110</f>
        <v>#DIV/0!</v>
      </c>
      <c r="H150" s="129" t="e">
        <f t="shared" si="2"/>
        <v>#DIV/0!</v>
      </c>
    </row>
    <row r="151" ht="15.75" customHeight="1" spans="1:8">
      <c r="A151" s="126" t="s">
        <v>381</v>
      </c>
      <c r="B151" s="126"/>
      <c r="C151" s="126"/>
      <c r="D151" s="126"/>
      <c r="E151" s="126"/>
      <c r="H151" s="129">
        <f t="shared" si="2"/>
        <v>0</v>
      </c>
    </row>
    <row r="152" ht="15.7" spans="1:8">
      <c r="A152" s="134" t="s">
        <v>382</v>
      </c>
      <c r="B152" s="136" t="e">
        <f>B122/B110</f>
        <v>#DIV/0!</v>
      </c>
      <c r="C152" s="136" t="e">
        <f>C122/C110</f>
        <v>#DIV/0!</v>
      </c>
      <c r="D152" s="136" t="e">
        <f>D122/D110</f>
        <v>#DIV/0!</v>
      </c>
      <c r="E152" s="136" t="e">
        <f>E122/E110</f>
        <v>#DIV/0!</v>
      </c>
      <c r="H152" s="129" t="e">
        <f t="shared" si="2"/>
        <v>#DIV/0!</v>
      </c>
    </row>
    <row r="153" ht="15.7" spans="1:8">
      <c r="A153" s="134" t="s">
        <v>383</v>
      </c>
      <c r="B153" s="136" t="e">
        <f>(B110-B111)/B110</f>
        <v>#DIV/0!</v>
      </c>
      <c r="C153" s="136" t="e">
        <f>(C110-C111)/C110</f>
        <v>#DIV/0!</v>
      </c>
      <c r="D153" s="136" t="e">
        <f>(D110-D111)/D110</f>
        <v>#DIV/0!</v>
      </c>
      <c r="E153" s="136" t="e">
        <f>(E110-E111)/E110</f>
        <v>#DIV/0!</v>
      </c>
      <c r="G153" s="16" t="e">
        <f>CONCATENATE("近三年及一期，拟承租人营业毛利率分别为",TEXT(E153,"0.00%"),"、",TEXT(D153,"0.00%"),"、",TEXT(C153,"0.00%"),"及",TEXT(B153,"0.00%"),"。")</f>
        <v>#DIV/0!</v>
      </c>
      <c r="H153" s="129" t="e">
        <f t="shared" si="2"/>
        <v>#DIV/0!</v>
      </c>
    </row>
    <row r="154" ht="15.7" spans="1:8">
      <c r="A154" s="134" t="s">
        <v>384</v>
      </c>
      <c r="B154" s="136" t="e">
        <f>B119/(B55+C55)*2</f>
        <v>#DIV/0!</v>
      </c>
      <c r="C154" s="136" t="e">
        <f>C119/(C55+D55)*2</f>
        <v>#DIV/0!</v>
      </c>
      <c r="D154" s="136" t="e">
        <f>D119/(D55+E55)*2</f>
        <v>#DIV/0!</v>
      </c>
      <c r="E154" s="136" t="e">
        <f>E119/E55</f>
        <v>#DIV/0!</v>
      </c>
      <c r="H154" s="129" t="e">
        <f t="shared" si="2"/>
        <v>#DIV/0!</v>
      </c>
    </row>
    <row r="155" ht="15.7" spans="1:8">
      <c r="A155" s="134" t="s">
        <v>385</v>
      </c>
      <c r="B155" s="136" t="e">
        <f>B122/(B55+C55)*2</f>
        <v>#DIV/0!</v>
      </c>
      <c r="C155" s="136" t="e">
        <f>C122/(C55+D55)*2</f>
        <v>#DIV/0!</v>
      </c>
      <c r="D155" s="136" t="e">
        <f>D122/(D55+E55)*2</f>
        <v>#DIV/0!</v>
      </c>
      <c r="E155" s="136" t="e">
        <f>E122/E55</f>
        <v>#DIV/0!</v>
      </c>
      <c r="H155" s="129" t="e">
        <f t="shared" si="2"/>
        <v>#DIV/0!</v>
      </c>
    </row>
    <row r="156" ht="15.7" spans="1:8">
      <c r="A156" s="134" t="s">
        <v>386</v>
      </c>
      <c r="B156" s="136" t="e">
        <f>B122/(B108+C108)*2</f>
        <v>#DIV/0!</v>
      </c>
      <c r="C156" s="136" t="e">
        <f>C122/(C108+D108)*2</f>
        <v>#DIV/0!</v>
      </c>
      <c r="D156" s="136" t="e">
        <f>D122/(D108+E108)*2</f>
        <v>#DIV/0!</v>
      </c>
      <c r="E156" s="136" t="e">
        <f>E122/E108</f>
        <v>#DIV/0!</v>
      </c>
      <c r="H156" s="129" t="e">
        <f t="shared" si="2"/>
        <v>#DIV/0!</v>
      </c>
    </row>
    <row r="157" ht="15.75" customHeight="1" spans="1:8">
      <c r="A157" s="126" t="s">
        <v>387</v>
      </c>
      <c r="B157" s="126"/>
      <c r="C157" s="126"/>
      <c r="D157" s="126"/>
      <c r="E157" s="126"/>
      <c r="H157" s="129">
        <f t="shared" si="2"/>
        <v>0</v>
      </c>
    </row>
    <row r="158" ht="15.7" spans="1:8">
      <c r="A158" s="134" t="s">
        <v>388</v>
      </c>
      <c r="B158" s="136" t="e">
        <f>B108/B55</f>
        <v>#DIV/0!</v>
      </c>
      <c r="C158" s="136" t="e">
        <f>C108/C55</f>
        <v>#DIV/0!</v>
      </c>
      <c r="D158" s="136" t="e">
        <f>D108/D55</f>
        <v>#DIV/0!</v>
      </c>
      <c r="E158" s="136" t="e">
        <f>E108/E55</f>
        <v>#DIV/0!</v>
      </c>
      <c r="H158" s="129" t="e">
        <f t="shared" si="2"/>
        <v>#DIV/0!</v>
      </c>
    </row>
    <row r="159" ht="15.7" spans="1:8">
      <c r="A159" s="134" t="s">
        <v>389</v>
      </c>
      <c r="B159" s="136" t="e">
        <f>B93/B55</f>
        <v>#DIV/0!</v>
      </c>
      <c r="C159" s="136" t="e">
        <f>C93/C55</f>
        <v>#DIV/0!</v>
      </c>
      <c r="D159" s="136" t="e">
        <f>D93/D55</f>
        <v>#DIV/0!</v>
      </c>
      <c r="E159" s="136" t="e">
        <f>E93/E55</f>
        <v>#DIV/0!</v>
      </c>
      <c r="H159" s="129" t="e">
        <f t="shared" si="2"/>
        <v>#DIV/0!</v>
      </c>
    </row>
    <row r="160" ht="15.75" customHeight="1" spans="1:8">
      <c r="A160" s="126" t="s">
        <v>390</v>
      </c>
      <c r="B160" s="126"/>
      <c r="C160" s="126"/>
      <c r="D160" s="126"/>
      <c r="E160" s="126"/>
      <c r="H160" s="129">
        <f t="shared" si="2"/>
        <v>0</v>
      </c>
    </row>
    <row r="161" ht="30.75" spans="1:8">
      <c r="A161" s="139" t="s">
        <v>391</v>
      </c>
      <c r="B161" s="128" t="e">
        <f>B125/B110</f>
        <v>#DIV/0!</v>
      </c>
      <c r="C161" s="128" t="e">
        <f>C125/C110</f>
        <v>#DIV/0!</v>
      </c>
      <c r="D161" s="128" t="e">
        <f>D125/D110</f>
        <v>#DIV/0!</v>
      </c>
      <c r="E161" s="128" t="e">
        <f>E125/E110</f>
        <v>#DIV/0!</v>
      </c>
      <c r="H161" s="129" t="e">
        <f t="shared" si="2"/>
        <v>#DIV/0!</v>
      </c>
    </row>
    <row r="162" ht="30.75" spans="1:8">
      <c r="A162" s="139" t="s">
        <v>392</v>
      </c>
      <c r="B162" s="128" t="e">
        <f>B128/B120</f>
        <v>#DIV/0!</v>
      </c>
      <c r="C162" s="128" t="e">
        <f>C128/C120</f>
        <v>#DIV/0!</v>
      </c>
      <c r="D162" s="128" t="e">
        <f>D128/D120</f>
        <v>#DIV/0!</v>
      </c>
      <c r="E162" s="128" t="e">
        <f>E128/E120</f>
        <v>#DIV/0!</v>
      </c>
      <c r="H162" s="129" t="e">
        <f t="shared" si="2"/>
        <v>#DIV/0!</v>
      </c>
    </row>
    <row r="163" ht="15.75" spans="1:8">
      <c r="A163" s="139" t="s">
        <v>393</v>
      </c>
      <c r="B163" s="128" t="e">
        <f>B135/B120</f>
        <v>#DIV/0!</v>
      </c>
      <c r="C163" s="128" t="e">
        <f>C135/C120</f>
        <v>#DIV/0!</v>
      </c>
      <c r="D163" s="128" t="e">
        <f>D135/D120</f>
        <v>#DIV/0!</v>
      </c>
      <c r="E163" s="128" t="e">
        <f>E135/E120</f>
        <v>#DIV/0!</v>
      </c>
      <c r="H163" s="129" t="e">
        <f t="shared" si="2"/>
        <v>#DIV/0!</v>
      </c>
    </row>
  </sheetData>
  <autoFilter ref="F5:H163">
    <extLst/>
  </autoFilter>
  <mergeCells count="13">
    <mergeCell ref="A1:E1"/>
    <mergeCell ref="A2:E2"/>
    <mergeCell ref="A5:E5"/>
    <mergeCell ref="A109:E109"/>
    <mergeCell ref="B123:E123"/>
    <mergeCell ref="A124:E124"/>
    <mergeCell ref="B136:E136"/>
    <mergeCell ref="A137:E137"/>
    <mergeCell ref="A143:E143"/>
    <mergeCell ref="A151:E151"/>
    <mergeCell ref="A157:E157"/>
    <mergeCell ref="A160:E160"/>
    <mergeCell ref="A3:A4"/>
  </mergeCells>
  <dataValidations count="1">
    <dataValidation type="list" allowBlank="1" showInputMessage="1" showErrorMessage="1" sqref="G6">
      <formula1>"单位：元,单位：万元"</formula1>
    </dataValidation>
  </dataValidations>
  <pageMargins left="0.75" right="0.75" top="1" bottom="1" header="0.5" footer="0.5"/>
  <pageSetup paperSize="9" scale="67" fitToHeight="0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"/>
  <dimension ref="A1:G75"/>
  <sheetViews>
    <sheetView workbookViewId="0">
      <selection activeCell="A1" sqref="A1"/>
    </sheetView>
  </sheetViews>
  <sheetFormatPr defaultColWidth="10.2882882882883" defaultRowHeight="14.95" outlineLevelCol="6"/>
  <cols>
    <col min="1" max="1" width="20.7117117117117" style="101" customWidth="1"/>
    <col min="2" max="5" width="13.5675675675676" style="102" customWidth="1"/>
    <col min="6" max="16384" width="10.2882882882883" style="101"/>
  </cols>
  <sheetData>
    <row r="1" ht="13.7" spans="1:5">
      <c r="A1" s="103" t="s">
        <v>394</v>
      </c>
      <c r="B1" s="104">
        <v>43465</v>
      </c>
      <c r="C1" s="104">
        <f>DATE(YEAR(B1)+1,MONTH(B1),DAY(B1))</f>
        <v>43830</v>
      </c>
      <c r="D1" s="105">
        <f>DATE(YEAR(B1)+2,MONTH(B1),DAY(B1))</f>
        <v>44196</v>
      </c>
      <c r="E1" s="105" t="e">
        <f>bs!#REF!</f>
        <v>#REF!</v>
      </c>
    </row>
    <row r="2" ht="13.7" spans="1:5">
      <c r="A2" s="106" t="s">
        <v>395</v>
      </c>
      <c r="B2" s="107" t="e">
        <f>ROUND(HLOOKUP(B1,bs!$C$1:$AA$110,ROW(bs!#REF!),FALSE),0)/IF(LEN($G$6)&gt;4,10000,1)</f>
        <v>#REF!</v>
      </c>
      <c r="C2" s="107" t="e">
        <f>ROUND(HLOOKUP(C1,bs!$C$1:$AA$110,ROW(bs!#REF!),FALSE),0)/IF(LEN($G$6)&gt;4,10000,1)</f>
        <v>#REF!</v>
      </c>
      <c r="D2" s="107">
        <f>ROUND(HLOOKUP(D1,bs!$C$1:$AA$110,ROW(bs!F7),FALSE),0)/IF(LEN($G$6)&gt;4,10000,1)</f>
        <v>0</v>
      </c>
      <c r="E2" s="107" t="e">
        <f>ROUND(HLOOKUP(E1,bs!$C$1:$AA$110,ROW(bs!E7),FALSE),0)/IF(LEN($G$6)&gt;4,10000,1)</f>
        <v>#REF!</v>
      </c>
    </row>
    <row r="3" ht="13.7" spans="1:5">
      <c r="A3" s="106" t="s">
        <v>396</v>
      </c>
      <c r="B3" s="107" t="e">
        <f>ROUND(HLOOKUP(B1,bs!$C$1:$AA$110,ROW(bs!#REF!),FALSE),0)/IF(LEN($G$6)&gt;4,10000,1)</f>
        <v>#REF!</v>
      </c>
      <c r="C3" s="107" t="e">
        <f>ROUND(HLOOKUP(C1,bs!$C$1:$AA$110,ROW(bs!#REF!),FALSE),0)/IF(LEN($G$6)&gt;4,10000,1)</f>
        <v>#REF!</v>
      </c>
      <c r="D3" s="107">
        <f>ROUND(HLOOKUP(D1,bs!$C$1:$AA$110,ROW(bs!F5),FALSE),0)/IF(LEN($G$6)&gt;4,10000,1)</f>
        <v>0</v>
      </c>
      <c r="E3" s="107" t="e">
        <f>ROUND(HLOOKUP(E1,bs!$C$1:$AA$110,ROW(bs!E5),FALSE),0)/IF(LEN($G$6)&gt;4,10000,1)</f>
        <v>#REF!</v>
      </c>
    </row>
    <row r="4" ht="13.7" spans="1:5">
      <c r="A4" s="106" t="s">
        <v>397</v>
      </c>
      <c r="B4" s="107" t="e">
        <f>ROUND(HLOOKUP(B1,bs!$C$1:$AA$110,ROW(bs!#REF!),FALSE),0)/IF(LEN($G$6)&gt;4,10000,1)</f>
        <v>#REF!</v>
      </c>
      <c r="C4" s="107" t="e">
        <f>ROUND(HLOOKUP(C1,bs!$C$1:$AA$110,ROW(bs!#REF!),FALSE),0)/IF(LEN($G$6)&gt;4,10000,1)</f>
        <v>#REF!</v>
      </c>
      <c r="D4" s="107">
        <f>ROUND(HLOOKUP(D1,bs!$C$1:$AA$110,ROW(bs!F24),FALSE),0)/IF(LEN($G$6)&gt;4,10000,1)</f>
        <v>0</v>
      </c>
      <c r="E4" s="107" t="e">
        <f>ROUND(HLOOKUP(E1,bs!$C$1:$AA$110,ROW(bs!E24),FALSE),0)/IF(LEN($G$6)&gt;4,10000,1)</f>
        <v>#REF!</v>
      </c>
    </row>
    <row r="5" ht="13.7" spans="1:5">
      <c r="A5" s="106" t="s">
        <v>398</v>
      </c>
      <c r="B5" s="107" t="e">
        <f>ROUND(HLOOKUP(B1,bs!$C$1:$AA$110,ROW(bs!#REF!),FALSE),0)/IF(LEN($G$6)&gt;4,10000,1)</f>
        <v>#REF!</v>
      </c>
      <c r="C5" s="107" t="e">
        <f>ROUND(HLOOKUP(C1,bs!$C$1:$AA$110,ROW(bs!#REF!),FALSE),0)/IF(LEN($G$6)&gt;4,10000,1)</f>
        <v>#REF!</v>
      </c>
      <c r="D5" s="107">
        <f>ROUND(HLOOKUP(D1,bs!$C$1:$AA$110,ROW(bs!F33),FALSE),0)/IF(LEN($G$6)&gt;4,10000,1)</f>
        <v>0</v>
      </c>
      <c r="E5" s="107" t="e">
        <f>ROUND(HLOOKUP(E1,bs!$C$1:$AA$110,ROW(bs!E33),FALSE),0)/IF(LEN($G$6)&gt;4,10000,1)</f>
        <v>#REF!</v>
      </c>
    </row>
    <row r="6" spans="1:7">
      <c r="A6" s="106" t="s">
        <v>399</v>
      </c>
      <c r="B6" s="107" t="e">
        <f>ROUND(HLOOKUP(B1,bs!$C$1:$AA$110,ROW(bs!#REF!),FALSE),0)/IF(LEN($G$6)&gt;4,10000,1)</f>
        <v>#REF!</v>
      </c>
      <c r="C6" s="107" t="e">
        <f>ROUND(HLOOKUP(C1,bs!$C$1:$AA$110,ROW(bs!#REF!),FALSE),0)/IF(LEN($G$6)&gt;4,10000,1)</f>
        <v>#REF!</v>
      </c>
      <c r="D6" s="107">
        <f>ROUND(HLOOKUP(D1,bs!$C$1:$AA$110,ROW(bs!F35),FALSE),0)/IF(LEN($G$6)&gt;4,10000,1)</f>
        <v>0</v>
      </c>
      <c r="E6" s="107" t="e">
        <f>ROUND(HLOOKUP(E1,bs!$C$1:$AA$110,ROW(bs!E35),FALSE),0)/IF(LEN($G$6)&gt;4,10000,1)</f>
        <v>#REF!</v>
      </c>
      <c r="G6" s="108" t="s">
        <v>241</v>
      </c>
    </row>
    <row r="7" ht="13.7" spans="1:5">
      <c r="A7" s="106" t="s">
        <v>400</v>
      </c>
      <c r="B7" s="107" t="e">
        <f>ROUND(HLOOKUP(B1,bs!$C$1:$AA$110,ROW(bs!#REF!),FALSE),0)/IF(LEN($G$6)&gt;4,10000,1)</f>
        <v>#REF!</v>
      </c>
      <c r="C7" s="107" t="e">
        <f>ROUND(HLOOKUP(C1,bs!$C$1:$AA$110,ROW(bs!#REF!),FALSE),0)/IF(LEN($G$6)&gt;4,10000,1)</f>
        <v>#REF!</v>
      </c>
      <c r="D7" s="107">
        <f>ROUND(HLOOKUP(D1,bs!$C$1:$AA$110,ROW(bs!F53),FALSE),0)/IF(LEN($G$6)&gt;4,10000,1)</f>
        <v>0</v>
      </c>
      <c r="E7" s="107" t="e">
        <f>ROUND(HLOOKUP(E1,bs!$C$1:$AA$110,ROW(bs!E53),FALSE),0)/IF(LEN($G$6)&gt;4,10000,1)</f>
        <v>#REF!</v>
      </c>
    </row>
    <row r="8" ht="13.7" spans="1:5">
      <c r="A8" s="106" t="s">
        <v>401</v>
      </c>
      <c r="B8" s="107" t="e">
        <f>ROUND(HLOOKUP(B1,bs!$C$1:$AA$110,ROW(bs!#REF!),FALSE),0)/IF(LEN($G$6)&gt;4,10000,1)</f>
        <v>#REF!</v>
      </c>
      <c r="C8" s="107" t="e">
        <f>ROUND(HLOOKUP(C1,bs!$C$1:$AA$110,ROW(bs!#REF!),FALSE),0)/IF(LEN($G$6)&gt;4,10000,1)</f>
        <v>#REF!</v>
      </c>
      <c r="D8" s="107">
        <f>ROUND(HLOOKUP(D1,bs!$C$1:$AA$110,ROW(bs!F54),FALSE),0)/IF(LEN($G$6)&gt;4,10000,1)</f>
        <v>0</v>
      </c>
      <c r="E8" s="107" t="e">
        <f>ROUND(HLOOKUP(E1,bs!$C$1:$AA$110,ROW(bs!E54),FALSE),0)/IF(LEN($G$6)&gt;4,10000,1)</f>
        <v>#REF!</v>
      </c>
    </row>
    <row r="9" ht="13.7" spans="1:5">
      <c r="A9" s="106" t="s">
        <v>402</v>
      </c>
      <c r="B9" s="107" t="e">
        <f>ROUND(HLOOKUP(B1,bs!$C$1:$AA$110,ROW(bs!#REF!),FALSE),0)/IF(LEN($G$6)&gt;4,10000,1)</f>
        <v>#REF!</v>
      </c>
      <c r="C9" s="107" t="e">
        <f>ROUND(HLOOKUP(C1,bs!$C$1:$AA$110,ROW(bs!#REF!),FALSE),0)/IF(LEN($G$6)&gt;4,10000,1)</f>
        <v>#REF!</v>
      </c>
      <c r="D9" s="107">
        <f>ROUND(HLOOKUP(D1,bs!$C$1:$AA$110,ROW(bs!F63),FALSE),0)/IF(LEN($G$6)&gt;4,10000,1)</f>
        <v>0</v>
      </c>
      <c r="E9" s="107" t="e">
        <f>ROUND(HLOOKUP(E1,bs!$C$1:$AA$110,ROW(bs!E63),FALSE),0)/IF(LEN($G$6)&gt;4,10000,1)</f>
        <v>#REF!</v>
      </c>
    </row>
    <row r="10" ht="13.7" spans="1:5">
      <c r="A10" s="106" t="s">
        <v>403</v>
      </c>
      <c r="B10" s="107" t="e">
        <f>ROUND(HLOOKUP(B1,bs!$C$1:$AA$110,ROW(bs!#REF!),FALSE),0)/IF(LEN($G$6)&gt;4,10000,1)</f>
        <v>#REF!</v>
      </c>
      <c r="C10" s="107" t="e">
        <f>ROUND(HLOOKUP(C1,bs!$C$1:$AA$110,ROW(bs!#REF!),FALSE),0)/IF(LEN($G$6)&gt;4,10000,1)</f>
        <v>#REF!</v>
      </c>
      <c r="D10" s="107">
        <f>ROUND(HLOOKUP(D1,bs!$C$1:$AA$110,ROW(bs!F78),FALSE),0)/IF(LEN($G$6)&gt;4,10000,1)</f>
        <v>0</v>
      </c>
      <c r="E10" s="107" t="e">
        <f>ROUND(HLOOKUP(E1,bs!$C$1:$AA$110,ROW(bs!E78),FALSE),0)/IF(LEN($G$6)&gt;4,10000,1)</f>
        <v>#REF!</v>
      </c>
    </row>
    <row r="11" ht="13.7" spans="1:5">
      <c r="A11" s="106" t="s">
        <v>404</v>
      </c>
      <c r="B11" s="107" t="e">
        <f>ROUND(HLOOKUP(B1,bs!$C$1:$AA$110,ROW(bs!#REF!),FALSE),0)/IF(LEN($G$6)&gt;4,10000,1)</f>
        <v>#REF!</v>
      </c>
      <c r="C11" s="107" t="e">
        <f>ROUND(HLOOKUP(C1,bs!$C$1:$AA$110,ROW(bs!#REF!),FALSE),0)/IF(LEN($G$6)&gt;4,10000,1)</f>
        <v>#REF!</v>
      </c>
      <c r="D11" s="107">
        <f>ROUND(HLOOKUP(D1,bs!$C$1:$AA$110,ROW(bs!F79),FALSE),0)/IF(LEN($G$6)&gt;4,10000,1)</f>
        <v>0</v>
      </c>
      <c r="E11" s="107" t="e">
        <f>ROUND(HLOOKUP(E1,bs!$C$1:$AA$110,ROW(bs!E79),FALSE),0)/IF(LEN($G$6)&gt;4,10000,1)</f>
        <v>#REF!</v>
      </c>
    </row>
    <row r="12" ht="13.7" spans="1:5">
      <c r="A12" s="106" t="s">
        <v>405</v>
      </c>
      <c r="B12" s="107" t="e">
        <f>ROUND(HLOOKUP(B1,bs!$C$1:$AA$110,ROW(bs!#REF!),FALSE),0)/IF(LEN($G$6)&gt;4,10000,1)</f>
        <v>#REF!</v>
      </c>
      <c r="C12" s="107" t="e">
        <f>ROUND(HLOOKUP(C1,bs!$C$1:$AA$110,ROW(bs!#REF!),FALSE),0)/IF(LEN($G$6)&gt;4,10000,1)</f>
        <v>#REF!</v>
      </c>
      <c r="D12" s="107">
        <f>ROUND(HLOOKUP(D1,bs!$C$1:$AA$110,ROW(bs!F81),FALSE),0)/IF(LEN($G$6)&gt;4,10000,1)</f>
        <v>0</v>
      </c>
      <c r="E12" s="107" t="e">
        <f>ROUND(HLOOKUP(E1,bs!$C$1:$AA$110,ROW(bs!E81),FALSE),0)/IF(LEN($G$6)&gt;4,10000,1)</f>
        <v>#REF!</v>
      </c>
    </row>
    <row r="13" ht="13.7" spans="1:5">
      <c r="A13" s="106" t="s">
        <v>406</v>
      </c>
      <c r="B13" s="107" t="e">
        <f>ROUND(HLOOKUP(B1,bs!$C$1:$AA$110,ROW(bs!#REF!),FALSE),0)/IF(LEN($G$6)&gt;4,10000,1)</f>
        <v>#REF!</v>
      </c>
      <c r="C13" s="107" t="e">
        <f>ROUND(HLOOKUP(C1,bs!$C$1:$AA$110,ROW(bs!#REF!),FALSE),0)/IF(LEN($G$6)&gt;4,10000,1)</f>
        <v>#REF!</v>
      </c>
      <c r="D13" s="107">
        <f>ROUND(HLOOKUP(D1,bs!$C$1:$AA$110,ROW(bs!F93),FALSE),0)/IF(LEN($G$6)&gt;4,10000,1)</f>
        <v>0</v>
      </c>
      <c r="E13" s="107" t="e">
        <f>ROUND(HLOOKUP(E1,bs!$C$1:$AA$110,ROW(bs!E93),FALSE),0)/IF(LEN($G$6)&gt;4,10000,1)</f>
        <v>#REF!</v>
      </c>
    </row>
    <row r="14" ht="13.7" spans="1:5">
      <c r="A14" s="106" t="s">
        <v>407</v>
      </c>
      <c r="B14" s="107" t="e">
        <f>ROUND(HLOOKUP(B1,bs!$C$1:$AA$110,ROW(bs!#REF!),FALSE),0)/IF(LEN($G$6)&gt;4,10000,1)</f>
        <v>#REF!</v>
      </c>
      <c r="C14" s="107" t="e">
        <f>ROUND(HLOOKUP(C1,bs!$C$1:$AA$110,ROW(bs!#REF!),FALSE),0)/IF(LEN($G$6)&gt;4,10000,1)</f>
        <v>#REF!</v>
      </c>
      <c r="D14" s="107">
        <f>ROUND(HLOOKUP(D1,bs!$C$1:$AA$110,ROW(bs!F94),FALSE),0)/IF(LEN($G$6)&gt;4,10000,1)</f>
        <v>0</v>
      </c>
      <c r="E14" s="107" t="e">
        <f>ROUND(HLOOKUP(E1,bs!$C$1:$AA$110,ROW(bs!E94),FALSE),0)/IF(LEN($G$6)&gt;4,10000,1)</f>
        <v>#REF!</v>
      </c>
    </row>
    <row r="15" ht="13.7" spans="1:5">
      <c r="A15" s="106" t="s">
        <v>408</v>
      </c>
      <c r="B15" s="107" t="e">
        <f>ROUND(HLOOKUP(B1,bs!$C$1:$AA$110,ROW(bs!#REF!),FALSE),0)/IF(LEN($G$6)&gt;4,10000,1)</f>
        <v>#REF!</v>
      </c>
      <c r="C15" s="107" t="e">
        <f>ROUND(HLOOKUP(C1,bs!$C$1:$AA$110,ROW(bs!#REF!),FALSE),0)/IF(LEN($G$6)&gt;4,10000,1)</f>
        <v>#REF!</v>
      </c>
      <c r="D15" s="107">
        <f>ROUND(HLOOKUP(D1,bs!$C$1:$AA$110,ROW(bs!F109),FALSE),0)/IF(LEN($G$6)&gt;4,10000,1)</f>
        <v>0</v>
      </c>
      <c r="E15" s="107" t="e">
        <f>ROUND(HLOOKUP(E1,bs!$C$1:$AA$110,ROW(bs!E109),FALSE),0)/IF(LEN($G$6)&gt;4,10000,1)</f>
        <v>#REF!</v>
      </c>
    </row>
    <row r="16" ht="13.7" spans="1:5">
      <c r="A16" s="106" t="s">
        <v>409</v>
      </c>
      <c r="B16" s="107" t="e">
        <f>ROUND(HLOOKUP(B1,pl!$C$1:$CE$46,ROW(pl!#REF!),FALSE),0)/IF(LEN($G$6)&gt;4,10000,1)</f>
        <v>#REF!</v>
      </c>
      <c r="C16" s="107" t="e">
        <f>ROUND(HLOOKUP(C1,pl!$C$1:$CE$46,ROW(pl!#REF!),FALSE),0)/IF(LEN($G$6)&gt;4,10000,1)</f>
        <v>#REF!</v>
      </c>
      <c r="D16" s="107" t="e">
        <f>ROUND(HLOOKUP(D1,pl!$C$1:$CE$46,ROW(pl!#REF!),FALSE),0)/IF(LEN($G$6)&gt;4,10000,1)</f>
        <v>#REF!</v>
      </c>
      <c r="E16" s="107" t="e">
        <f>ROUND(HLOOKUP(E1,pl!$C$1:$CE$46,ROW(pl!F2),FALSE),0)/IF(LEN($G$6)&gt;4,10000,1)</f>
        <v>#REF!</v>
      </c>
    </row>
    <row r="17" ht="13.7" spans="1:5">
      <c r="A17" s="106" t="s">
        <v>410</v>
      </c>
      <c r="B17" s="107" t="e">
        <f>ROUND(HLOOKUP(B1,pl!$C$1:$CE$46,ROW(pl!#REF!),FALSE),0)/IF(LEN($G$6)&gt;4,10000,1)</f>
        <v>#REF!</v>
      </c>
      <c r="C17" s="107" t="e">
        <f>ROUND(HLOOKUP(C1,pl!$C$1:$CE$46,ROW(pl!#REF!),FALSE),0)/IF(LEN($G$6)&gt;4,10000,1)</f>
        <v>#REF!</v>
      </c>
      <c r="D17" s="107" t="e">
        <f>ROUND(HLOOKUP(D1,pl!$C$1:$CE$46,ROW(pl!#REF!),FALSE),0)/IF(LEN($G$6)&gt;4,10000,1)</f>
        <v>#REF!</v>
      </c>
      <c r="E17" s="107" t="e">
        <f>ROUND(HLOOKUP(E1,pl!$C$1:$CE$46,ROW(pl!F8),FALSE),0)/IF(LEN($G$6)&gt;4,10000,1)</f>
        <v>#REF!</v>
      </c>
    </row>
    <row r="18" ht="13.7" spans="1:5">
      <c r="A18" s="106" t="s">
        <v>411</v>
      </c>
      <c r="B18" s="107" t="e">
        <f>ROUND(HLOOKUP(B1,pl!$C$1:$CE$46,ROW(pl!#REF!),FALSE),0)/IF(LEN($G$6)&gt;4,10000,1)</f>
        <v>#REF!</v>
      </c>
      <c r="C18" s="107" t="e">
        <f>ROUND(HLOOKUP(C1,pl!$C$1:$CE$46,ROW(pl!#REF!),FALSE),0)/IF(LEN($G$6)&gt;4,10000,1)</f>
        <v>#REF!</v>
      </c>
      <c r="D18" s="107" t="e">
        <f>ROUND(HLOOKUP(D1,pl!$C$1:$CE$46,ROW(pl!#REF!),FALSE),0)/IF(LEN($G$6)&gt;4,10000,1)</f>
        <v>#REF!</v>
      </c>
      <c r="E18" s="107" t="e">
        <f>ROUND(HLOOKUP(E1,pl!$C$1:$CE$46,ROW(pl!F12),FALSE),0)/IF(LEN($G$6)&gt;4,10000,1)</f>
        <v>#REF!</v>
      </c>
    </row>
    <row r="19" ht="13.7" spans="1:5">
      <c r="A19" s="106" t="s">
        <v>346</v>
      </c>
      <c r="B19" s="107" t="e">
        <f>ROUND(HLOOKUP(B1,pl!$C$1:$CE$46,ROW(pl!#REF!),FALSE),0)/IF(LEN($G$6)&gt;4,10000,1)</f>
        <v>#REF!</v>
      </c>
      <c r="C19" s="107" t="e">
        <f>ROUND(HLOOKUP(C1,pl!$C$1:$CE$46,ROW(pl!#REF!),FALSE),0)/IF(LEN($G$6)&gt;4,10000,1)</f>
        <v>#REF!</v>
      </c>
      <c r="D19" s="107" t="e">
        <f>ROUND(HLOOKUP(D1,pl!$C$1:$CE$46,ROW(pl!#REF!),FALSE),0)/IF(LEN($G$6)&gt;4,10000,1)</f>
        <v>#REF!</v>
      </c>
      <c r="E19" s="107" t="e">
        <f>ROUND(HLOOKUP(E1,pl!$C$1:$CE$46,ROW(pl!F13),FALSE),0)/IF(LEN($G$6)&gt;4,10000,1)</f>
        <v>#REF!</v>
      </c>
    </row>
    <row r="20" ht="13.7" spans="1:7">
      <c r="A20" s="106" t="s">
        <v>348</v>
      </c>
      <c r="B20" s="107" t="e">
        <f>ROUND(HLOOKUP(B1,pl!$C$1:$CE$46,ROW(pl!#REF!),FALSE),0)/IF(LEN($G$6)&gt;4,10000,1)</f>
        <v>#REF!</v>
      </c>
      <c r="C20" s="107" t="e">
        <f>ROUND(HLOOKUP(C1,pl!$C$1:$CE$46,ROW(pl!#REF!),FALSE),0)/IF(LEN($G$6)&gt;4,10000,1)</f>
        <v>#REF!</v>
      </c>
      <c r="D20" s="107" t="e">
        <f>ROUND(HLOOKUP(D1,pl!$C$1:$CE$46,ROW(pl!#REF!),FALSE),0)/IF(LEN($G$6)&gt;4,10000,1)</f>
        <v>#REF!</v>
      </c>
      <c r="E20" s="107" t="e">
        <f>ROUND(HLOOKUP(E1,pl!$C$1:$CE$46,ROW(pl!F14),FALSE),0)/IF(LEN($G$6)&gt;4,10000,1)</f>
        <v>#REF!</v>
      </c>
      <c r="F20" s="109"/>
      <c r="G20" s="109"/>
    </row>
    <row r="21" ht="13.7" spans="1:5">
      <c r="A21" s="106" t="s">
        <v>351</v>
      </c>
      <c r="B21" s="107" t="e">
        <f>ROUND(HLOOKUP(B1,pl!$C$1:$CE$46,ROW(pl!#REF!),FALSE),0)/IF(LEN($G$6)&gt;4,10000,1)</f>
        <v>#REF!</v>
      </c>
      <c r="C21" s="107" t="e">
        <f>ROUND(HLOOKUP(C1,pl!$C$1:$CE$46,ROW(pl!#REF!),FALSE),0)/IF(LEN($G$6)&gt;4,10000,1)</f>
        <v>#REF!</v>
      </c>
      <c r="D21" s="107" t="e">
        <f>ROUND(HLOOKUP(D1,pl!$C$1:$CE$46,ROW(pl!#REF!),FALSE),0)/IF(LEN($G$6)&gt;4,10000,1)</f>
        <v>#REF!</v>
      </c>
      <c r="E21" s="107" t="e">
        <f>ROUND(HLOOKUP(E1,pl!$C$1:$CE$46,ROW(pl!F18),FALSE),0)/IF(LEN($G$6)&gt;4,10000,1)</f>
        <v>#REF!</v>
      </c>
    </row>
    <row r="22" ht="13.7" spans="1:5">
      <c r="A22" s="106" t="s">
        <v>352</v>
      </c>
      <c r="B22" s="107" t="e">
        <f>ROUND(HLOOKUP(B1,pl!$C$1:$CE$46,ROW(pl!#REF!),FALSE),0)/IF(LEN($G$6)&gt;4,10000,1)</f>
        <v>#REF!</v>
      </c>
      <c r="C22" s="107" t="e">
        <f>ROUND(HLOOKUP(C1,pl!$C$1:$CE$46,ROW(pl!#REF!),FALSE),0)/IF(LEN($G$6)&gt;4,10000,1)</f>
        <v>#REF!</v>
      </c>
      <c r="D22" s="107" t="e">
        <f>ROUND(HLOOKUP(D1,pl!$C$1:$CE$46,ROW(pl!#REF!),FALSE),0)/IF(LEN($G$6)&gt;4,10000,1)</f>
        <v>#REF!</v>
      </c>
      <c r="E22" s="107" t="e">
        <f>ROUND(HLOOKUP(E1,pl!$C$1:$CE$46,ROW(pl!F21),FALSE),0)/IF(LEN($G$6)&gt;4,10000,1)</f>
        <v>#REF!</v>
      </c>
    </row>
    <row r="23" ht="13.7" spans="1:5">
      <c r="A23" s="106" t="s">
        <v>354</v>
      </c>
      <c r="B23" s="107" t="e">
        <f>ROUND(HLOOKUP(B1,pl!$C$1:$CE$46,ROW(pl!#REF!),FALSE),0)/IF(LEN($G$6)&gt;4,10000,1)</f>
        <v>#REF!</v>
      </c>
      <c r="C23" s="107" t="e">
        <f>ROUND(HLOOKUP(C1,pl!$C$1:$CE$46,ROW(pl!#REF!),FALSE),0)/IF(LEN($G$6)&gt;4,10000,1)</f>
        <v>#REF!</v>
      </c>
      <c r="D23" s="107" t="e">
        <f>ROUND(HLOOKUP(D1,pl!$C$1:$CE$46,ROW(pl!#REF!),FALSE),0)/IF(LEN($G$6)&gt;4,10000,1)</f>
        <v>#REF!</v>
      </c>
      <c r="E23" s="107" t="e">
        <f>ROUND(HLOOKUP(E1,pl!$C$1:$CE$46,ROW(pl!F23),FALSE),0)/IF(LEN($G$6)&gt;4,10000,1)</f>
        <v>#REF!</v>
      </c>
    </row>
    <row r="24" ht="13.7" spans="1:5">
      <c r="A24" s="106" t="s">
        <v>412</v>
      </c>
      <c r="B24" s="107" t="e">
        <f>ROUND(HLOOKUP(B1,cf!$C$1:$CI$39,ROW(pl!#REF!),FALSE),0)/IF(LEN($G$6)&gt;4,10000,1)</f>
        <v>#REF!</v>
      </c>
      <c r="C24" s="107" t="e">
        <f>ROUND(HLOOKUP(C1,cf!$C$1:$CI$39,ROW(pl!#REF!),FALSE),0)/IF(LEN($G$6)&gt;4,10000,1)</f>
        <v>#REF!</v>
      </c>
      <c r="D24" s="107" t="e">
        <f>ROUND(HLOOKUP(D1,cf!$C$1:$CI$39,ROW(pl!#REF!),FALSE),0)/IF(LEN($G$6)&gt;4,10000,1)</f>
        <v>#REF!</v>
      </c>
      <c r="E24" s="107" t="e">
        <f>ROUND(HLOOKUP(E1,cf!$C$1:$CI$39,ROW(pl!#REF!),FALSE),0)/IF(LEN($G$6)&gt;4,10000,1)</f>
        <v>#REF!</v>
      </c>
    </row>
    <row r="25" ht="13.7" spans="1:5">
      <c r="A25" s="106" t="s">
        <v>413</v>
      </c>
      <c r="B25" s="107" t="e">
        <f>ROUND(HLOOKUP(B1,cf!$C$1:$CI$39,ROW(pl!#REF!),FALSE),0)/IF(LEN($G$6)&gt;4,10000,1)</f>
        <v>#REF!</v>
      </c>
      <c r="C25" s="107" t="e">
        <f>ROUND(HLOOKUP(C1,cf!$C$1:$CI$39,ROW(pl!#REF!),FALSE),0)/IF(LEN($G$6)&gt;4,10000,1)</f>
        <v>#REF!</v>
      </c>
      <c r="D25" s="107" t="e">
        <f>ROUND(HLOOKUP(D1,cf!$C$1:$CI$39,ROW(pl!#REF!),FALSE),0)/IF(LEN($G$6)&gt;4,10000,1)</f>
        <v>#REF!</v>
      </c>
      <c r="E25" s="107" t="e">
        <f>ROUND(HLOOKUP(E1,cf!$C$1:$CI$39,ROW(pl!#REF!),FALSE),0)/IF(LEN($G$6)&gt;4,10000,1)</f>
        <v>#REF!</v>
      </c>
    </row>
    <row r="26" ht="13.7" spans="1:5">
      <c r="A26" s="110" t="s">
        <v>367</v>
      </c>
      <c r="B26" s="111"/>
      <c r="C26" s="111"/>
      <c r="D26" s="111"/>
      <c r="E26" s="111"/>
    </row>
    <row r="27" ht="13.7" spans="1:5">
      <c r="A27" s="106" t="s">
        <v>368</v>
      </c>
      <c r="B27" s="112" t="e">
        <f>B4/B10</f>
        <v>#REF!</v>
      </c>
      <c r="C27" s="112" t="e">
        <f>C4/C10</f>
        <v>#REF!</v>
      </c>
      <c r="D27" s="112" t="e">
        <f>D4/D10</f>
        <v>#DIV/0!</v>
      </c>
      <c r="E27" s="112" t="e">
        <f>E4/E10</f>
        <v>#REF!</v>
      </c>
    </row>
    <row r="28" ht="13.7" spans="1:5">
      <c r="A28" s="106" t="s">
        <v>369</v>
      </c>
      <c r="B28" s="112" t="e">
        <f>(B4-B2)/B10</f>
        <v>#REF!</v>
      </c>
      <c r="C28" s="112" t="e">
        <f>(C4-C2)/C10</f>
        <v>#REF!</v>
      </c>
      <c r="D28" s="112" t="e">
        <f>(D4-D2)/D10</f>
        <v>#DIV/0!</v>
      </c>
      <c r="E28" s="112" t="e">
        <f>(E4-E2)/E10</f>
        <v>#REF!</v>
      </c>
    </row>
    <row r="29" ht="13.7" spans="1:5">
      <c r="A29" s="106" t="s">
        <v>388</v>
      </c>
      <c r="B29" s="113" t="e">
        <f>B15/B7</f>
        <v>#REF!</v>
      </c>
      <c r="C29" s="114" t="e">
        <f>C15/C7</f>
        <v>#REF!</v>
      </c>
      <c r="D29" s="115" t="e">
        <f>D15/D7</f>
        <v>#DIV/0!</v>
      </c>
      <c r="E29" s="115" t="e">
        <f>E15/E7</f>
        <v>#REF!</v>
      </c>
    </row>
    <row r="30" ht="13.7" spans="1:5">
      <c r="A30" s="106" t="s">
        <v>370</v>
      </c>
      <c r="B30" s="113" t="e">
        <f>B14/B7</f>
        <v>#REF!</v>
      </c>
      <c r="C30" s="114" t="e">
        <f>C14/C7</f>
        <v>#REF!</v>
      </c>
      <c r="D30" s="115" t="e">
        <f>D14/D7</f>
        <v>#DIV/0!</v>
      </c>
      <c r="E30" s="115" t="e">
        <f>E14/E7</f>
        <v>#REF!</v>
      </c>
    </row>
    <row r="31" ht="13.7" spans="1:5">
      <c r="A31" s="106" t="s">
        <v>372</v>
      </c>
      <c r="B31" s="113" t="e">
        <f>B10/B14</f>
        <v>#REF!</v>
      </c>
      <c r="C31" s="114" t="e">
        <f>C10/C14</f>
        <v>#REF!</v>
      </c>
      <c r="D31" s="115" t="e">
        <f>D10/D14</f>
        <v>#DIV/0!</v>
      </c>
      <c r="E31" s="115" t="e">
        <f>E10/E14</f>
        <v>#REF!</v>
      </c>
    </row>
    <row r="32" ht="13.7" spans="1:5">
      <c r="A32" s="106" t="s">
        <v>414</v>
      </c>
      <c r="B32" s="112" t="e">
        <f>(B22+B20)/B20</f>
        <v>#REF!</v>
      </c>
      <c r="C32" s="112" t="e">
        <f>(C22+C20)/C20</f>
        <v>#REF!</v>
      </c>
      <c r="D32" s="112" t="e">
        <f>(D22+D20)/D20</f>
        <v>#REF!</v>
      </c>
      <c r="E32" s="112" t="e">
        <f>(E22+E20)/E20</f>
        <v>#REF!</v>
      </c>
    </row>
    <row r="33" ht="13.7" spans="1:5">
      <c r="A33" s="116" t="s">
        <v>373</v>
      </c>
      <c r="B33" s="117"/>
      <c r="C33" s="117"/>
      <c r="D33" s="117"/>
      <c r="E33" s="117"/>
    </row>
    <row r="34" ht="13.7" spans="1:5">
      <c r="A34" s="106" t="s">
        <v>374</v>
      </c>
      <c r="B34" s="112" t="e">
        <f>0+(B17/(B2+C2)*2)</f>
        <v>#REF!</v>
      </c>
      <c r="C34" s="112" t="e">
        <f>C17/(C2+D2)*2</f>
        <v>#REF!</v>
      </c>
      <c r="D34" s="112" t="e">
        <f>D17/(D2+E2)*2</f>
        <v>#REF!</v>
      </c>
      <c r="E34" s="112" t="e">
        <f>E17/E2</f>
        <v>#REF!</v>
      </c>
    </row>
    <row r="35" ht="13.7" spans="1:5">
      <c r="A35" s="106" t="s">
        <v>375</v>
      </c>
      <c r="B35" s="112" t="e">
        <f>0+(B16/(B7+C7)*2)</f>
        <v>#REF!</v>
      </c>
      <c r="C35" s="112" t="e">
        <f>C16/(C7+D7)*2</f>
        <v>#REF!</v>
      </c>
      <c r="D35" s="112" t="e">
        <f>D16/(D7+E7)*2</f>
        <v>#REF!</v>
      </c>
      <c r="E35" s="112" t="e">
        <f>E16/E7</f>
        <v>#REF!</v>
      </c>
    </row>
    <row r="36" ht="13.7" spans="1:5">
      <c r="A36" s="106" t="s">
        <v>415</v>
      </c>
      <c r="B36" s="112" t="e">
        <f>0+(B16/(B3+C3)*2)</f>
        <v>#REF!</v>
      </c>
      <c r="C36" s="112" t="e">
        <f>C16/(C3+D3)*2</f>
        <v>#REF!</v>
      </c>
      <c r="D36" s="112" t="e">
        <f>D16/(D3+E3)*2</f>
        <v>#REF!</v>
      </c>
      <c r="E36" s="112" t="e">
        <f>E16/E3</f>
        <v>#REF!</v>
      </c>
    </row>
    <row r="37" ht="13.7" spans="1:5">
      <c r="A37" s="106" t="s">
        <v>377</v>
      </c>
      <c r="B37" s="113" t="e">
        <f>0+(B17/B16)</f>
        <v>#REF!</v>
      </c>
      <c r="C37" s="114" t="e">
        <f>C17/C16</f>
        <v>#REF!</v>
      </c>
      <c r="D37" s="115" t="e">
        <f>D17/D16</f>
        <v>#REF!</v>
      </c>
      <c r="E37" s="115" t="e">
        <f>E17/E16</f>
        <v>#REF!</v>
      </c>
    </row>
    <row r="38" ht="13.7" spans="1:5">
      <c r="A38" s="106" t="s">
        <v>378</v>
      </c>
      <c r="B38" s="113" t="e">
        <f>0+(B18/B16)</f>
        <v>#REF!</v>
      </c>
      <c r="C38" s="114" t="e">
        <f>C18/C16</f>
        <v>#REF!</v>
      </c>
      <c r="D38" s="115" t="e">
        <f>D18/D16</f>
        <v>#REF!</v>
      </c>
      <c r="E38" s="115" t="e">
        <f>E18/E16</f>
        <v>#REF!</v>
      </c>
    </row>
    <row r="39" ht="13.7" spans="1:5">
      <c r="A39" s="106" t="s">
        <v>379</v>
      </c>
      <c r="B39" s="113" t="e">
        <f>0+(B19/B16)</f>
        <v>#REF!</v>
      </c>
      <c r="C39" s="114" t="e">
        <f>C19/C16</f>
        <v>#REF!</v>
      </c>
      <c r="D39" s="115" t="e">
        <f>D19/D16</f>
        <v>#REF!</v>
      </c>
      <c r="E39" s="115" t="e">
        <f>E19/E16</f>
        <v>#REF!</v>
      </c>
    </row>
    <row r="40" ht="13.7" spans="1:5">
      <c r="A40" s="106" t="s">
        <v>380</v>
      </c>
      <c r="B40" s="113" t="e">
        <f>0+(B20/B16)</f>
        <v>#REF!</v>
      </c>
      <c r="C40" s="114" t="e">
        <f>C20/C16</f>
        <v>#REF!</v>
      </c>
      <c r="D40" s="115" t="e">
        <f>D20/D16</f>
        <v>#REF!</v>
      </c>
      <c r="E40" s="115" t="e">
        <f>E20/E16</f>
        <v>#REF!</v>
      </c>
    </row>
    <row r="41" ht="13.7" spans="1:5">
      <c r="A41" s="116" t="s">
        <v>381</v>
      </c>
      <c r="B41" s="117"/>
      <c r="C41" s="117"/>
      <c r="D41" s="117"/>
      <c r="E41" s="117"/>
    </row>
    <row r="42" ht="13.7" spans="1:5">
      <c r="A42" s="106" t="s">
        <v>382</v>
      </c>
      <c r="B42" s="113" t="e">
        <f>B23/B16</f>
        <v>#REF!</v>
      </c>
      <c r="C42" s="114" t="e">
        <f>C23/C16</f>
        <v>#REF!</v>
      </c>
      <c r="D42" s="115" t="e">
        <f>D23/D16</f>
        <v>#REF!</v>
      </c>
      <c r="E42" s="115" t="e">
        <f>E23/E16</f>
        <v>#REF!</v>
      </c>
    </row>
    <row r="43" ht="13.7" spans="1:5">
      <c r="A43" s="106" t="s">
        <v>416</v>
      </c>
      <c r="B43" s="113" t="e">
        <f>B21/B16</f>
        <v>#REF!</v>
      </c>
      <c r="C43" s="114" t="e">
        <f>C21/C16</f>
        <v>#REF!</v>
      </c>
      <c r="D43" s="115" t="e">
        <f>D21/D16</f>
        <v>#REF!</v>
      </c>
      <c r="E43" s="115" t="e">
        <f>E21/E16</f>
        <v>#REF!</v>
      </c>
    </row>
    <row r="44" ht="13.7" spans="1:5">
      <c r="A44" s="106" t="s">
        <v>384</v>
      </c>
      <c r="B44" s="113" t="e">
        <f>B22/(B7+C7)*2</f>
        <v>#REF!</v>
      </c>
      <c r="C44" s="114" t="e">
        <f>C22/(C7+D7)*2</f>
        <v>#REF!</v>
      </c>
      <c r="D44" s="115" t="e">
        <f>D22/(D7+E7)*2</f>
        <v>#REF!</v>
      </c>
      <c r="E44" s="115" t="e">
        <f>E22/E7</f>
        <v>#REF!</v>
      </c>
    </row>
    <row r="45" ht="13.7" spans="1:5">
      <c r="A45" s="106" t="s">
        <v>385</v>
      </c>
      <c r="B45" s="113" t="e">
        <f>B23/(B7+C7)*2</f>
        <v>#REF!</v>
      </c>
      <c r="C45" s="114" t="e">
        <f>C23/(C7+D7)*2</f>
        <v>#REF!</v>
      </c>
      <c r="D45" s="115" t="e">
        <f>D23/(D7+E7)*2</f>
        <v>#REF!</v>
      </c>
      <c r="E45" s="115" t="e">
        <f>E23/E7</f>
        <v>#REF!</v>
      </c>
    </row>
    <row r="46" ht="13.7" spans="1:5">
      <c r="A46" s="106" t="s">
        <v>386</v>
      </c>
      <c r="B46" s="113" t="e">
        <f>B23/(B15+C15)*2</f>
        <v>#REF!</v>
      </c>
      <c r="C46" s="114" t="e">
        <f>C23/(C15+D15)*2</f>
        <v>#REF!</v>
      </c>
      <c r="D46" s="115" t="e">
        <f>D23/(D15+E15)*2</f>
        <v>#REF!</v>
      </c>
      <c r="E46" s="115" t="e">
        <f>E23/E15</f>
        <v>#REF!</v>
      </c>
    </row>
    <row r="47" ht="13.7" spans="1:5">
      <c r="A47" s="116" t="s">
        <v>417</v>
      </c>
      <c r="B47" s="117"/>
      <c r="C47" s="117"/>
      <c r="D47" s="117"/>
      <c r="E47" s="117"/>
    </row>
    <row r="48" ht="13.7" spans="1:5">
      <c r="A48" s="106" t="s">
        <v>418</v>
      </c>
      <c r="B48" s="113" t="e">
        <f>(B16-C16)/C16</f>
        <v>#REF!</v>
      </c>
      <c r="C48" s="115" t="e">
        <f>(C16-D16)/D16</f>
        <v>#REF!</v>
      </c>
      <c r="D48" s="115" t="e">
        <f>(D16-E16)/E16</f>
        <v>#REF!</v>
      </c>
      <c r="E48" s="115" t="str">
        <f>IFERROR((E16-F16)/F16,"-")</f>
        <v>-</v>
      </c>
    </row>
    <row r="49" ht="13.7" spans="1:5">
      <c r="A49" s="106" t="s">
        <v>419</v>
      </c>
      <c r="B49" s="113" t="e">
        <f>(B23-C23)/C23</f>
        <v>#REF!</v>
      </c>
      <c r="C49" s="115" t="e">
        <f>(C23-D23)/D23</f>
        <v>#REF!</v>
      </c>
      <c r="D49" s="115" t="e">
        <f>(D23-E23)/E23</f>
        <v>#REF!</v>
      </c>
      <c r="E49" s="115" t="str">
        <f>IFERROR((E23-F23)/F23,"-")</f>
        <v>-</v>
      </c>
    </row>
    <row r="50" ht="13.7" spans="1:5">
      <c r="A50" s="106" t="s">
        <v>420</v>
      </c>
      <c r="B50" s="113" t="e">
        <f>(B7-C7)/C7</f>
        <v>#REF!</v>
      </c>
      <c r="C50" s="115" t="e">
        <f>(C7-D7)/D7</f>
        <v>#REF!</v>
      </c>
      <c r="D50" s="115" t="e">
        <f>(D7-E7)/E7</f>
        <v>#REF!</v>
      </c>
      <c r="E50" s="115" t="str">
        <f>IFERROR((E7-F7)/F7,"-")</f>
        <v>-</v>
      </c>
    </row>
    <row r="51" ht="13.7" spans="1:5">
      <c r="A51" s="106" t="s">
        <v>421</v>
      </c>
      <c r="B51" s="113" t="e">
        <f>(B15-C15)/C15</f>
        <v>#REF!</v>
      </c>
      <c r="C51" s="115" t="e">
        <f>(C15-D15)/D15</f>
        <v>#REF!</v>
      </c>
      <c r="D51" s="115" t="e">
        <f>(D15-E15)/E15</f>
        <v>#REF!</v>
      </c>
      <c r="E51" s="115" t="str">
        <f>IFERROR((E15-F15)/F15,"-")</f>
        <v>-</v>
      </c>
    </row>
    <row r="52" ht="13.7" spans="1:5">
      <c r="A52" s="106" t="s">
        <v>422</v>
      </c>
      <c r="B52" s="113" t="e">
        <f t="shared" ref="B52:D53" si="0">(B21-C21)/C21</f>
        <v>#REF!</v>
      </c>
      <c r="C52" s="115" t="e">
        <f t="shared" si="0"/>
        <v>#REF!</v>
      </c>
      <c r="D52" s="115" t="e">
        <f t="shared" si="0"/>
        <v>#REF!</v>
      </c>
      <c r="E52" s="115" t="str">
        <f>IFERROR((E21-F21)/F21,"-")</f>
        <v>-</v>
      </c>
    </row>
    <row r="53" ht="13.7" spans="1:5">
      <c r="A53" s="106" t="s">
        <v>423</v>
      </c>
      <c r="B53" s="113" t="e">
        <f t="shared" si="0"/>
        <v>#REF!</v>
      </c>
      <c r="C53" s="115" t="e">
        <f t="shared" si="0"/>
        <v>#REF!</v>
      </c>
      <c r="D53" s="115" t="e">
        <f t="shared" si="0"/>
        <v>#REF!</v>
      </c>
      <c r="E53" s="115" t="str">
        <f>IFERROR((E22-F22)/F22,"-")</f>
        <v>-</v>
      </c>
    </row>
    <row r="54" ht="13.7" spans="1:5">
      <c r="A54" s="116" t="s">
        <v>387</v>
      </c>
      <c r="B54" s="117"/>
      <c r="C54" s="117"/>
      <c r="D54" s="117"/>
      <c r="E54" s="117"/>
    </row>
    <row r="55" ht="13.7" spans="1:5">
      <c r="A55" s="106" t="s">
        <v>370</v>
      </c>
      <c r="B55" s="113" t="e">
        <f>B14/B7</f>
        <v>#REF!</v>
      </c>
      <c r="C55" s="115" t="e">
        <f>C14/C7</f>
        <v>#REF!</v>
      </c>
      <c r="D55" s="115" t="e">
        <f>D14/D7</f>
        <v>#DIV/0!</v>
      </c>
      <c r="E55" s="115" t="e">
        <f>E14/E7</f>
        <v>#REF!</v>
      </c>
    </row>
    <row r="56" ht="13.7" spans="1:5">
      <c r="A56" s="106" t="s">
        <v>389</v>
      </c>
      <c r="B56" s="113" t="e">
        <f>B13/B7</f>
        <v>#REF!</v>
      </c>
      <c r="C56" s="115" t="e">
        <f>C13/C7</f>
        <v>#REF!</v>
      </c>
      <c r="D56" s="115" t="e">
        <f>D13/D7</f>
        <v>#DIV/0!</v>
      </c>
      <c r="E56" s="115" t="e">
        <f>E13/E7</f>
        <v>#REF!</v>
      </c>
    </row>
    <row r="57" ht="13.7" spans="1:5">
      <c r="A57" s="116" t="s">
        <v>390</v>
      </c>
      <c r="B57" s="117"/>
      <c r="C57" s="117"/>
      <c r="D57" s="117"/>
      <c r="E57" s="117"/>
    </row>
    <row r="58" ht="27.45" spans="1:5">
      <c r="A58" s="106" t="s">
        <v>424</v>
      </c>
      <c r="B58" s="112" t="e">
        <f>B25/B23</f>
        <v>#REF!</v>
      </c>
      <c r="C58" s="112" t="e">
        <f>C25/C23</f>
        <v>#REF!</v>
      </c>
      <c r="D58" s="112" t="e">
        <f>D25/D23</f>
        <v>#REF!</v>
      </c>
      <c r="E58" s="112" t="e">
        <f>E25/E23</f>
        <v>#REF!</v>
      </c>
    </row>
    <row r="60" ht="13.7" spans="1:5">
      <c r="A60" s="118" t="str">
        <f>A41</f>
        <v>盈利能力分析</v>
      </c>
      <c r="B60" s="118"/>
      <c r="C60" s="118"/>
      <c r="D60" s="118"/>
      <c r="E60" s="118"/>
    </row>
    <row r="61" ht="13.7" spans="1:5">
      <c r="A61" s="119" t="str">
        <f>A1</f>
        <v>项目</v>
      </c>
      <c r="B61" s="120">
        <f>B1</f>
        <v>43465</v>
      </c>
      <c r="C61" s="120">
        <f>C1</f>
        <v>43830</v>
      </c>
      <c r="D61" s="120">
        <f t="shared" ref="D61:E61" si="1">D1</f>
        <v>44196</v>
      </c>
      <c r="E61" s="120" t="e">
        <f t="shared" si="1"/>
        <v>#REF!</v>
      </c>
    </row>
    <row r="62" ht="13.7" spans="1:5">
      <c r="A62" s="106" t="s">
        <v>382</v>
      </c>
      <c r="B62" s="113" t="e">
        <f>B42</f>
        <v>#REF!</v>
      </c>
      <c r="C62" s="113" t="e">
        <f t="shared" ref="C62:E62" si="2">C42</f>
        <v>#REF!</v>
      </c>
      <c r="D62" s="113" t="e">
        <f t="shared" si="2"/>
        <v>#REF!</v>
      </c>
      <c r="E62" s="113" t="e">
        <f t="shared" si="2"/>
        <v>#REF!</v>
      </c>
    </row>
    <row r="63" ht="13.7" spans="1:5">
      <c r="A63" s="106" t="s">
        <v>416</v>
      </c>
      <c r="B63" s="113" t="e">
        <f t="shared" ref="B63:E66" si="3">B43</f>
        <v>#REF!</v>
      </c>
      <c r="C63" s="113" t="e">
        <f t="shared" si="3"/>
        <v>#REF!</v>
      </c>
      <c r="D63" s="113" t="e">
        <f t="shared" si="3"/>
        <v>#REF!</v>
      </c>
      <c r="E63" s="113" t="e">
        <f t="shared" si="3"/>
        <v>#REF!</v>
      </c>
    </row>
    <row r="64" ht="13.7" spans="1:5">
      <c r="A64" s="106" t="s">
        <v>384</v>
      </c>
      <c r="B64" s="113" t="e">
        <f t="shared" si="3"/>
        <v>#REF!</v>
      </c>
      <c r="C64" s="113" t="e">
        <f t="shared" si="3"/>
        <v>#REF!</v>
      </c>
      <c r="D64" s="113" t="e">
        <f t="shared" si="3"/>
        <v>#REF!</v>
      </c>
      <c r="E64" s="113" t="e">
        <f t="shared" si="3"/>
        <v>#REF!</v>
      </c>
    </row>
    <row r="65" ht="13.7" spans="1:5">
      <c r="A65" s="106" t="s">
        <v>385</v>
      </c>
      <c r="B65" s="113" t="e">
        <f t="shared" si="3"/>
        <v>#REF!</v>
      </c>
      <c r="C65" s="113" t="e">
        <f t="shared" si="3"/>
        <v>#REF!</v>
      </c>
      <c r="D65" s="113" t="e">
        <f t="shared" si="3"/>
        <v>#REF!</v>
      </c>
      <c r="E65" s="113" t="e">
        <f t="shared" si="3"/>
        <v>#REF!</v>
      </c>
    </row>
    <row r="66" ht="13.7" spans="1:5">
      <c r="A66" s="106" t="s">
        <v>386</v>
      </c>
      <c r="B66" s="113" t="e">
        <f t="shared" si="3"/>
        <v>#REF!</v>
      </c>
      <c r="C66" s="113" t="e">
        <f t="shared" si="3"/>
        <v>#REF!</v>
      </c>
      <c r="D66" s="113" t="e">
        <f t="shared" si="3"/>
        <v>#REF!</v>
      </c>
      <c r="E66" s="113" t="e">
        <f t="shared" si="3"/>
        <v>#REF!</v>
      </c>
    </row>
    <row r="68" ht="13.7" spans="1:5">
      <c r="A68" s="118" t="str">
        <f>A26</f>
        <v>偿债能力分析</v>
      </c>
      <c r="B68" s="118"/>
      <c r="C68" s="118"/>
      <c r="D68" s="118"/>
      <c r="E68" s="118"/>
    </row>
    <row r="69" ht="13.7" spans="1:5">
      <c r="A69" s="119" t="str">
        <f>A1</f>
        <v>项目</v>
      </c>
      <c r="B69" s="120">
        <f t="shared" ref="B69:E69" si="4">B1</f>
        <v>43465</v>
      </c>
      <c r="C69" s="120">
        <f t="shared" si="4"/>
        <v>43830</v>
      </c>
      <c r="D69" s="120">
        <f t="shared" si="4"/>
        <v>44196</v>
      </c>
      <c r="E69" s="120" t="e">
        <f t="shared" si="4"/>
        <v>#REF!</v>
      </c>
    </row>
    <row r="70" ht="13.7" spans="1:5">
      <c r="A70" s="106" t="str">
        <f>A27</f>
        <v>流动比率</v>
      </c>
      <c r="B70" s="112" t="e">
        <f t="shared" ref="B70:E75" si="5">B27</f>
        <v>#REF!</v>
      </c>
      <c r="C70" s="112" t="e">
        <f t="shared" si="5"/>
        <v>#REF!</v>
      </c>
      <c r="D70" s="112" t="e">
        <f t="shared" si="5"/>
        <v>#DIV/0!</v>
      </c>
      <c r="E70" s="112" t="e">
        <f t="shared" si="5"/>
        <v>#REF!</v>
      </c>
    </row>
    <row r="71" ht="13.7" spans="1:5">
      <c r="A71" s="106" t="str">
        <f t="shared" ref="A71:A75" si="6">A28</f>
        <v>速动比率</v>
      </c>
      <c r="B71" s="112" t="e">
        <f t="shared" si="5"/>
        <v>#REF!</v>
      </c>
      <c r="C71" s="112" t="e">
        <f t="shared" si="5"/>
        <v>#REF!</v>
      </c>
      <c r="D71" s="112" t="e">
        <f t="shared" si="5"/>
        <v>#DIV/0!</v>
      </c>
      <c r="E71" s="112" t="e">
        <f t="shared" si="5"/>
        <v>#REF!</v>
      </c>
    </row>
    <row r="72" ht="13.7" spans="1:5">
      <c r="A72" s="106" t="str">
        <f t="shared" si="6"/>
        <v>股东权益比(%)</v>
      </c>
      <c r="B72" s="113" t="e">
        <f t="shared" si="5"/>
        <v>#REF!</v>
      </c>
      <c r="C72" s="114" t="e">
        <f t="shared" si="5"/>
        <v>#REF!</v>
      </c>
      <c r="D72" s="115" t="e">
        <f t="shared" si="5"/>
        <v>#DIV/0!</v>
      </c>
      <c r="E72" s="115" t="e">
        <f t="shared" si="5"/>
        <v>#REF!</v>
      </c>
    </row>
    <row r="73" ht="13.7" spans="1:5">
      <c r="A73" s="106" t="str">
        <f t="shared" si="6"/>
        <v>资产负债率(%)</v>
      </c>
      <c r="B73" s="113" t="e">
        <f t="shared" si="5"/>
        <v>#REF!</v>
      </c>
      <c r="C73" s="114" t="e">
        <f t="shared" si="5"/>
        <v>#REF!</v>
      </c>
      <c r="D73" s="115" t="e">
        <f t="shared" si="5"/>
        <v>#DIV/0!</v>
      </c>
      <c r="E73" s="115" t="e">
        <f t="shared" si="5"/>
        <v>#REF!</v>
      </c>
    </row>
    <row r="74" ht="13.7" spans="1:5">
      <c r="A74" s="106" t="str">
        <f t="shared" si="6"/>
        <v>流动负债率(%)</v>
      </c>
      <c r="B74" s="113" t="e">
        <f t="shared" si="5"/>
        <v>#REF!</v>
      </c>
      <c r="C74" s="114" t="e">
        <f t="shared" si="5"/>
        <v>#REF!</v>
      </c>
      <c r="D74" s="115" t="e">
        <f t="shared" si="5"/>
        <v>#DIV/0!</v>
      </c>
      <c r="E74" s="115" t="e">
        <f t="shared" si="5"/>
        <v>#REF!</v>
      </c>
    </row>
    <row r="75" ht="13.7" spans="1:5">
      <c r="A75" s="106" t="str">
        <f t="shared" si="6"/>
        <v>EBITDA利息倍数</v>
      </c>
      <c r="B75" s="112" t="e">
        <f t="shared" si="5"/>
        <v>#REF!</v>
      </c>
      <c r="C75" s="112" t="e">
        <f t="shared" si="5"/>
        <v>#REF!</v>
      </c>
      <c r="D75" s="112" t="e">
        <f t="shared" si="5"/>
        <v>#REF!</v>
      </c>
      <c r="E75" s="112" t="e">
        <f t="shared" si="5"/>
        <v>#REF!</v>
      </c>
    </row>
  </sheetData>
  <customSheetViews>
    <customSheetView guid="{EFE5EB9F-962C-4232-9E60-22B2AE19D01B}">
      <pane xSplit="1" ySplit="1" topLeftCell="B2" activePane="bottomRight" state="frozen"/>
      <selection activeCell="C23" sqref="C23"/>
      <pageMargins left="0.75" right="0.75" top="1" bottom="1" header="0.5" footer="0.5"/>
      <pageSetup paperSize="9" orientation="portrait"/>
      <headerFooter alignWithMargins="0"/>
    </customSheetView>
  </customSheetViews>
  <mergeCells count="8">
    <mergeCell ref="A26:E26"/>
    <mergeCell ref="A33:E33"/>
    <mergeCell ref="A41:E41"/>
    <mergeCell ref="A47:E47"/>
    <mergeCell ref="A54:E54"/>
    <mergeCell ref="A57:E57"/>
    <mergeCell ref="A60:E60"/>
    <mergeCell ref="A68:E68"/>
  </mergeCells>
  <dataValidations count="2">
    <dataValidation type="list" allowBlank="1" showInputMessage="1" showErrorMessage="1" sqref="G6">
      <formula1>"单位：元,单位：万元"</formula1>
    </dataValidation>
    <dataValidation type="list" allowBlank="1" showInputMessage="1" showErrorMessage="1" sqref="B1">
      <formula1>bs!$C$1:$P$1</formula1>
    </dataValidation>
  </dataValidations>
  <pageMargins left="0.75" right="0.75" top="1" bottom="1" header="0.5" footer="0.5"/>
  <pageSetup paperSize="9" orientation="portrait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"/>
  <dimension ref="B1:L92"/>
  <sheetViews>
    <sheetView workbookViewId="0">
      <selection activeCell="A1" sqref="A1"/>
    </sheetView>
  </sheetViews>
  <sheetFormatPr defaultColWidth="9" defaultRowHeight="12.4"/>
  <cols>
    <col min="2" max="2" width="16.1441441441441" style="80" customWidth="1"/>
    <col min="3" max="3" width="11.7117117117117" style="81" customWidth="1"/>
    <col min="4" max="4" width="8.56756756756757" style="81" customWidth="1"/>
    <col min="5" max="5" width="11.7117117117117" style="81" customWidth="1"/>
    <col min="6" max="6" width="8.56756756756757" style="81" customWidth="1"/>
    <col min="7" max="7" width="11.7117117117117" style="81" customWidth="1"/>
    <col min="8" max="8" width="8.56756756756757" style="81" customWidth="1"/>
    <col min="9" max="9" width="11.7117117117117" style="81" customWidth="1"/>
    <col min="10" max="10" width="8.56756756756757" style="81" customWidth="1"/>
    <col min="12" max="12" width="20.8558558558559" customWidth="1"/>
  </cols>
  <sheetData>
    <row r="1" spans="2:10">
      <c r="B1" s="82" t="s">
        <v>241</v>
      </c>
      <c r="C1" s="82"/>
      <c r="D1" s="82"/>
      <c r="E1" s="82"/>
      <c r="F1" s="82"/>
      <c r="G1" s="82"/>
      <c r="H1" s="82"/>
      <c r="I1" s="82"/>
      <c r="J1" s="82"/>
    </row>
    <row r="2" spans="2:12">
      <c r="B2" s="83" t="s">
        <v>394</v>
      </c>
      <c r="C2" s="84">
        <f>'财务分析（2022）版'!B3</f>
        <v>45107</v>
      </c>
      <c r="D2" s="85"/>
      <c r="E2" s="84">
        <f>DATE(YEAR(C2)-1,12,31)</f>
        <v>44926</v>
      </c>
      <c r="F2" s="85"/>
      <c r="G2" s="84">
        <f>DATE(YEAR(E2)-1,12,31)</f>
        <v>44561</v>
      </c>
      <c r="H2" s="85"/>
      <c r="I2" s="84">
        <f>DATE(YEAR(G2)-1,12,31)</f>
        <v>44196</v>
      </c>
      <c r="J2" s="85"/>
      <c r="L2" s="16" t="s">
        <v>425</v>
      </c>
    </row>
    <row r="3" spans="2:12">
      <c r="B3" s="83"/>
      <c r="C3" s="86" t="s">
        <v>426</v>
      </c>
      <c r="D3" s="86" t="s">
        <v>427</v>
      </c>
      <c r="E3" s="86" t="s">
        <v>426</v>
      </c>
      <c r="F3" s="86" t="s">
        <v>427</v>
      </c>
      <c r="G3" s="86" t="s">
        <v>426</v>
      </c>
      <c r="H3" s="86" t="s">
        <v>427</v>
      </c>
      <c r="I3" s="86" t="s">
        <v>426</v>
      </c>
      <c r="J3" s="86" t="s">
        <v>427</v>
      </c>
      <c r="L3" s="16" t="s">
        <v>428</v>
      </c>
    </row>
    <row r="4" spans="2:12">
      <c r="B4" s="87" t="s">
        <v>429</v>
      </c>
      <c r="C4" s="88">
        <f>ROUND(HLOOKUP($C$2,bs!$C$1:$AA$110,MATCH("*"&amp;B4&amp;"*",bs!$B$1:$B$110,),FALSE),0)/IF(LEN($B$1)&gt;4,10000,1)</f>
        <v>0</v>
      </c>
      <c r="D4" s="89" t="e">
        <f t="shared" ref="D4:D10" si="0">C4/$C$45</f>
        <v>#DIV/0!</v>
      </c>
      <c r="E4" s="88">
        <f>ROUND(HLOOKUP($E$2,bs!$C$1:$AA$110,MATCH("*"&amp;B4&amp;"*",bs!$B$1:$B$110,),FALSE),0)/IF(LEN($B$1)&gt;4,10000,1)</f>
        <v>0</v>
      </c>
      <c r="F4" s="89" t="e">
        <f t="shared" ref="F4:F10" si="1">E4/$E$45</f>
        <v>#DIV/0!</v>
      </c>
      <c r="G4" s="90">
        <f>ROUND(HLOOKUP($G$2,bs!$C$1:$AA$110,MATCH("*"&amp;B4&amp;"*",bs!$B$1:$B$110,),FALSE),0)/IF(LEN($B$1)&gt;4,10000,1)</f>
        <v>0</v>
      </c>
      <c r="H4" s="89" t="e">
        <f t="shared" ref="H4:H10" si="2">G4/$G$45</f>
        <v>#DIV/0!</v>
      </c>
      <c r="I4" s="90">
        <f>ROUND(HLOOKUP($I$2,bs!$C$1:$AA$110,MATCH("*"&amp;B4&amp;"*",bs!$B$1:$B$110,),FALSE),0)/IF(LEN($B$1)&gt;4,10000,1)</f>
        <v>0</v>
      </c>
      <c r="J4" s="89" t="e">
        <f t="shared" ref="J4:J10" si="3">I4/$I$45</f>
        <v>#DIV/0!</v>
      </c>
      <c r="L4" s="99" t="e">
        <f>D4+F4+H4+J4</f>
        <v>#DIV/0!</v>
      </c>
    </row>
    <row r="5" spans="2:12">
      <c r="B5" s="87" t="s">
        <v>430</v>
      </c>
      <c r="C5" s="88">
        <f>ROUND(HLOOKUP($C$2,bs!$C$1:$AA$110,MATCH("*"&amp;B5&amp;"*",bs!$B$1:$B$110,),FALSE),0)/IF(LEN($B$1)&gt;4,10000,1)</f>
        <v>0</v>
      </c>
      <c r="D5" s="89" t="e">
        <f t="shared" si="0"/>
        <v>#DIV/0!</v>
      </c>
      <c r="E5" s="88">
        <f>ROUND(HLOOKUP($E$2,bs!$C$1:$AA$110,MATCH("*"&amp;B5&amp;"*",bs!$B$1:$B$110,),FALSE),0)/IF(LEN($B$1)&gt;4,10000,1)</f>
        <v>0</v>
      </c>
      <c r="F5" s="89" t="e">
        <f t="shared" si="1"/>
        <v>#DIV/0!</v>
      </c>
      <c r="G5" s="90">
        <f>ROUND(HLOOKUP($G$2,bs!$C$1:$AA$110,MATCH("*"&amp;B5&amp;"*",bs!$B$1:$B$110,),FALSE),0)/IF(LEN($B$1)&gt;4,10000,1)</f>
        <v>0</v>
      </c>
      <c r="H5" s="89" t="e">
        <f t="shared" si="2"/>
        <v>#DIV/0!</v>
      </c>
      <c r="I5" s="90">
        <f>ROUND(HLOOKUP($I$2,bs!$C$1:$AA$110,MATCH("*"&amp;B5&amp;"*",bs!$B$1:$B$110,),FALSE),0)/IF(LEN($B$1)&gt;4,10000,1)</f>
        <v>0</v>
      </c>
      <c r="J5" s="89" t="e">
        <f t="shared" si="3"/>
        <v>#DIV/0!</v>
      </c>
      <c r="L5" s="99" t="e">
        <f t="shared" ref="L5:L68" si="4">D5+F5+H5+J5</f>
        <v>#DIV/0!</v>
      </c>
    </row>
    <row r="6" spans="2:12">
      <c r="B6" s="87" t="s">
        <v>431</v>
      </c>
      <c r="C6" s="88">
        <f>ROUND(HLOOKUP($C$2,bs!$C$1:$AA$110,MATCH("*"&amp;B6&amp;"*",bs!$B$1:$B$110,),FALSE),0)/IF(LEN($B$1)&gt;4,10000,1)</f>
        <v>0</v>
      </c>
      <c r="D6" s="89" t="e">
        <f t="shared" si="0"/>
        <v>#DIV/0!</v>
      </c>
      <c r="E6" s="88">
        <f>ROUND(HLOOKUP($E$2,bs!$C$1:$AA$110,MATCH("*"&amp;B6&amp;"*",bs!$B$1:$B$110,),FALSE),0)/IF(LEN($B$1)&gt;4,10000,1)</f>
        <v>0</v>
      </c>
      <c r="F6" s="89" t="e">
        <f t="shared" si="1"/>
        <v>#DIV/0!</v>
      </c>
      <c r="G6" s="90">
        <f>ROUND(HLOOKUP($G$2,bs!$C$1:$AA$110,MATCH("*"&amp;B6&amp;"*",bs!$B$1:$B$110,),FALSE),0)/IF(LEN($B$1)&gt;4,10000,1)</f>
        <v>0</v>
      </c>
      <c r="H6" s="89" t="e">
        <f t="shared" si="2"/>
        <v>#DIV/0!</v>
      </c>
      <c r="I6" s="90">
        <f>ROUND(HLOOKUP($I$2,bs!$C$1:$AA$110,MATCH("*"&amp;B6&amp;"*",bs!$B$1:$B$110,),FALSE),0)/IF(LEN($B$1)&gt;4,10000,1)</f>
        <v>0</v>
      </c>
      <c r="J6" s="89" t="e">
        <f t="shared" si="3"/>
        <v>#DIV/0!</v>
      </c>
      <c r="L6" s="99" t="e">
        <f t="shared" si="4"/>
        <v>#DIV/0!</v>
      </c>
    </row>
    <row r="7" spans="2:12">
      <c r="B7" s="87" t="s">
        <v>432</v>
      </c>
      <c r="C7" s="88">
        <f>ROUND(HLOOKUP($C$2,bs!$C$1:$AA$110,MATCH("*"&amp;B7&amp;"*",bs!$B$1:$B$110,),FALSE),0)/IF(LEN($B$1)&gt;4,10000,1)</f>
        <v>0</v>
      </c>
      <c r="D7" s="89" t="e">
        <f t="shared" si="0"/>
        <v>#DIV/0!</v>
      </c>
      <c r="E7" s="88">
        <f>ROUND(HLOOKUP($E$2,bs!$C$1:$AA$110,MATCH("*"&amp;B7&amp;"*",bs!$B$1:$B$110,),FALSE),0)/IF(LEN($B$1)&gt;4,10000,1)</f>
        <v>0</v>
      </c>
      <c r="F7" s="89" t="e">
        <f t="shared" si="1"/>
        <v>#DIV/0!</v>
      </c>
      <c r="G7" s="90">
        <f>ROUND(HLOOKUP($G$2,bs!$C$1:$AA$110,MATCH("*"&amp;B7&amp;"*",bs!$B$1:$B$110,),FALSE),0)/IF(LEN($B$1)&gt;4,10000,1)</f>
        <v>0</v>
      </c>
      <c r="H7" s="89" t="e">
        <f t="shared" si="2"/>
        <v>#DIV/0!</v>
      </c>
      <c r="I7" s="90">
        <f>ROUND(HLOOKUP($I$2,bs!$C$1:$AA$110,MATCH("*"&amp;B7&amp;"*",bs!$B$1:$B$110,),FALSE),0)/IF(LEN($B$1)&gt;4,10000,1)</f>
        <v>0</v>
      </c>
      <c r="J7" s="89" t="e">
        <f t="shared" si="3"/>
        <v>#DIV/0!</v>
      </c>
      <c r="L7" s="99" t="e">
        <f t="shared" si="4"/>
        <v>#DIV/0!</v>
      </c>
    </row>
    <row r="8" spans="2:12">
      <c r="B8" s="87" t="s">
        <v>248</v>
      </c>
      <c r="C8" s="88">
        <f>ROUND(HLOOKUP($C$2,bs!$C$1:$AA$110,MATCH("*"&amp;B8&amp;"*",bs!$B$1:$B$110,),FALSE),0)/IF(LEN($B$1)&gt;4,10000,1)</f>
        <v>0</v>
      </c>
      <c r="D8" s="89" t="e">
        <f t="shared" si="0"/>
        <v>#DIV/0!</v>
      </c>
      <c r="E8" s="88">
        <f>ROUND(HLOOKUP($E$2,bs!$C$1:$AA$110,MATCH("*"&amp;B8&amp;"*",bs!$B$1:$B$110,),FALSE),0)/IF(LEN($B$1)&gt;4,10000,1)</f>
        <v>0</v>
      </c>
      <c r="F8" s="89" t="e">
        <f t="shared" si="1"/>
        <v>#DIV/0!</v>
      </c>
      <c r="G8" s="90">
        <f>ROUND(HLOOKUP($G$2,bs!$C$1:$AA$110,MATCH("*"&amp;B8&amp;"*",bs!$B$1:$B$110,),FALSE),0)/IF(LEN($B$1)&gt;4,10000,1)</f>
        <v>0</v>
      </c>
      <c r="H8" s="89" t="e">
        <f t="shared" si="2"/>
        <v>#DIV/0!</v>
      </c>
      <c r="I8" s="90">
        <f>ROUND(HLOOKUP($I$2,bs!$C$1:$AA$110,MATCH("*"&amp;B8&amp;"*",bs!$B$1:$B$110,),FALSE),0)/IF(LEN($B$1)&gt;4,10000,1)</f>
        <v>0</v>
      </c>
      <c r="J8" s="89" t="e">
        <f t="shared" si="3"/>
        <v>#DIV/0!</v>
      </c>
      <c r="L8" s="99" t="e">
        <f t="shared" si="4"/>
        <v>#DIV/0!</v>
      </c>
    </row>
    <row r="9" spans="2:12">
      <c r="B9" s="87" t="s">
        <v>433</v>
      </c>
      <c r="C9" s="88">
        <f>ROUND(HLOOKUP($C$2,bs!$C$1:$AA$110,MATCH("*"&amp;B9&amp;"*",bs!$B$1:$B$110,),FALSE),0)/IF(LEN($B$1)&gt;4,10000,1)</f>
        <v>0</v>
      </c>
      <c r="D9" s="89" t="e">
        <f t="shared" si="0"/>
        <v>#DIV/0!</v>
      </c>
      <c r="E9" s="88">
        <f>ROUND(HLOOKUP($E$2,bs!$C$1:$AA$110,MATCH("*"&amp;B9&amp;"*",bs!$B$1:$B$110,),FALSE),0)/IF(LEN($B$1)&gt;4,10000,1)</f>
        <v>0</v>
      </c>
      <c r="F9" s="89" t="e">
        <f t="shared" si="1"/>
        <v>#DIV/0!</v>
      </c>
      <c r="G9" s="90">
        <f>ROUND(HLOOKUP($G$2,bs!$C$1:$AA$110,MATCH("*"&amp;B9&amp;"*",bs!$B$1:$B$110,),FALSE),0)/IF(LEN($B$1)&gt;4,10000,1)</f>
        <v>0</v>
      </c>
      <c r="H9" s="89" t="e">
        <f t="shared" si="2"/>
        <v>#DIV/0!</v>
      </c>
      <c r="I9" s="90">
        <f>ROUND(HLOOKUP($I$2,bs!$C$1:$AA$110,MATCH("*"&amp;B9&amp;"*",bs!$B$1:$B$110,),FALSE),0)/IF(LEN($B$1)&gt;4,10000,1)</f>
        <v>0</v>
      </c>
      <c r="J9" s="89" t="e">
        <f t="shared" si="3"/>
        <v>#DIV/0!</v>
      </c>
      <c r="L9" s="99" t="e">
        <f t="shared" si="4"/>
        <v>#DIV/0!</v>
      </c>
    </row>
    <row r="10" spans="2:12">
      <c r="B10" s="87" t="s">
        <v>434</v>
      </c>
      <c r="C10" s="88">
        <f>ROUND(HLOOKUP($C$2,bs!$C$1:$AA$110,MATCH("*"&amp;B10&amp;"*",bs!$B$1:$B$110,),FALSE),0)/IF(LEN($B$1)&gt;4,10000,1)</f>
        <v>0</v>
      </c>
      <c r="D10" s="89" t="e">
        <f t="shared" si="0"/>
        <v>#DIV/0!</v>
      </c>
      <c r="E10" s="88">
        <f>ROUND(HLOOKUP($E$2,bs!$C$1:$AA$110,MATCH("*"&amp;B10&amp;"*",bs!$B$1:$B$110,),FALSE),0)/IF(LEN($B$1)&gt;4,10000,1)</f>
        <v>0</v>
      </c>
      <c r="F10" s="89" t="e">
        <f t="shared" si="1"/>
        <v>#DIV/0!</v>
      </c>
      <c r="G10" s="90">
        <f>ROUND(HLOOKUP($G$2,bs!$C$1:$AA$110,MATCH("*"&amp;B10&amp;"*",bs!$B$1:$B$110,),FALSE),0)/IF(LEN($B$1)&gt;4,10000,1)</f>
        <v>0</v>
      </c>
      <c r="H10" s="89" t="e">
        <f t="shared" si="2"/>
        <v>#DIV/0!</v>
      </c>
      <c r="I10" s="90">
        <f>ROUND(HLOOKUP($I$2,bs!$C$1:$AA$110,MATCH("*"&amp;B10&amp;"*",bs!$B$1:$B$110,),FALSE),0)/IF(LEN($B$1)&gt;4,10000,1)</f>
        <v>0</v>
      </c>
      <c r="J10" s="89" t="e">
        <f t="shared" si="3"/>
        <v>#DIV/0!</v>
      </c>
      <c r="L10" s="99" t="e">
        <f t="shared" si="4"/>
        <v>#DIV/0!</v>
      </c>
    </row>
    <row r="11" spans="2:12">
      <c r="B11" s="87" t="s">
        <v>16</v>
      </c>
      <c r="C11" s="88">
        <f>ROUND(HLOOKUP($C$2,bs!$C$1:$AA$110,MATCH("*"&amp;B11&amp;"*",bs!$B$1:$B$110,),FALSE),0)/IF(LEN($B$1)&gt;4,10000,1)</f>
        <v>0</v>
      </c>
      <c r="D11" s="89" t="e">
        <f t="shared" ref="D11:D17" si="5">C11/$C$45</f>
        <v>#DIV/0!</v>
      </c>
      <c r="E11" s="88">
        <f>ROUND(HLOOKUP($E$2,bs!$C$1:$AA$110,MATCH("*"&amp;B11&amp;"*",bs!$B$1:$B$110,),FALSE),0)/IF(LEN($B$1)&gt;4,10000,1)</f>
        <v>0</v>
      </c>
      <c r="F11" s="89" t="e">
        <f t="shared" ref="F11:F17" si="6">E11/$E$45</f>
        <v>#DIV/0!</v>
      </c>
      <c r="G11" s="90">
        <f>ROUND(HLOOKUP($G$2,bs!$C$1:$AA$110,MATCH("*"&amp;B11&amp;"*",bs!$B$1:$B$110,),FALSE),0)/IF(LEN($B$1)&gt;4,10000,1)</f>
        <v>0</v>
      </c>
      <c r="H11" s="89" t="e">
        <f t="shared" ref="H11:H17" si="7">G11/$G$45</f>
        <v>#DIV/0!</v>
      </c>
      <c r="I11" s="90">
        <f>ROUND(HLOOKUP($I$2,bs!$C$1:$AA$110,MATCH("*"&amp;B11&amp;"*",bs!$B$1:$B$110,),FALSE),0)/IF(LEN($B$1)&gt;4,10000,1)</f>
        <v>0</v>
      </c>
      <c r="J11" s="89" t="e">
        <f t="shared" ref="J11:J16" si="8">I11/$I$45</f>
        <v>#DIV/0!</v>
      </c>
      <c r="L11" s="99" t="e">
        <f t="shared" si="4"/>
        <v>#DIV/0!</v>
      </c>
    </row>
    <row r="12" spans="2:12">
      <c r="B12" s="87" t="s">
        <v>435</v>
      </c>
      <c r="C12" s="88">
        <f>ROUND(HLOOKUP($C$2,bs!$C$1:$AA$110,MATCH("*"&amp;B12&amp;"*",bs!$B$1:$B$110,),FALSE),0)/IF(LEN($B$1)&gt;4,10000,1)</f>
        <v>0</v>
      </c>
      <c r="D12" s="89" t="e">
        <f t="shared" si="5"/>
        <v>#DIV/0!</v>
      </c>
      <c r="E12" s="88">
        <f>ROUND(HLOOKUP($E$2,bs!$C$1:$AA$110,MATCH("*"&amp;B12&amp;"*",bs!$B$1:$B$110,),FALSE),0)/IF(LEN($B$1)&gt;4,10000,1)</f>
        <v>0</v>
      </c>
      <c r="F12" s="89" t="e">
        <f t="shared" si="6"/>
        <v>#DIV/0!</v>
      </c>
      <c r="G12" s="90">
        <f>ROUND(HLOOKUP($G$2,bs!$C$1:$AA$110,MATCH("*"&amp;B12&amp;"*",bs!$B$1:$B$110,),FALSE),0)/IF(LEN($B$1)&gt;4,10000,1)</f>
        <v>0</v>
      </c>
      <c r="H12" s="89" t="e">
        <f t="shared" si="7"/>
        <v>#DIV/0!</v>
      </c>
      <c r="I12" s="90">
        <f>ROUND(HLOOKUP($I$2,bs!$C$1:$AA$110,MATCH("*"&amp;B12&amp;"*",bs!$B$1:$B$110,),FALSE),0)/IF(LEN($B$1)&gt;4,10000,1)</f>
        <v>0</v>
      </c>
      <c r="J12" s="89" t="e">
        <f t="shared" si="8"/>
        <v>#DIV/0!</v>
      </c>
      <c r="L12" s="99" t="e">
        <f t="shared" si="4"/>
        <v>#DIV/0!</v>
      </c>
    </row>
    <row r="13" spans="2:12">
      <c r="B13" s="87" t="s">
        <v>436</v>
      </c>
      <c r="C13" s="88">
        <f>ROUND(HLOOKUP($C$2,bs!$C$1:$AA$110,MATCH("*"&amp;B13&amp;"*",bs!$B$1:$B$110,),FALSE),0)/IF(LEN($B$1)&gt;4,10000,1)</f>
        <v>0</v>
      </c>
      <c r="D13" s="89" t="e">
        <f t="shared" si="5"/>
        <v>#DIV/0!</v>
      </c>
      <c r="E13" s="88">
        <f>ROUND(HLOOKUP($E$2,bs!$C$1:$AA$110,MATCH("*"&amp;B13&amp;"*",bs!$B$1:$B$110,),FALSE),0)/IF(LEN($B$1)&gt;4,10000,1)</f>
        <v>0</v>
      </c>
      <c r="F13" s="89" t="e">
        <f t="shared" si="6"/>
        <v>#DIV/0!</v>
      </c>
      <c r="G13" s="90">
        <f>ROUND(HLOOKUP($G$2,bs!$C$1:$AA$110,MATCH("*"&amp;B13&amp;"*",bs!$B$1:$B$110,),FALSE),0)/IF(LEN($B$1)&gt;4,10000,1)</f>
        <v>0</v>
      </c>
      <c r="H13" s="89" t="e">
        <f t="shared" si="7"/>
        <v>#DIV/0!</v>
      </c>
      <c r="I13" s="90">
        <f>ROUND(HLOOKUP($I$2,bs!$C$1:$AA$110,MATCH("*"&amp;B13&amp;"*",bs!$B$1:$B$110,),FALSE),0)/IF(LEN($B$1)&gt;4,10000,1)</f>
        <v>0</v>
      </c>
      <c r="J13" s="89" t="e">
        <f t="shared" si="8"/>
        <v>#DIV/0!</v>
      </c>
      <c r="L13" s="99" t="e">
        <f t="shared" si="4"/>
        <v>#DIV/0!</v>
      </c>
    </row>
    <row r="14" spans="2:12">
      <c r="B14" s="87" t="s">
        <v>437</v>
      </c>
      <c r="C14" s="88">
        <f>ROUND(HLOOKUP($C$2,bs!$C$1:$AA$110,MATCH("*"&amp;B14&amp;"*",bs!$B$1:$B$110,),FALSE),0)/IF(LEN($B$1)&gt;4,10000,1)</f>
        <v>0</v>
      </c>
      <c r="D14" s="89" t="e">
        <f t="shared" si="5"/>
        <v>#DIV/0!</v>
      </c>
      <c r="E14" s="88">
        <f>ROUND(HLOOKUP($E$2,bs!$C$1:$AA$110,MATCH("*"&amp;B14&amp;"*",bs!$B$1:$B$110,),FALSE),0)/IF(LEN($B$1)&gt;4,10000,1)</f>
        <v>0</v>
      </c>
      <c r="F14" s="89" t="e">
        <f t="shared" si="6"/>
        <v>#DIV/0!</v>
      </c>
      <c r="G14" s="90">
        <f>ROUND(HLOOKUP($G$2,bs!$C$1:$AA$110,MATCH("*"&amp;B14&amp;"*",bs!$B$1:$B$110,),FALSE),0)/IF(LEN($B$1)&gt;4,10000,1)</f>
        <v>0</v>
      </c>
      <c r="H14" s="89" t="e">
        <f t="shared" si="7"/>
        <v>#DIV/0!</v>
      </c>
      <c r="I14" s="90">
        <f>ROUND(HLOOKUP($I$2,bs!$C$1:$AA$110,MATCH("*"&amp;B14&amp;"*",bs!$B$1:$B$110,),FALSE),0)/IF(LEN($B$1)&gt;4,10000,1)</f>
        <v>0</v>
      </c>
      <c r="J14" s="89" t="e">
        <f t="shared" si="8"/>
        <v>#DIV/0!</v>
      </c>
      <c r="L14" s="99" t="e">
        <f t="shared" si="4"/>
        <v>#DIV/0!</v>
      </c>
    </row>
    <row r="15" spans="2:12">
      <c r="B15" s="87" t="s">
        <v>438</v>
      </c>
      <c r="C15" s="88">
        <f>ROUND(HLOOKUP($C$2,bs!$C$1:$AA$110,MATCH("*"&amp;B15&amp;"*",bs!$B$1:$B$110,),FALSE),0)/IF(LEN($B$1)&gt;4,10000,1)</f>
        <v>0</v>
      </c>
      <c r="D15" s="89" t="e">
        <f t="shared" si="5"/>
        <v>#DIV/0!</v>
      </c>
      <c r="E15" s="88">
        <f>ROUND(HLOOKUP($E$2,bs!$C$1:$AA$110,MATCH("*"&amp;B15&amp;"*",bs!$B$1:$B$110,),FALSE),0)/IF(LEN($B$1)&gt;4,10000,1)</f>
        <v>0</v>
      </c>
      <c r="F15" s="89" t="e">
        <f t="shared" si="6"/>
        <v>#DIV/0!</v>
      </c>
      <c r="G15" s="90">
        <f>ROUND(HLOOKUP($G$2,bs!$C$1:$AA$110,MATCH("*"&amp;B15&amp;"*",bs!$B$1:$B$110,),FALSE),0)/IF(LEN($B$1)&gt;4,10000,1)</f>
        <v>0</v>
      </c>
      <c r="H15" s="89" t="e">
        <f t="shared" si="7"/>
        <v>#DIV/0!</v>
      </c>
      <c r="I15" s="90">
        <f>ROUND(HLOOKUP($I$2,bs!$C$1:$AA$110,MATCH("*"&amp;B15&amp;"*",bs!$B$1:$B$110,),FALSE),0)/IF(LEN($B$1)&gt;4,10000,1)</f>
        <v>0</v>
      </c>
      <c r="J15" s="89" t="e">
        <f t="shared" si="8"/>
        <v>#DIV/0!</v>
      </c>
      <c r="L15" s="99" t="e">
        <f t="shared" si="4"/>
        <v>#DIV/0!</v>
      </c>
    </row>
    <row r="16" ht="23.15" spans="2:12">
      <c r="B16" s="87" t="s">
        <v>439</v>
      </c>
      <c r="C16" s="88">
        <f>ROUND(HLOOKUP($C$2,bs!$C$1:$AA$110,MATCH("*"&amp;B16&amp;"*",bs!$B$1:$B$110,),FALSE),0)/IF(LEN($B$1)&gt;4,10000,1)</f>
        <v>0</v>
      </c>
      <c r="D16" s="89" t="e">
        <f t="shared" si="5"/>
        <v>#DIV/0!</v>
      </c>
      <c r="E16" s="88">
        <f>ROUND(HLOOKUP($E$2,bs!$C$1:$AA$110,MATCH("*"&amp;B16&amp;"*",bs!$B$1:$B$110,),FALSE),0)/IF(LEN($B$1)&gt;4,10000,1)</f>
        <v>0</v>
      </c>
      <c r="F16" s="89" t="e">
        <f t="shared" si="6"/>
        <v>#DIV/0!</v>
      </c>
      <c r="G16" s="90">
        <f>ROUND(HLOOKUP($G$2,bs!$C$1:$AA$110,MATCH("*"&amp;B16&amp;"*",bs!$B$1:$B$110,),FALSE),0)/IF(LEN($B$1)&gt;4,10000,1)</f>
        <v>0</v>
      </c>
      <c r="H16" s="89" t="e">
        <f t="shared" si="7"/>
        <v>#DIV/0!</v>
      </c>
      <c r="I16" s="90">
        <f>ROUND(HLOOKUP($I$2,bs!$C$1:$AA$110,MATCH("*"&amp;B16&amp;"*",bs!$B$1:$B$110,),FALSE),0)/IF(LEN($B$1)&gt;4,10000,1)</f>
        <v>0</v>
      </c>
      <c r="J16" s="89" t="e">
        <f t="shared" si="8"/>
        <v>#DIV/0!</v>
      </c>
      <c r="L16" s="99" t="e">
        <f t="shared" si="4"/>
        <v>#DIV/0!</v>
      </c>
    </row>
    <row r="17" spans="2:12">
      <c r="B17" s="87" t="s">
        <v>440</v>
      </c>
      <c r="C17" s="88">
        <f>ROUND(HLOOKUP($C$2,bs!$C$1:$AA$110,MATCH("*"&amp;B17&amp;"*",bs!$B$1:$B$110,),FALSE),0)/IF(LEN($B$1)&gt;4,10000,1)</f>
        <v>0</v>
      </c>
      <c r="D17" s="89" t="e">
        <f t="shared" si="5"/>
        <v>#DIV/0!</v>
      </c>
      <c r="E17" s="88">
        <f>ROUND(HLOOKUP($E$2,bs!$C$1:$AA$110,MATCH("*"&amp;B17&amp;"*",bs!$B$1:$B$110,),FALSE),0)/IF(LEN($B$1)&gt;4,10000,1)</f>
        <v>0</v>
      </c>
      <c r="F17" s="89" t="e">
        <f t="shared" si="6"/>
        <v>#DIV/0!</v>
      </c>
      <c r="G17" s="90">
        <f>ROUND(HLOOKUP($G$2,bs!$C$1:$AA$110,MATCH("*"&amp;B17&amp;"*",bs!$B$1:$B$110,),FALSE),0)/IF(LEN($B$1)&gt;4,10000,1)</f>
        <v>0</v>
      </c>
      <c r="H17" s="89" t="e">
        <f t="shared" si="7"/>
        <v>#DIV/0!</v>
      </c>
      <c r="I17" s="90">
        <f>ROUND(HLOOKUP($I$2,bs!$C$1:$AA$110,MATCH("*"&amp;B17&amp;"*",bs!$B$1:$B$110,),FALSE),0)/IF(LEN($B$1)&gt;4,10000,1)</f>
        <v>0</v>
      </c>
      <c r="J17" s="89" t="e">
        <f t="shared" ref="J17:J27" si="9">I17/$I$45</f>
        <v>#DIV/0!</v>
      </c>
      <c r="L17" s="99" t="e">
        <f t="shared" si="4"/>
        <v>#DIV/0!</v>
      </c>
    </row>
    <row r="18" spans="2:12">
      <c r="B18" s="91" t="s">
        <v>262</v>
      </c>
      <c r="C18" s="88">
        <f>ROUND(HLOOKUP($C$2,bs!$C$1:$AA$110,MATCH("*"&amp;B18&amp;"*",bs!$B$1:$B$110,),FALSE),0)/IF(LEN($B$1)&gt;4,10000,1)</f>
        <v>0</v>
      </c>
      <c r="D18" s="92" t="e">
        <f t="shared" ref="D18:D27" si="10">C18/$C$45</f>
        <v>#DIV/0!</v>
      </c>
      <c r="E18" s="88">
        <f>ROUND(HLOOKUP($E$2,bs!$C$1:$AA$110,MATCH("*"&amp;B18&amp;"*",bs!$B$1:$B$110,),FALSE),0)/IF(LEN($B$1)&gt;4,10000,1)</f>
        <v>0</v>
      </c>
      <c r="F18" s="92" t="e">
        <f t="shared" ref="F18:F27" si="11">E18/$E$45</f>
        <v>#DIV/0!</v>
      </c>
      <c r="G18" s="90">
        <f>ROUND(HLOOKUP($G$2,bs!$C$1:$AA$110,MATCH("*"&amp;B18&amp;"*",bs!$B$1:$B$110,),FALSE),0)/IF(LEN($B$1)&gt;4,10000,1)</f>
        <v>0</v>
      </c>
      <c r="H18" s="92" t="e">
        <f t="shared" ref="H18:H27" si="12">G18/$G$45</f>
        <v>#DIV/0!</v>
      </c>
      <c r="I18" s="90">
        <f>ROUND(HLOOKUP($I$2,bs!$C$1:$AA$110,MATCH("*"&amp;B18&amp;"*",bs!$B$1:$B$110,),FALSE),0)/IF(LEN($B$1)&gt;4,10000,1)</f>
        <v>0</v>
      </c>
      <c r="J18" s="92" t="e">
        <f t="shared" si="9"/>
        <v>#DIV/0!</v>
      </c>
      <c r="L18" s="99" t="e">
        <f t="shared" si="4"/>
        <v>#DIV/0!</v>
      </c>
    </row>
    <row r="19" spans="2:12">
      <c r="B19" s="87" t="s">
        <v>441</v>
      </c>
      <c r="C19" s="88">
        <f>ROUND(HLOOKUP($C$2,bs!$C$1:$AA$110,MATCH("*"&amp;B19&amp;"*",bs!$B$1:$B$110,),FALSE),0)/IF(LEN($B$1)&gt;4,10000,1)</f>
        <v>0</v>
      </c>
      <c r="D19" s="89" t="e">
        <f t="shared" si="10"/>
        <v>#DIV/0!</v>
      </c>
      <c r="E19" s="88">
        <f>ROUND(HLOOKUP($E$2,bs!$C$1:$AA$110,MATCH("*"&amp;B19&amp;"*",bs!$B$1:$B$110,),FALSE),0)/IF(LEN($B$1)&gt;4,10000,1)</f>
        <v>0</v>
      </c>
      <c r="F19" s="89" t="e">
        <f t="shared" si="11"/>
        <v>#DIV/0!</v>
      </c>
      <c r="G19" s="90">
        <f>ROUND(HLOOKUP($G$2,bs!$C$1:$AA$110,MATCH("*"&amp;B19&amp;"*",bs!$B$1:$B$110,),FALSE),0)/IF(LEN($B$1)&gt;4,10000,1)</f>
        <v>0</v>
      </c>
      <c r="H19" s="89" t="e">
        <f t="shared" si="12"/>
        <v>#DIV/0!</v>
      </c>
      <c r="I19" s="90">
        <f>ROUND(HLOOKUP($I$2,bs!$C$1:$AA$110,MATCH("*"&amp;B19&amp;"*",bs!$B$1:$B$110,),FALSE),0)/IF(LEN($B$1)&gt;4,10000,1)</f>
        <v>0</v>
      </c>
      <c r="J19" s="89" t="e">
        <f t="shared" si="9"/>
        <v>#DIV/0!</v>
      </c>
      <c r="L19" s="99" t="e">
        <f t="shared" si="4"/>
        <v>#DIV/0!</v>
      </c>
    </row>
    <row r="20" spans="2:12">
      <c r="B20" s="87" t="s">
        <v>442</v>
      </c>
      <c r="C20" s="88">
        <f>ROUND(HLOOKUP($C$2,bs!$C$1:$AA$110,MATCH("*"&amp;B20&amp;"*",bs!$B$1:$B$110,),FALSE),0)/IF(LEN($B$1)&gt;4,10000,1)</f>
        <v>0</v>
      </c>
      <c r="D20" s="89" t="e">
        <f t="shared" si="10"/>
        <v>#DIV/0!</v>
      </c>
      <c r="E20" s="88">
        <f>ROUND(HLOOKUP($E$2,bs!$C$1:$AA$110,MATCH("*"&amp;B20&amp;"*",bs!$B$1:$B$110,),FALSE),0)/IF(LEN($B$1)&gt;4,10000,1)</f>
        <v>0</v>
      </c>
      <c r="F20" s="89" t="e">
        <f t="shared" si="11"/>
        <v>#DIV/0!</v>
      </c>
      <c r="G20" s="90">
        <f>ROUND(HLOOKUP($G$2,bs!$C$1:$AA$110,MATCH("*"&amp;B20&amp;"*",bs!$B$1:$B$110,),FALSE),0)/IF(LEN($B$1)&gt;4,10000,1)</f>
        <v>0</v>
      </c>
      <c r="H20" s="89" t="e">
        <f t="shared" si="12"/>
        <v>#DIV/0!</v>
      </c>
      <c r="I20" s="90">
        <f>ROUND(HLOOKUP($I$2,bs!$C$1:$AA$110,MATCH("*"&amp;B20&amp;"*",bs!$B$1:$B$110,),FALSE),0)/IF(LEN($B$1)&gt;4,10000,1)</f>
        <v>0</v>
      </c>
      <c r="J20" s="89" t="e">
        <f t="shared" si="9"/>
        <v>#DIV/0!</v>
      </c>
      <c r="L20" s="99" t="e">
        <f t="shared" si="4"/>
        <v>#DIV/0!</v>
      </c>
    </row>
    <row r="21" spans="2:12">
      <c r="B21" s="87" t="s">
        <v>443</v>
      </c>
      <c r="C21" s="88">
        <f>ROUND(HLOOKUP($C$2,bs!$C$1:$AA$110,MATCH("*"&amp;B21&amp;"*",bs!$B$1:$B$110,),FALSE),0)/IF(LEN($B$1)&gt;4,10000,1)</f>
        <v>0</v>
      </c>
      <c r="D21" s="89" t="e">
        <f t="shared" si="10"/>
        <v>#DIV/0!</v>
      </c>
      <c r="E21" s="88">
        <f>ROUND(HLOOKUP($E$2,bs!$C$1:$AA$110,MATCH("*"&amp;B21&amp;"*",bs!$B$1:$B$110,),FALSE),0)/IF(LEN($B$1)&gt;4,10000,1)</f>
        <v>0</v>
      </c>
      <c r="F21" s="89" t="e">
        <f t="shared" si="11"/>
        <v>#DIV/0!</v>
      </c>
      <c r="G21" s="90">
        <f>ROUND(HLOOKUP($G$2,bs!$C$1:$AA$110,MATCH("*"&amp;B21&amp;"*",bs!$B$1:$B$110,),FALSE),0)/IF(LEN($B$1)&gt;4,10000,1)</f>
        <v>0</v>
      </c>
      <c r="H21" s="89" t="e">
        <f t="shared" si="12"/>
        <v>#DIV/0!</v>
      </c>
      <c r="I21" s="90">
        <f>ROUND(HLOOKUP($I$2,bs!$C$1:$AA$110,MATCH("*"&amp;B21&amp;"*",bs!$B$1:$B$110,),FALSE),0)/IF(LEN($B$1)&gt;4,10000,1)</f>
        <v>0</v>
      </c>
      <c r="J21" s="89" t="e">
        <f t="shared" si="9"/>
        <v>#DIV/0!</v>
      </c>
      <c r="L21" s="99" t="e">
        <f t="shared" si="4"/>
        <v>#DIV/0!</v>
      </c>
    </row>
    <row r="22" spans="2:12">
      <c r="B22" s="87" t="s">
        <v>444</v>
      </c>
      <c r="C22" s="88">
        <f>ROUND(HLOOKUP($C$2,bs!$C$1:$AA$110,MATCH("*"&amp;B22&amp;"*",bs!$B$1:$B$110,),FALSE),0)/IF(LEN($B$1)&gt;4,10000,1)</f>
        <v>0</v>
      </c>
      <c r="D22" s="89" t="e">
        <f t="shared" si="10"/>
        <v>#DIV/0!</v>
      </c>
      <c r="E22" s="88">
        <f>ROUND(HLOOKUP($E$2,bs!$C$1:$AA$110,MATCH("*"&amp;B22&amp;"*",bs!$B$1:$B$110,),FALSE),0)/IF(LEN($B$1)&gt;4,10000,1)</f>
        <v>0</v>
      </c>
      <c r="F22" s="89" t="e">
        <f t="shared" si="11"/>
        <v>#DIV/0!</v>
      </c>
      <c r="G22" s="90">
        <f>ROUND(HLOOKUP($G$2,bs!$C$1:$AA$110,MATCH("*"&amp;B22&amp;"*",bs!$B$1:$B$110,),FALSE),0)/IF(LEN($B$1)&gt;4,10000,1)</f>
        <v>0</v>
      </c>
      <c r="H22" s="89" t="e">
        <f t="shared" si="12"/>
        <v>#DIV/0!</v>
      </c>
      <c r="I22" s="90">
        <f>ROUND(HLOOKUP($I$2,bs!$C$1:$AA$110,MATCH("*"&amp;B22&amp;"*",bs!$B$1:$B$110,),FALSE),0)/IF(LEN($B$1)&gt;4,10000,1)</f>
        <v>0</v>
      </c>
      <c r="J22" s="89" t="e">
        <f t="shared" si="9"/>
        <v>#DIV/0!</v>
      </c>
      <c r="L22" s="99" t="e">
        <f t="shared" si="4"/>
        <v>#DIV/0!</v>
      </c>
    </row>
    <row r="23" spans="2:12">
      <c r="B23" s="87" t="s">
        <v>445</v>
      </c>
      <c r="C23" s="88">
        <f>ROUND(HLOOKUP($C$2,bs!$C$1:$AA$110,MATCH("*"&amp;B23&amp;"*",bs!$B$1:$B$110,),FALSE),0)/IF(LEN($B$1)&gt;4,10000,1)</f>
        <v>0</v>
      </c>
      <c r="D23" s="89" t="e">
        <f t="shared" si="10"/>
        <v>#DIV/0!</v>
      </c>
      <c r="E23" s="88">
        <f>ROUND(HLOOKUP($E$2,bs!$C$1:$AA$110,MATCH("*"&amp;B23&amp;"*",bs!$B$1:$B$110,),FALSE),0)/IF(LEN($B$1)&gt;4,10000,1)</f>
        <v>0</v>
      </c>
      <c r="F23" s="89" t="e">
        <f t="shared" si="11"/>
        <v>#DIV/0!</v>
      </c>
      <c r="G23" s="90">
        <f>ROUND(HLOOKUP($G$2,bs!$C$1:$AA$110,MATCH("*"&amp;B23&amp;"*",bs!$B$1:$B$110,),FALSE),0)/IF(LEN($B$1)&gt;4,10000,1)</f>
        <v>0</v>
      </c>
      <c r="H23" s="89" t="e">
        <f t="shared" si="12"/>
        <v>#DIV/0!</v>
      </c>
      <c r="I23" s="90">
        <f>ROUND(HLOOKUP($I$2,bs!$C$1:$AA$110,MATCH("*"&amp;B23&amp;"*",bs!$B$1:$B$110,),FALSE),0)/IF(LEN($B$1)&gt;4,10000,1)</f>
        <v>0</v>
      </c>
      <c r="J23" s="89" t="e">
        <f t="shared" si="9"/>
        <v>#DIV/0!</v>
      </c>
      <c r="L23" s="99" t="e">
        <f t="shared" si="4"/>
        <v>#DIV/0!</v>
      </c>
    </row>
    <row r="24" spans="2:12">
      <c r="B24" s="87" t="s">
        <v>446</v>
      </c>
      <c r="C24" s="88">
        <f>ROUND(HLOOKUP($C$2,bs!$C$1:$AA$110,MATCH("*"&amp;B24&amp;"*",bs!$B$1:$B$110,),FALSE),0)/IF(LEN($B$1)&gt;4,10000,1)</f>
        <v>0</v>
      </c>
      <c r="D24" s="89" t="e">
        <f t="shared" si="10"/>
        <v>#DIV/0!</v>
      </c>
      <c r="E24" s="88">
        <f>ROUND(HLOOKUP($E$2,bs!$C$1:$AA$110,MATCH("*"&amp;B24&amp;"*",bs!$B$1:$B$110,),FALSE),0)/IF(LEN($B$1)&gt;4,10000,1)</f>
        <v>0</v>
      </c>
      <c r="F24" s="89" t="e">
        <f t="shared" si="11"/>
        <v>#DIV/0!</v>
      </c>
      <c r="G24" s="90">
        <f>ROUND(HLOOKUP($G$2,bs!$C$1:$AA$110,MATCH("*"&amp;B24&amp;"*",bs!$B$1:$B$110,),FALSE),0)/IF(LEN($B$1)&gt;4,10000,1)</f>
        <v>0</v>
      </c>
      <c r="H24" s="89" t="e">
        <f t="shared" si="12"/>
        <v>#DIV/0!</v>
      </c>
      <c r="I24" s="90">
        <f>ROUND(HLOOKUP($I$2,bs!$C$1:$AA$110,MATCH("*"&amp;B24&amp;"*",bs!$B$1:$B$110,),FALSE),0)/IF(LEN($B$1)&gt;4,10000,1)</f>
        <v>0</v>
      </c>
      <c r="J24" s="89" t="e">
        <f t="shared" si="9"/>
        <v>#DIV/0!</v>
      </c>
      <c r="L24" s="99" t="e">
        <f t="shared" si="4"/>
        <v>#DIV/0!</v>
      </c>
    </row>
    <row r="25" spans="2:12">
      <c r="B25" s="87" t="s">
        <v>447</v>
      </c>
      <c r="C25" s="88">
        <f>ROUND(HLOOKUP($C$2,bs!$C$1:$AA$110,MATCH("*"&amp;B25&amp;"*",bs!$B$1:$B$110,),FALSE),0)/IF(LEN($B$1)&gt;4,10000,1)</f>
        <v>0</v>
      </c>
      <c r="D25" s="89" t="e">
        <f t="shared" si="10"/>
        <v>#DIV/0!</v>
      </c>
      <c r="E25" s="88">
        <f>ROUND(HLOOKUP($E$2,bs!$C$1:$AA$110,MATCH("*"&amp;B25&amp;"*",bs!$B$1:$B$110,),FALSE),0)/IF(LEN($B$1)&gt;4,10000,1)</f>
        <v>0</v>
      </c>
      <c r="F25" s="89" t="e">
        <f t="shared" si="11"/>
        <v>#DIV/0!</v>
      </c>
      <c r="G25" s="90">
        <f>ROUND(HLOOKUP($G$2,bs!$C$1:$AA$110,MATCH("*"&amp;B25&amp;"*",bs!$B$1:$B$110,),FALSE),0)/IF(LEN($B$1)&gt;4,10000,1)</f>
        <v>0</v>
      </c>
      <c r="H25" s="89" t="e">
        <f t="shared" si="12"/>
        <v>#DIV/0!</v>
      </c>
      <c r="I25" s="90">
        <f>ROUND(HLOOKUP($I$2,bs!$C$1:$AA$110,MATCH("*"&amp;B25&amp;"*",bs!$B$1:$B$110,),FALSE),0)/IF(LEN($B$1)&gt;4,10000,1)</f>
        <v>0</v>
      </c>
      <c r="J25" s="89" t="e">
        <f t="shared" si="9"/>
        <v>#DIV/0!</v>
      </c>
      <c r="L25" s="99" t="e">
        <f t="shared" si="4"/>
        <v>#DIV/0!</v>
      </c>
    </row>
    <row r="26" spans="2:12">
      <c r="B26" s="87" t="s">
        <v>448</v>
      </c>
      <c r="C26" s="88">
        <f>ROUND(HLOOKUP($C$2,bs!$C$1:$AA$110,MATCH("*"&amp;B26&amp;"*",bs!$B$1:$B$110,),FALSE),0)/IF(LEN($B$1)&gt;4,10000,1)</f>
        <v>0</v>
      </c>
      <c r="D26" s="89" t="e">
        <f t="shared" si="10"/>
        <v>#DIV/0!</v>
      </c>
      <c r="E26" s="88">
        <f>ROUND(HLOOKUP($E$2,bs!$C$1:$AA$110,MATCH("*"&amp;B26&amp;"*",bs!$B$1:$B$110,),FALSE),0)/IF(LEN($B$1)&gt;4,10000,1)</f>
        <v>0</v>
      </c>
      <c r="F26" s="89" t="e">
        <f t="shared" si="11"/>
        <v>#DIV/0!</v>
      </c>
      <c r="G26" s="90">
        <f>ROUND(HLOOKUP($G$2,bs!$C$1:$AA$110,MATCH("*"&amp;B26&amp;"*",bs!$B$1:$B$110,),FALSE),0)/IF(LEN($B$1)&gt;4,10000,1)</f>
        <v>0</v>
      </c>
      <c r="H26" s="89" t="e">
        <f t="shared" si="12"/>
        <v>#DIV/0!</v>
      </c>
      <c r="I26" s="90">
        <f>ROUND(HLOOKUP($I$2,bs!$C$1:$AA$110,MATCH("*"&amp;B26&amp;"*",bs!$B$1:$B$110,),FALSE),0)/IF(LEN($B$1)&gt;4,10000,1)</f>
        <v>0</v>
      </c>
      <c r="J26" s="89" t="e">
        <f t="shared" si="9"/>
        <v>#DIV/0!</v>
      </c>
      <c r="L26" s="99" t="e">
        <f t="shared" si="4"/>
        <v>#DIV/0!</v>
      </c>
    </row>
    <row r="27" spans="2:12">
      <c r="B27" s="87" t="s">
        <v>449</v>
      </c>
      <c r="C27" s="88">
        <f>ROUND(HLOOKUP($C$2,bs!$C$1:$AA$110,MATCH("*"&amp;B27&amp;"*",bs!$B$1:$B$110,),FALSE),0)/IF(LEN($B$1)&gt;4,10000,1)</f>
        <v>0</v>
      </c>
      <c r="D27" s="89" t="e">
        <f t="shared" si="10"/>
        <v>#DIV/0!</v>
      </c>
      <c r="E27" s="88">
        <f>ROUND(HLOOKUP($E$2,bs!$C$1:$AA$110,MATCH("*"&amp;B27&amp;"*",bs!$B$1:$B$110,),FALSE),0)/IF(LEN($B$1)&gt;4,10000,1)</f>
        <v>0</v>
      </c>
      <c r="F27" s="89" t="e">
        <f t="shared" si="11"/>
        <v>#DIV/0!</v>
      </c>
      <c r="G27" s="90">
        <f>ROUND(HLOOKUP($G$2,bs!$C$1:$AA$110,MATCH("*"&amp;B27&amp;"*",bs!$B$1:$B$110,),FALSE),0)/IF(LEN($B$1)&gt;4,10000,1)</f>
        <v>0</v>
      </c>
      <c r="H27" s="89" t="e">
        <f t="shared" si="12"/>
        <v>#DIV/0!</v>
      </c>
      <c r="I27" s="90">
        <f>ROUND(HLOOKUP($I$2,bs!$C$1:$AA$110,MATCH("*"&amp;B27&amp;"*",bs!$B$1:$B$110,),FALSE),0)/IF(LEN($B$1)&gt;4,10000,1)</f>
        <v>0</v>
      </c>
      <c r="J27" s="89" t="e">
        <f t="shared" si="9"/>
        <v>#DIV/0!</v>
      </c>
      <c r="L27" s="99" t="e">
        <f t="shared" si="4"/>
        <v>#DIV/0!</v>
      </c>
    </row>
    <row r="28" spans="2:12">
      <c r="B28" s="87" t="s">
        <v>273</v>
      </c>
      <c r="C28" s="88">
        <f>ROUND(HLOOKUP($C$2,bs!$C$1:$AA$110,MATCH("*"&amp;B28&amp;"*",bs!$B$1:$B$110,),FALSE),0)/IF(LEN($B$1)&gt;4,10000,1)</f>
        <v>0</v>
      </c>
      <c r="D28" s="89" t="e">
        <f t="shared" ref="D28:D45" si="13">C28/$C$45</f>
        <v>#DIV/0!</v>
      </c>
      <c r="E28" s="88">
        <f>ROUND(HLOOKUP($E$2,bs!$C$1:$AA$110,MATCH("*"&amp;B28&amp;"*",bs!$B$1:$B$110,),FALSE),0)/IF(LEN($B$1)&gt;4,10000,1)</f>
        <v>0</v>
      </c>
      <c r="F28" s="89" t="e">
        <f t="shared" ref="F28:F45" si="14">E28/$E$45</f>
        <v>#DIV/0!</v>
      </c>
      <c r="G28" s="90">
        <f>ROUND(HLOOKUP($G$2,bs!$C$1:$AA$110,MATCH("*"&amp;B28&amp;"*",bs!$B$1:$B$110,),FALSE),0)/IF(LEN($B$1)&gt;4,10000,1)</f>
        <v>0</v>
      </c>
      <c r="H28" s="89" t="e">
        <f t="shared" ref="H28:H45" si="15">G28/$G$45</f>
        <v>#DIV/0!</v>
      </c>
      <c r="I28" s="90">
        <f>ROUND(HLOOKUP($I$2,bs!$C$1:$AA$110,MATCH("*"&amp;B28&amp;"*",bs!$B$1:$B$110,),FALSE),0)/IF(LEN($B$1)&gt;4,10000,1)</f>
        <v>0</v>
      </c>
      <c r="J28" s="89" t="e">
        <f t="shared" ref="J28:J45" si="16">I28/$I$45</f>
        <v>#DIV/0!</v>
      </c>
      <c r="L28" s="99" t="e">
        <f t="shared" si="4"/>
        <v>#DIV/0!</v>
      </c>
    </row>
    <row r="29" spans="2:12">
      <c r="B29" s="87" t="s">
        <v>274</v>
      </c>
      <c r="C29" s="88">
        <f>ROUND(HLOOKUP($C$2,bs!$C$1:$AA$110,MATCH("*"&amp;B29&amp;"*",bs!$B$1:$B$110,),FALSE),0)/IF(LEN($B$1)&gt;4,10000,1)</f>
        <v>0</v>
      </c>
      <c r="D29" s="89" t="e">
        <f t="shared" si="13"/>
        <v>#DIV/0!</v>
      </c>
      <c r="E29" s="88">
        <f>ROUND(HLOOKUP($E$2,bs!$C$1:$AA$110,MATCH("*"&amp;B29&amp;"*",bs!$B$1:$B$110,),FALSE),0)/IF(LEN($B$1)&gt;4,10000,1)</f>
        <v>0</v>
      </c>
      <c r="F29" s="89" t="e">
        <f t="shared" si="14"/>
        <v>#DIV/0!</v>
      </c>
      <c r="G29" s="90">
        <f>ROUND(HLOOKUP($G$2,bs!$C$1:$AA$110,MATCH("*"&amp;B29&amp;"*",bs!$B$1:$B$110,),FALSE),0)/IF(LEN($B$1)&gt;4,10000,1)</f>
        <v>0</v>
      </c>
      <c r="H29" s="89" t="e">
        <f t="shared" si="15"/>
        <v>#DIV/0!</v>
      </c>
      <c r="I29" s="90">
        <f>ROUND(HLOOKUP($I$2,bs!$C$1:$AA$110,MATCH("*"&amp;B29&amp;"*",bs!$B$1:$B$110,),FALSE),0)/IF(LEN($B$1)&gt;4,10000,1)</f>
        <v>0</v>
      </c>
      <c r="J29" s="89" t="e">
        <f t="shared" si="16"/>
        <v>#DIV/0!</v>
      </c>
      <c r="L29" s="99" t="e">
        <f t="shared" si="4"/>
        <v>#DIV/0!</v>
      </c>
    </row>
    <row r="30" spans="2:12">
      <c r="B30" s="87" t="s">
        <v>275</v>
      </c>
      <c r="C30" s="88">
        <f>ROUND(HLOOKUP($C$2,bs!$C$1:$AA$110,MATCH("*"&amp;B30&amp;"*",bs!$B$1:$B$110,),FALSE),0)/IF(LEN($B$1)&gt;4,10000,1)</f>
        <v>0</v>
      </c>
      <c r="D30" s="89" t="e">
        <f t="shared" si="13"/>
        <v>#DIV/0!</v>
      </c>
      <c r="E30" s="88">
        <f>ROUND(HLOOKUP($E$2,bs!$C$1:$AA$110,MATCH("*"&amp;B30&amp;"*",bs!$B$1:$B$110,),FALSE),0)/IF(LEN($B$1)&gt;4,10000,1)</f>
        <v>0</v>
      </c>
      <c r="F30" s="89" t="e">
        <f t="shared" si="14"/>
        <v>#DIV/0!</v>
      </c>
      <c r="G30" s="90">
        <f>ROUND(HLOOKUP($G$2,bs!$C$1:$AA$110,MATCH("*"&amp;B30&amp;"*",bs!$B$1:$B$110,),FALSE),0)/IF(LEN($B$1)&gt;4,10000,1)</f>
        <v>0</v>
      </c>
      <c r="H30" s="89" t="e">
        <f t="shared" si="15"/>
        <v>#DIV/0!</v>
      </c>
      <c r="I30" s="90">
        <f>ROUND(HLOOKUP($I$2,bs!$C$1:$AA$110,MATCH("*"&amp;B30&amp;"*",bs!$B$1:$B$110,),FALSE),0)/IF(LEN($B$1)&gt;4,10000,1)</f>
        <v>0</v>
      </c>
      <c r="J30" s="89" t="e">
        <f t="shared" si="16"/>
        <v>#DIV/0!</v>
      </c>
      <c r="L30" s="99" t="e">
        <f t="shared" si="4"/>
        <v>#DIV/0!</v>
      </c>
    </row>
    <row r="31" spans="2:12">
      <c r="B31" s="87" t="s">
        <v>276</v>
      </c>
      <c r="C31" s="88">
        <f>ROUND(HLOOKUP($C$2,bs!$C$1:$AA$110,MATCH("*"&amp;B31&amp;"*",bs!$B$1:$B$110,),FALSE),0)/IF(LEN($B$1)&gt;4,10000,1)</f>
        <v>0</v>
      </c>
      <c r="D31" s="89" t="e">
        <f t="shared" si="13"/>
        <v>#DIV/0!</v>
      </c>
      <c r="E31" s="88">
        <f>ROUND(HLOOKUP($E$2,bs!$C$1:$AA$110,MATCH("*"&amp;B31&amp;"*",bs!$B$1:$B$110,),FALSE),0)/IF(LEN($B$1)&gt;4,10000,1)</f>
        <v>0</v>
      </c>
      <c r="F31" s="89" t="e">
        <f t="shared" si="14"/>
        <v>#DIV/0!</v>
      </c>
      <c r="G31" s="90">
        <f>ROUND(HLOOKUP($G$2,bs!$C$1:$AA$110,MATCH("*"&amp;B31&amp;"*",bs!$B$1:$B$110,),FALSE),0)/IF(LEN($B$1)&gt;4,10000,1)</f>
        <v>0</v>
      </c>
      <c r="H31" s="89" t="e">
        <f t="shared" si="15"/>
        <v>#DIV/0!</v>
      </c>
      <c r="I31" s="90">
        <f>ROUND(HLOOKUP($I$2,bs!$C$1:$AA$110,MATCH("*"&amp;B31&amp;"*",bs!$B$1:$B$110,),FALSE),0)/IF(LEN($B$1)&gt;4,10000,1)</f>
        <v>0</v>
      </c>
      <c r="J31" s="89" t="e">
        <f t="shared" si="16"/>
        <v>#DIV/0!</v>
      </c>
      <c r="L31" s="99" t="e">
        <f t="shared" si="4"/>
        <v>#DIV/0!</v>
      </c>
    </row>
    <row r="32" spans="2:12">
      <c r="B32" s="87" t="s">
        <v>277</v>
      </c>
      <c r="C32" s="88">
        <f>ROUND(HLOOKUP($C$2,bs!$C$1:$AA$110,MATCH("*"&amp;B32&amp;"*",bs!$B$1:$B$110,),FALSE),0)/IF(LEN($B$1)&gt;4,10000,1)</f>
        <v>0</v>
      </c>
      <c r="D32" s="89" t="e">
        <f t="shared" si="13"/>
        <v>#DIV/0!</v>
      </c>
      <c r="E32" s="88">
        <f>ROUND(HLOOKUP($E$2,bs!$C$1:$AA$110,MATCH("*"&amp;B32&amp;"*",bs!$B$1:$B$110,),FALSE),0)/IF(LEN($B$1)&gt;4,10000,1)</f>
        <v>0</v>
      </c>
      <c r="F32" s="89" t="e">
        <f t="shared" si="14"/>
        <v>#DIV/0!</v>
      </c>
      <c r="G32" s="90">
        <f>ROUND(HLOOKUP($G$2,bs!$C$1:$AA$110,MATCH("*"&amp;B32&amp;"*",bs!$B$1:$B$110,),FALSE),0)/IF(LEN($B$1)&gt;4,10000,1)</f>
        <v>0</v>
      </c>
      <c r="H32" s="89" t="e">
        <f t="shared" si="15"/>
        <v>#DIV/0!</v>
      </c>
      <c r="I32" s="90">
        <f>ROUND(HLOOKUP($I$2,bs!$C$1:$AA$110,MATCH("*"&amp;B32&amp;"*",bs!$B$1:$B$110,),FALSE),0)/IF(LEN($B$1)&gt;4,10000,1)</f>
        <v>0</v>
      </c>
      <c r="J32" s="89" t="e">
        <f t="shared" si="16"/>
        <v>#DIV/0!</v>
      </c>
      <c r="L32" s="99" t="e">
        <f t="shared" si="4"/>
        <v>#DIV/0!</v>
      </c>
    </row>
    <row r="33" spans="2:12">
      <c r="B33" s="87" t="s">
        <v>278</v>
      </c>
      <c r="C33" s="88">
        <f>ROUND(HLOOKUP($C$2,bs!$C$1:$AA$110,MATCH("*"&amp;B33&amp;"*",bs!$B$1:$B$110,),FALSE),0)/IF(LEN($B$1)&gt;4,10000,1)</f>
        <v>0</v>
      </c>
      <c r="D33" s="89" t="e">
        <f t="shared" si="13"/>
        <v>#DIV/0!</v>
      </c>
      <c r="E33" s="88">
        <f>ROUND(HLOOKUP($E$2,bs!$C$1:$AA$110,MATCH("*"&amp;B33&amp;"*",bs!$B$1:$B$110,),FALSE),0)/IF(LEN($B$1)&gt;4,10000,1)</f>
        <v>0</v>
      </c>
      <c r="F33" s="89" t="e">
        <f t="shared" si="14"/>
        <v>#DIV/0!</v>
      </c>
      <c r="G33" s="90">
        <f>ROUND(HLOOKUP($G$2,bs!$C$1:$AA$110,MATCH("*"&amp;B33&amp;"*",bs!$B$1:$B$110,),FALSE),0)/IF(LEN($B$1)&gt;4,10000,1)</f>
        <v>0</v>
      </c>
      <c r="H33" s="89" t="e">
        <f t="shared" si="15"/>
        <v>#DIV/0!</v>
      </c>
      <c r="I33" s="90">
        <f>ROUND(HLOOKUP($I$2,bs!$C$1:$AA$110,MATCH("*"&amp;B33&amp;"*",bs!$B$1:$B$110,),FALSE),0)/IF(LEN($B$1)&gt;4,10000,1)</f>
        <v>0</v>
      </c>
      <c r="J33" s="89" t="e">
        <f t="shared" si="16"/>
        <v>#DIV/0!</v>
      </c>
      <c r="L33" s="99" t="e">
        <f t="shared" si="4"/>
        <v>#DIV/0!</v>
      </c>
    </row>
    <row r="34" spans="2:12">
      <c r="B34" s="87" t="s">
        <v>279</v>
      </c>
      <c r="C34" s="88">
        <f>ROUND(HLOOKUP($C$2,bs!$C$1:$AA$110,MATCH("*"&amp;B34&amp;"*",bs!$B$1:$B$110,),FALSE),0)/IF(LEN($B$1)&gt;4,10000,1)</f>
        <v>0</v>
      </c>
      <c r="D34" s="89" t="e">
        <f t="shared" si="13"/>
        <v>#DIV/0!</v>
      </c>
      <c r="E34" s="88">
        <f>ROUND(HLOOKUP($E$2,bs!$C$1:$AA$110,MATCH("*"&amp;B34&amp;"*",bs!$B$1:$B$110,),FALSE),0)/IF(LEN($B$1)&gt;4,10000,1)</f>
        <v>0</v>
      </c>
      <c r="F34" s="89" t="e">
        <f t="shared" si="14"/>
        <v>#DIV/0!</v>
      </c>
      <c r="G34" s="90">
        <f>ROUND(HLOOKUP($G$2,bs!$C$1:$AA$110,MATCH("*"&amp;B34&amp;"*",bs!$B$1:$B$110,),FALSE),0)/IF(LEN($B$1)&gt;4,10000,1)</f>
        <v>0</v>
      </c>
      <c r="H34" s="89" t="e">
        <f t="shared" si="15"/>
        <v>#DIV/0!</v>
      </c>
      <c r="I34" s="90">
        <f>ROUND(HLOOKUP($I$2,bs!$C$1:$AA$110,MATCH("*"&amp;B34&amp;"*",bs!$B$1:$B$110,),FALSE),0)/IF(LEN($B$1)&gt;4,10000,1)</f>
        <v>0</v>
      </c>
      <c r="J34" s="89" t="e">
        <f t="shared" si="16"/>
        <v>#DIV/0!</v>
      </c>
      <c r="L34" s="99" t="e">
        <f t="shared" si="4"/>
        <v>#DIV/0!</v>
      </c>
    </row>
    <row r="35" spans="2:12">
      <c r="B35" s="87" t="s">
        <v>280</v>
      </c>
      <c r="C35" s="88">
        <f>ROUND(HLOOKUP($C$2,bs!$C$1:$AA$110,MATCH("*"&amp;B35&amp;"*",bs!$B$1:$B$110,),FALSE),0)/IF(LEN($B$1)&gt;4,10000,1)</f>
        <v>0</v>
      </c>
      <c r="D35" s="89" t="e">
        <f t="shared" si="13"/>
        <v>#DIV/0!</v>
      </c>
      <c r="E35" s="88">
        <f>ROUND(HLOOKUP($E$2,bs!$C$1:$AA$110,MATCH("*"&amp;B35&amp;"*",bs!$B$1:$B$110,),FALSE),0)/IF(LEN($B$1)&gt;4,10000,1)</f>
        <v>0</v>
      </c>
      <c r="F35" s="89" t="e">
        <f t="shared" si="14"/>
        <v>#DIV/0!</v>
      </c>
      <c r="G35" s="90">
        <f>ROUND(HLOOKUP($G$2,bs!$C$1:$AA$110,MATCH("*"&amp;B35&amp;"*",bs!$B$1:$B$110,),FALSE),0)/IF(LEN($B$1)&gt;4,10000,1)</f>
        <v>0</v>
      </c>
      <c r="H35" s="89" t="e">
        <f t="shared" si="15"/>
        <v>#DIV/0!</v>
      </c>
      <c r="I35" s="90">
        <f>ROUND(HLOOKUP($I$2,bs!$C$1:$AA$110,MATCH("*"&amp;B35&amp;"*",bs!$B$1:$B$110,),FALSE),0)/IF(LEN($B$1)&gt;4,10000,1)</f>
        <v>0</v>
      </c>
      <c r="J35" s="89" t="e">
        <f t="shared" si="16"/>
        <v>#DIV/0!</v>
      </c>
      <c r="L35" s="99" t="e">
        <f t="shared" si="4"/>
        <v>#DIV/0!</v>
      </c>
    </row>
    <row r="36" spans="2:12">
      <c r="B36" s="87" t="s">
        <v>281</v>
      </c>
      <c r="C36" s="88">
        <f>ROUND(HLOOKUP($C$2,bs!$C$1:$AA$110,MATCH("*"&amp;B36&amp;"*",bs!$B$1:$B$110,),FALSE),0)/IF(LEN($B$1)&gt;4,10000,1)</f>
        <v>0</v>
      </c>
      <c r="D36" s="89" t="e">
        <f t="shared" si="13"/>
        <v>#DIV/0!</v>
      </c>
      <c r="E36" s="88">
        <f>ROUND(HLOOKUP($E$2,bs!$C$1:$AA$110,MATCH("*"&amp;B36&amp;"*",bs!$B$1:$B$110,),FALSE),0)/IF(LEN($B$1)&gt;4,10000,1)</f>
        <v>0</v>
      </c>
      <c r="F36" s="89" t="e">
        <f t="shared" si="14"/>
        <v>#DIV/0!</v>
      </c>
      <c r="G36" s="90">
        <f>ROUND(HLOOKUP($G$2,bs!$C$1:$AA$110,MATCH("*"&amp;B36&amp;"*",bs!$B$1:$B$110,),FALSE),0)/IF(LEN($B$1)&gt;4,10000,1)</f>
        <v>0</v>
      </c>
      <c r="H36" s="89" t="e">
        <f t="shared" si="15"/>
        <v>#DIV/0!</v>
      </c>
      <c r="I36" s="90">
        <f>ROUND(HLOOKUP($I$2,bs!$C$1:$AA$110,MATCH("*"&amp;B36&amp;"*",bs!$B$1:$B$110,),FALSE),0)/IF(LEN($B$1)&gt;4,10000,1)</f>
        <v>0</v>
      </c>
      <c r="J36" s="89" t="e">
        <f t="shared" si="16"/>
        <v>#DIV/0!</v>
      </c>
      <c r="L36" s="99" t="e">
        <f t="shared" si="4"/>
        <v>#DIV/0!</v>
      </c>
    </row>
    <row r="37" spans="2:12">
      <c r="B37" s="87" t="s">
        <v>282</v>
      </c>
      <c r="C37" s="88">
        <f>ROUND(HLOOKUP($C$2,bs!$C$1:$AA$110,MATCH("*"&amp;B37&amp;"*",bs!$B$1:$B$110,),FALSE),0)/IF(LEN($B$1)&gt;4,10000,1)</f>
        <v>0</v>
      </c>
      <c r="D37" s="89" t="e">
        <f t="shared" si="13"/>
        <v>#DIV/0!</v>
      </c>
      <c r="E37" s="88">
        <f>ROUND(HLOOKUP($E$2,bs!$C$1:$AA$110,MATCH("*"&amp;B37&amp;"*",bs!$B$1:$B$110,),FALSE),0)/IF(LEN($B$1)&gt;4,10000,1)</f>
        <v>0</v>
      </c>
      <c r="F37" s="89" t="e">
        <f t="shared" si="14"/>
        <v>#DIV/0!</v>
      </c>
      <c r="G37" s="90">
        <f>ROUND(HLOOKUP($G$2,bs!$C$1:$AA$110,MATCH("*"&amp;B37&amp;"*",bs!$B$1:$B$110,),FALSE),0)/IF(LEN($B$1)&gt;4,10000,1)</f>
        <v>0</v>
      </c>
      <c r="H37" s="89" t="e">
        <f t="shared" si="15"/>
        <v>#DIV/0!</v>
      </c>
      <c r="I37" s="90">
        <f>ROUND(HLOOKUP($I$2,bs!$C$1:$AA$110,MATCH("*"&amp;B37&amp;"*",bs!$B$1:$B$110,),FALSE),0)/IF(LEN($B$1)&gt;4,10000,1)</f>
        <v>0</v>
      </c>
      <c r="J37" s="89" t="e">
        <f t="shared" si="16"/>
        <v>#DIV/0!</v>
      </c>
      <c r="L37" s="99" t="e">
        <f t="shared" si="4"/>
        <v>#DIV/0!</v>
      </c>
    </row>
    <row r="38" spans="2:12">
      <c r="B38" s="87" t="s">
        <v>283</v>
      </c>
      <c r="C38" s="88">
        <f>ROUND(HLOOKUP($C$2,bs!$C$1:$AA$110,MATCH("*"&amp;B38&amp;"*",bs!$B$1:$B$110,),FALSE),0)/IF(LEN($B$1)&gt;4,10000,1)</f>
        <v>0</v>
      </c>
      <c r="D38" s="89" t="e">
        <f t="shared" si="13"/>
        <v>#DIV/0!</v>
      </c>
      <c r="E38" s="88">
        <f>ROUND(HLOOKUP($E$2,bs!$C$1:$AA$110,MATCH("*"&amp;B38&amp;"*",bs!$B$1:$B$110,),FALSE),0)/IF(LEN($B$1)&gt;4,10000,1)</f>
        <v>0</v>
      </c>
      <c r="F38" s="89" t="e">
        <f t="shared" si="14"/>
        <v>#DIV/0!</v>
      </c>
      <c r="G38" s="90">
        <f>ROUND(HLOOKUP($G$2,bs!$C$1:$AA$110,MATCH("*"&amp;B38&amp;"*",bs!$B$1:$B$110,),FALSE),0)/IF(LEN($B$1)&gt;4,10000,1)</f>
        <v>0</v>
      </c>
      <c r="H38" s="89" t="e">
        <f t="shared" si="15"/>
        <v>#DIV/0!</v>
      </c>
      <c r="I38" s="90">
        <f>ROUND(HLOOKUP($I$2,bs!$C$1:$AA$110,MATCH("*"&amp;B38&amp;"*",bs!$B$1:$B$110,),FALSE),0)/IF(LEN($B$1)&gt;4,10000,1)</f>
        <v>0</v>
      </c>
      <c r="J38" s="89" t="e">
        <f t="shared" si="16"/>
        <v>#DIV/0!</v>
      </c>
      <c r="L38" s="99" t="e">
        <f t="shared" si="4"/>
        <v>#DIV/0!</v>
      </c>
    </row>
    <row r="39" spans="2:12">
      <c r="B39" s="87" t="s">
        <v>284</v>
      </c>
      <c r="C39" s="88">
        <f>ROUND(HLOOKUP($C$2,bs!$C$1:$AA$110,MATCH("*"&amp;B39&amp;"*",bs!$B$1:$B$110,),FALSE),0)/IF(LEN($B$1)&gt;4,10000,1)</f>
        <v>0</v>
      </c>
      <c r="D39" s="89" t="e">
        <f t="shared" si="13"/>
        <v>#DIV/0!</v>
      </c>
      <c r="E39" s="88">
        <f>ROUND(HLOOKUP($E$2,bs!$C$1:$AA$110,MATCH("*"&amp;B39&amp;"*",bs!$B$1:$B$110,),FALSE),0)/IF(LEN($B$1)&gt;4,10000,1)</f>
        <v>0</v>
      </c>
      <c r="F39" s="89" t="e">
        <f t="shared" si="14"/>
        <v>#DIV/0!</v>
      </c>
      <c r="G39" s="90">
        <f>ROUND(HLOOKUP($G$2,bs!$C$1:$AA$110,MATCH("*"&amp;B39&amp;"*",bs!$B$1:$B$110,),FALSE),0)/IF(LEN($B$1)&gt;4,10000,1)</f>
        <v>0</v>
      </c>
      <c r="H39" s="89" t="e">
        <f t="shared" si="15"/>
        <v>#DIV/0!</v>
      </c>
      <c r="I39" s="90">
        <f>ROUND(HLOOKUP($I$2,bs!$C$1:$AA$110,MATCH("*"&amp;B39&amp;"*",bs!$B$1:$B$110,),FALSE),0)/IF(LEN($B$1)&gt;4,10000,1)</f>
        <v>0</v>
      </c>
      <c r="J39" s="89" t="e">
        <f t="shared" si="16"/>
        <v>#DIV/0!</v>
      </c>
      <c r="L39" s="99" t="e">
        <f t="shared" si="4"/>
        <v>#DIV/0!</v>
      </c>
    </row>
    <row r="40" spans="2:12">
      <c r="B40" s="87" t="s">
        <v>285</v>
      </c>
      <c r="C40" s="88">
        <f>ROUND(HLOOKUP($C$2,bs!$C$1:$AA$110,MATCH("*"&amp;B40&amp;"*",bs!$B$1:$B$110,),FALSE),0)/IF(LEN($B$1)&gt;4,10000,1)</f>
        <v>0</v>
      </c>
      <c r="D40" s="89" t="e">
        <f t="shared" si="13"/>
        <v>#DIV/0!</v>
      </c>
      <c r="E40" s="88">
        <f>ROUND(HLOOKUP($E$2,bs!$C$1:$AA$110,MATCH("*"&amp;B40&amp;"*",bs!$B$1:$B$110,),FALSE),0)/IF(LEN($B$1)&gt;4,10000,1)</f>
        <v>0</v>
      </c>
      <c r="F40" s="89" t="e">
        <f t="shared" si="14"/>
        <v>#DIV/0!</v>
      </c>
      <c r="G40" s="90">
        <f>ROUND(HLOOKUP($G$2,bs!$C$1:$AA$110,MATCH("*"&amp;B40&amp;"*",bs!$B$1:$B$110,),FALSE),0)/IF(LEN($B$1)&gt;4,10000,1)</f>
        <v>0</v>
      </c>
      <c r="H40" s="89" t="e">
        <f t="shared" si="15"/>
        <v>#DIV/0!</v>
      </c>
      <c r="I40" s="90">
        <f>ROUND(HLOOKUP($I$2,bs!$C$1:$AA$110,MATCH("*"&amp;B40&amp;"*",bs!$B$1:$B$110,),FALSE),0)/IF(LEN($B$1)&gt;4,10000,1)</f>
        <v>0</v>
      </c>
      <c r="J40" s="89" t="e">
        <f t="shared" si="16"/>
        <v>#DIV/0!</v>
      </c>
      <c r="L40" s="99" t="e">
        <f t="shared" si="4"/>
        <v>#DIV/0!</v>
      </c>
    </row>
    <row r="41" spans="2:12">
      <c r="B41" s="87" t="s">
        <v>286</v>
      </c>
      <c r="C41" s="88">
        <f>ROUND(HLOOKUP($C$2,bs!$C$1:$AA$110,MATCH("*"&amp;B41&amp;"*",bs!$B$1:$B$110,),FALSE),0)/IF(LEN($B$1)&gt;4,10000,1)</f>
        <v>0</v>
      </c>
      <c r="D41" s="89" t="e">
        <f t="shared" si="13"/>
        <v>#DIV/0!</v>
      </c>
      <c r="E41" s="88">
        <f>ROUND(HLOOKUP($E$2,bs!$C$1:$AA$110,MATCH("*"&amp;B41&amp;"*",bs!$B$1:$B$110,),FALSE),0)/IF(LEN($B$1)&gt;4,10000,1)</f>
        <v>0</v>
      </c>
      <c r="F41" s="89" t="e">
        <f t="shared" si="14"/>
        <v>#DIV/0!</v>
      </c>
      <c r="G41" s="90">
        <f>ROUND(HLOOKUP($G$2,bs!$C$1:$AA$110,MATCH("*"&amp;B41&amp;"*",bs!$B$1:$B$110,),FALSE),0)/IF(LEN($B$1)&gt;4,10000,1)</f>
        <v>0</v>
      </c>
      <c r="H41" s="89" t="e">
        <f t="shared" si="15"/>
        <v>#DIV/0!</v>
      </c>
      <c r="I41" s="90">
        <f>ROUND(HLOOKUP($I$2,bs!$C$1:$AA$110,MATCH("*"&amp;B41&amp;"*",bs!$B$1:$B$110,),FALSE),0)/IF(LEN($B$1)&gt;4,10000,1)</f>
        <v>0</v>
      </c>
      <c r="J41" s="89" t="e">
        <f t="shared" si="16"/>
        <v>#DIV/0!</v>
      </c>
      <c r="L41" s="99" t="e">
        <f t="shared" si="4"/>
        <v>#DIV/0!</v>
      </c>
    </row>
    <row r="42" spans="2:12">
      <c r="B42" s="87" t="s">
        <v>287</v>
      </c>
      <c r="C42" s="88">
        <f>ROUND(HLOOKUP($C$2,bs!$C$1:$AA$110,MATCH("*"&amp;B42&amp;"*",bs!$B$1:$B$110,),FALSE),0)/IF(LEN($B$1)&gt;4,10000,1)</f>
        <v>0</v>
      </c>
      <c r="D42" s="89" t="e">
        <f t="shared" si="13"/>
        <v>#DIV/0!</v>
      </c>
      <c r="E42" s="88">
        <f>ROUND(HLOOKUP($E$2,bs!$C$1:$AA$110,MATCH("*"&amp;B42&amp;"*",bs!$B$1:$B$110,),FALSE),0)/IF(LEN($B$1)&gt;4,10000,1)</f>
        <v>0</v>
      </c>
      <c r="F42" s="89" t="e">
        <f t="shared" si="14"/>
        <v>#DIV/0!</v>
      </c>
      <c r="G42" s="90">
        <f>ROUND(HLOOKUP($G$2,bs!$C$1:$AA$110,MATCH("*"&amp;B42&amp;"*",bs!$B$1:$B$110,),FALSE),0)/IF(LEN($B$1)&gt;4,10000,1)</f>
        <v>0</v>
      </c>
      <c r="H42" s="89" t="e">
        <f t="shared" si="15"/>
        <v>#DIV/0!</v>
      </c>
      <c r="I42" s="90">
        <f>ROUND(HLOOKUP($I$2,bs!$C$1:$AA$110,MATCH("*"&amp;B42&amp;"*",bs!$B$1:$B$110,),FALSE),0)/IF(LEN($B$1)&gt;4,10000,1)</f>
        <v>0</v>
      </c>
      <c r="J42" s="89" t="e">
        <f t="shared" si="16"/>
        <v>#DIV/0!</v>
      </c>
      <c r="L42" s="99" t="e">
        <f t="shared" si="4"/>
        <v>#DIV/0!</v>
      </c>
    </row>
    <row r="43" spans="2:12">
      <c r="B43" s="87" t="s">
        <v>288</v>
      </c>
      <c r="C43" s="88">
        <f>ROUND(HLOOKUP($C$2,bs!$C$1:$AA$110,MATCH("*"&amp;B43&amp;"*",bs!$B$1:$B$110,),FALSE),0)/IF(LEN($B$1)&gt;4,10000,1)</f>
        <v>0</v>
      </c>
      <c r="D43" s="89" t="e">
        <f t="shared" si="13"/>
        <v>#DIV/0!</v>
      </c>
      <c r="E43" s="88">
        <f>ROUND(HLOOKUP($E$2,bs!$C$1:$AA$110,MATCH("*"&amp;B43&amp;"*",bs!$B$1:$B$110,),FALSE),0)/IF(LEN($B$1)&gt;4,10000,1)</f>
        <v>0</v>
      </c>
      <c r="F43" s="89" t="e">
        <f t="shared" si="14"/>
        <v>#DIV/0!</v>
      </c>
      <c r="G43" s="90">
        <f>ROUND(HLOOKUP($G$2,bs!$C$1:$AA$110,MATCH("*"&amp;B43&amp;"*",bs!$B$1:$B$110,),FALSE),0)/IF(LEN($B$1)&gt;4,10000,1)</f>
        <v>0</v>
      </c>
      <c r="H43" s="89" t="e">
        <f t="shared" si="15"/>
        <v>#DIV/0!</v>
      </c>
      <c r="I43" s="90">
        <f>ROUND(HLOOKUP($I$2,bs!$C$1:$AA$110,MATCH("*"&amp;B43&amp;"*",bs!$B$1:$B$110,),FALSE),0)/IF(LEN($B$1)&gt;4,10000,1)</f>
        <v>0</v>
      </c>
      <c r="J43" s="89" t="e">
        <f t="shared" si="16"/>
        <v>#DIV/0!</v>
      </c>
      <c r="L43" s="99" t="e">
        <f t="shared" si="4"/>
        <v>#DIV/0!</v>
      </c>
    </row>
    <row r="44" spans="2:12">
      <c r="B44" s="91" t="s">
        <v>289</v>
      </c>
      <c r="C44" s="88">
        <f>ROUND(HLOOKUP($C$2,bs!$C$1:$AA$110,MATCH("*"&amp;B44&amp;"*",bs!$B$1:$B$110,),FALSE),0)/IF(LEN($B$1)&gt;4,10000,1)</f>
        <v>0</v>
      </c>
      <c r="D44" s="92" t="e">
        <f t="shared" si="13"/>
        <v>#DIV/0!</v>
      </c>
      <c r="E44" s="88">
        <f>ROUND(HLOOKUP($E$2,bs!$C$1:$AA$110,MATCH("*"&amp;B44&amp;"*",bs!$B$1:$B$110,),FALSE),0)/IF(LEN($B$1)&gt;4,10000,1)</f>
        <v>0</v>
      </c>
      <c r="F44" s="92" t="e">
        <f t="shared" si="14"/>
        <v>#DIV/0!</v>
      </c>
      <c r="G44" s="90">
        <f>ROUND(HLOOKUP($G$2,bs!$C$1:$AA$110,MATCH("*"&amp;B44&amp;"*",bs!$B$1:$B$110,),FALSE),0)/IF(LEN($B$1)&gt;4,10000,1)</f>
        <v>0</v>
      </c>
      <c r="H44" s="92" t="e">
        <f t="shared" si="15"/>
        <v>#DIV/0!</v>
      </c>
      <c r="I44" s="90">
        <f>ROUND(HLOOKUP($I$2,bs!$C$1:$AA$110,MATCH("*"&amp;B44&amp;"*",bs!$B$1:$B$110,),FALSE),0)/IF(LEN($B$1)&gt;4,10000,1)</f>
        <v>0</v>
      </c>
      <c r="J44" s="92" t="e">
        <f t="shared" si="16"/>
        <v>#DIV/0!</v>
      </c>
      <c r="L44" s="99" t="e">
        <f t="shared" si="4"/>
        <v>#DIV/0!</v>
      </c>
    </row>
    <row r="45" spans="2:12">
      <c r="B45" s="91" t="s">
        <v>290</v>
      </c>
      <c r="C45" s="88">
        <f>ROUND(HLOOKUP($C$2,bs!$C$1:$AA$110,MATCH("*"&amp;B45&amp;"*",bs!$B$1:$B$110,),FALSE),0)/IF(LEN($B$1)&gt;4,10000,1)</f>
        <v>0</v>
      </c>
      <c r="D45" s="92" t="e">
        <f t="shared" si="13"/>
        <v>#DIV/0!</v>
      </c>
      <c r="E45" s="88">
        <f>ROUND(HLOOKUP($E$2,bs!$C$1:$AA$110,MATCH("*"&amp;B45&amp;"*",bs!$B$1:$B$110,),FALSE),0)/IF(LEN($B$1)&gt;4,10000,1)</f>
        <v>0</v>
      </c>
      <c r="F45" s="92" t="e">
        <f t="shared" si="14"/>
        <v>#DIV/0!</v>
      </c>
      <c r="G45" s="90">
        <f>ROUND(HLOOKUP($G$2,bs!$C$1:$AA$110,MATCH("*"&amp;B45&amp;"*",bs!$B$1:$B$110,),FALSE),0)/IF(LEN($B$1)&gt;4,10000,1)</f>
        <v>0</v>
      </c>
      <c r="H45" s="92" t="e">
        <f t="shared" si="15"/>
        <v>#DIV/0!</v>
      </c>
      <c r="I45" s="90">
        <f>ROUND(HLOOKUP($I$2,bs!$C$1:$AA$110,MATCH("*"&amp;B45&amp;"*",bs!$B$1:$B$110,),FALSE),0)/IF(LEN($B$1)&gt;4,10000,1)</f>
        <v>0</v>
      </c>
      <c r="J45" s="92" t="e">
        <f t="shared" si="16"/>
        <v>#DIV/0!</v>
      </c>
      <c r="L45" s="99" t="e">
        <f t="shared" si="4"/>
        <v>#DIV/0!</v>
      </c>
    </row>
    <row r="46" spans="2:12">
      <c r="B46" s="93"/>
      <c r="C46" s="94"/>
      <c r="D46" s="95"/>
      <c r="E46" s="94"/>
      <c r="F46" s="95"/>
      <c r="G46" s="96"/>
      <c r="H46" s="95"/>
      <c r="I46" s="96" t="s">
        <v>241</v>
      </c>
      <c r="J46" s="95"/>
      <c r="L46" s="99">
        <f t="shared" si="4"/>
        <v>0</v>
      </c>
    </row>
    <row r="47" spans="2:12">
      <c r="B47" s="91" t="s">
        <v>394</v>
      </c>
      <c r="C47" s="97">
        <f>C2</f>
        <v>45107</v>
      </c>
      <c r="D47" s="98"/>
      <c r="E47" s="97">
        <f>E2</f>
        <v>44926</v>
      </c>
      <c r="F47" s="98"/>
      <c r="G47" s="97">
        <f>G2</f>
        <v>44561</v>
      </c>
      <c r="H47" s="98"/>
      <c r="I47" s="97">
        <f>I2</f>
        <v>44196</v>
      </c>
      <c r="J47" s="98"/>
      <c r="L47" s="99">
        <f t="shared" si="4"/>
        <v>0</v>
      </c>
    </row>
    <row r="48" spans="2:12">
      <c r="B48" s="91"/>
      <c r="C48" s="86" t="s">
        <v>426</v>
      </c>
      <c r="D48" s="86" t="s">
        <v>427</v>
      </c>
      <c r="E48" s="86" t="s">
        <v>426</v>
      </c>
      <c r="F48" s="86" t="s">
        <v>427</v>
      </c>
      <c r="G48" s="86" t="s">
        <v>426</v>
      </c>
      <c r="H48" s="86" t="s">
        <v>427</v>
      </c>
      <c r="I48" s="86" t="s">
        <v>426</v>
      </c>
      <c r="J48" s="86" t="s">
        <v>427</v>
      </c>
      <c r="L48" s="99" t="e">
        <f t="shared" si="4"/>
        <v>#VALUE!</v>
      </c>
    </row>
    <row r="49" spans="2:12">
      <c r="B49" s="87" t="s">
        <v>401</v>
      </c>
      <c r="C49" s="88">
        <f>ROUND(HLOOKUP($C$2,bs!$C$1:$AA$110,MATCH("*"&amp;B49&amp;"*",bs!$B$1:$B$110,),FALSE),0)/IF(LEN($B$1)&gt;4,10000,1)</f>
        <v>0</v>
      </c>
      <c r="D49" s="89" t="e">
        <f>C49/$C$80</f>
        <v>#DIV/0!</v>
      </c>
      <c r="E49" s="88">
        <f>ROUND(HLOOKUP($E$2,bs!$C$1:$AA$110,MATCH("*"&amp;B49&amp;"*",bs!$B$1:$B$110,),FALSE),0)/IF(LEN($B$1)&gt;4,10000,1)</f>
        <v>0</v>
      </c>
      <c r="F49" s="89" t="e">
        <f>E49/$E$80</f>
        <v>#DIV/0!</v>
      </c>
      <c r="G49" s="90">
        <f>ROUND(HLOOKUP($G$2,bs!$C$1:$AA$110,MATCH("*"&amp;B49&amp;"*",bs!$B$1:$B$110,),FALSE),0)/IF(LEN($B$1)&gt;4,10000,1)</f>
        <v>0</v>
      </c>
      <c r="H49" s="89" t="e">
        <f>G49/$G$80</f>
        <v>#DIV/0!</v>
      </c>
      <c r="I49" s="90">
        <f>ROUND(HLOOKUP($I$2,bs!$C$1:$AA$110,MATCH("*"&amp;B49&amp;"*",bs!$B$1:$B$110,),FALSE),0)/IF(LEN($B$1)&gt;4,10000,1)</f>
        <v>0</v>
      </c>
      <c r="J49" s="89" t="e">
        <f>I49/$I$80</f>
        <v>#DIV/0!</v>
      </c>
      <c r="L49" s="99" t="e">
        <f t="shared" si="4"/>
        <v>#DIV/0!</v>
      </c>
    </row>
    <row r="50" spans="2:12">
      <c r="B50" s="87" t="s">
        <v>450</v>
      </c>
      <c r="C50" s="88">
        <f>ROUND(HLOOKUP($C$2,bs!$C$1:$AA$110,MATCH("*"&amp;B50&amp;"*",bs!$B$1:$B$110,),FALSE),0)/IF(LEN($B$1)&gt;4,10000,1)</f>
        <v>0</v>
      </c>
      <c r="D50" s="89" t="e">
        <f t="shared" ref="D50:D67" si="17">C50/$C$80</f>
        <v>#DIV/0!</v>
      </c>
      <c r="E50" s="88">
        <f>ROUND(HLOOKUP($E$2,bs!$C$1:$AA$110,MATCH("*"&amp;B50&amp;"*",bs!$B$1:$B$110,),FALSE),0)/IF(LEN($B$1)&gt;4,10000,1)</f>
        <v>0</v>
      </c>
      <c r="F50" s="89" t="e">
        <f t="shared" ref="F50:F67" si="18">E50/$E$80</f>
        <v>#DIV/0!</v>
      </c>
      <c r="G50" s="90">
        <f>ROUND(HLOOKUP($G$2,bs!$C$1:$AA$110,MATCH("*"&amp;B50&amp;"*",bs!$B$1:$B$110,),FALSE),0)/IF(LEN($B$1)&gt;4,10000,1)</f>
        <v>0</v>
      </c>
      <c r="H50" s="89" t="e">
        <f t="shared" ref="H50:H67" si="19">G50/$G$80</f>
        <v>#DIV/0!</v>
      </c>
      <c r="I50" s="90">
        <f>ROUND(HLOOKUP($I$2,bs!$C$1:$AA$110,MATCH("*"&amp;B50&amp;"*",bs!$B$1:$B$110,),FALSE),0)/IF(LEN($B$1)&gt;4,10000,1)</f>
        <v>0</v>
      </c>
      <c r="J50" s="89" t="e">
        <f t="shared" ref="J50:J67" si="20">I50/$I$80</f>
        <v>#DIV/0!</v>
      </c>
      <c r="L50" s="99" t="e">
        <f t="shared" si="4"/>
        <v>#DIV/0!</v>
      </c>
    </row>
    <row r="51" spans="2:12">
      <c r="B51" s="87" t="s">
        <v>295</v>
      </c>
      <c r="C51" s="88">
        <f>ROUND(HLOOKUP($C$2,bs!$C$1:$AA$110,MATCH("*"&amp;B51&amp;"*",bs!$B$1:$B$110,),FALSE),0)/IF(LEN($B$1)&gt;4,10000,1)</f>
        <v>0</v>
      </c>
      <c r="D51" s="89" t="e">
        <f t="shared" si="17"/>
        <v>#DIV/0!</v>
      </c>
      <c r="E51" s="88">
        <f>ROUND(HLOOKUP($E$2,bs!$C$1:$AA$110,MATCH("*"&amp;B51&amp;"*",bs!$B$1:$B$110,),FALSE),0)/IF(LEN($B$1)&gt;4,10000,1)</f>
        <v>0</v>
      </c>
      <c r="F51" s="89" t="e">
        <f t="shared" si="18"/>
        <v>#DIV/0!</v>
      </c>
      <c r="G51" s="90">
        <f>ROUND(HLOOKUP($G$2,bs!$C$1:$AA$110,MATCH("*"&amp;B51&amp;"*",bs!$B$1:$B$110,),FALSE),0)/IF(LEN($B$1)&gt;4,10000,1)</f>
        <v>0</v>
      </c>
      <c r="H51" s="89" t="e">
        <f t="shared" si="19"/>
        <v>#DIV/0!</v>
      </c>
      <c r="I51" s="90">
        <f>ROUND(HLOOKUP($I$2,bs!$C$1:$AA$110,MATCH("*"&amp;B51&amp;"*",bs!$B$1:$B$110,),FALSE),0)/IF(LEN($B$1)&gt;4,10000,1)</f>
        <v>0</v>
      </c>
      <c r="J51" s="89" t="e">
        <f t="shared" si="20"/>
        <v>#DIV/0!</v>
      </c>
      <c r="L51" s="99" t="e">
        <f t="shared" si="4"/>
        <v>#DIV/0!</v>
      </c>
    </row>
    <row r="52" spans="2:12">
      <c r="B52" s="87" t="s">
        <v>296</v>
      </c>
      <c r="C52" s="88">
        <f>ROUND(HLOOKUP($C$2,bs!$C$1:$AA$110,MATCH("*"&amp;B52&amp;"*",bs!$B$1:$B$110,),FALSE),0)/IF(LEN($B$1)&gt;4,10000,1)</f>
        <v>0</v>
      </c>
      <c r="D52" s="89" t="e">
        <f t="shared" si="17"/>
        <v>#DIV/0!</v>
      </c>
      <c r="E52" s="88">
        <f>ROUND(HLOOKUP($E$2,bs!$C$1:$AA$110,MATCH("*"&amp;B52&amp;"*",bs!$B$1:$B$110,),FALSE),0)/IF(LEN($B$1)&gt;4,10000,1)</f>
        <v>0</v>
      </c>
      <c r="F52" s="89" t="e">
        <f t="shared" si="18"/>
        <v>#DIV/0!</v>
      </c>
      <c r="G52" s="90">
        <f>ROUND(HLOOKUP($G$2,bs!$C$1:$AA$110,MATCH("*"&amp;B52&amp;"*",bs!$B$1:$B$110,),FALSE),0)/IF(LEN($B$1)&gt;4,10000,1)</f>
        <v>0</v>
      </c>
      <c r="H52" s="89" t="e">
        <f t="shared" si="19"/>
        <v>#DIV/0!</v>
      </c>
      <c r="I52" s="90">
        <f>ROUND(HLOOKUP($I$2,bs!$C$1:$AA$110,MATCH("*"&amp;B52&amp;"*",bs!$B$1:$B$110,),FALSE),0)/IF(LEN($B$1)&gt;4,10000,1)</f>
        <v>0</v>
      </c>
      <c r="J52" s="89" t="e">
        <f t="shared" si="20"/>
        <v>#DIV/0!</v>
      </c>
      <c r="L52" s="99" t="e">
        <f t="shared" si="4"/>
        <v>#DIV/0!</v>
      </c>
    </row>
    <row r="53" spans="2:12">
      <c r="B53" s="87" t="s">
        <v>297</v>
      </c>
      <c r="C53" s="88">
        <f>ROUND(HLOOKUP($C$2,bs!$C$1:$AA$110,MATCH("*"&amp;B53&amp;"*",bs!$B$1:$B$110,),FALSE),0)/IF(LEN($B$1)&gt;4,10000,1)</f>
        <v>0</v>
      </c>
      <c r="D53" s="89" t="e">
        <f t="shared" si="17"/>
        <v>#DIV/0!</v>
      </c>
      <c r="E53" s="88">
        <f>ROUND(HLOOKUP($E$2,bs!$C$1:$AA$110,MATCH("*"&amp;B53&amp;"*",bs!$B$1:$B$110,),FALSE),0)/IF(LEN($B$1)&gt;4,10000,1)</f>
        <v>0</v>
      </c>
      <c r="F53" s="89" t="e">
        <f t="shared" si="18"/>
        <v>#DIV/0!</v>
      </c>
      <c r="G53" s="90">
        <f>ROUND(HLOOKUP($G$2,bs!$C$1:$AA$110,MATCH("*"&amp;B53&amp;"*",bs!$B$1:$B$110,),FALSE),0)/IF(LEN($B$1)&gt;4,10000,1)</f>
        <v>0</v>
      </c>
      <c r="H53" s="89" t="e">
        <f t="shared" si="19"/>
        <v>#DIV/0!</v>
      </c>
      <c r="I53" s="90">
        <f>ROUND(HLOOKUP($I$2,bs!$C$1:$AA$110,MATCH("*"&amp;B53&amp;"*",bs!$B$1:$B$110,),FALSE),0)/IF(LEN($B$1)&gt;4,10000,1)</f>
        <v>0</v>
      </c>
      <c r="J53" s="89" t="e">
        <f t="shared" si="20"/>
        <v>#DIV/0!</v>
      </c>
      <c r="L53" s="99" t="e">
        <f t="shared" si="4"/>
        <v>#DIV/0!</v>
      </c>
    </row>
    <row r="54" spans="2:12">
      <c r="B54" s="87" t="s">
        <v>298</v>
      </c>
      <c r="C54" s="88">
        <f>ROUND(HLOOKUP($C$2,bs!$C$1:$AA$110,MATCH("*"&amp;B54&amp;"*",bs!$B$1:$B$110,),FALSE),0)/IF(LEN($B$1)&gt;4,10000,1)</f>
        <v>0</v>
      </c>
      <c r="D54" s="89" t="e">
        <f t="shared" si="17"/>
        <v>#DIV/0!</v>
      </c>
      <c r="E54" s="88">
        <f>ROUND(HLOOKUP($E$2,bs!$C$1:$AA$110,MATCH("*"&amp;B54&amp;"*",bs!$B$1:$B$110,),FALSE),0)/IF(LEN($B$1)&gt;4,10000,1)</f>
        <v>0</v>
      </c>
      <c r="F54" s="89" t="e">
        <f t="shared" si="18"/>
        <v>#DIV/0!</v>
      </c>
      <c r="G54" s="90">
        <f>ROUND(HLOOKUP($G$2,bs!$C$1:$AA$110,MATCH("*"&amp;B54&amp;"*",bs!$B$1:$B$110,),FALSE),0)/IF(LEN($B$1)&gt;4,10000,1)</f>
        <v>0</v>
      </c>
      <c r="H54" s="89" t="e">
        <f t="shared" si="19"/>
        <v>#DIV/0!</v>
      </c>
      <c r="I54" s="90">
        <f>ROUND(HLOOKUP($I$2,bs!$C$1:$AA$110,MATCH("*"&amp;B54&amp;"*",bs!$B$1:$B$110,),FALSE),0)/IF(LEN($B$1)&gt;4,10000,1)</f>
        <v>0</v>
      </c>
      <c r="J54" s="89" t="e">
        <f t="shared" si="20"/>
        <v>#DIV/0!</v>
      </c>
      <c r="L54" s="99" t="e">
        <f t="shared" si="4"/>
        <v>#DIV/0!</v>
      </c>
    </row>
    <row r="55" spans="2:12">
      <c r="B55" s="87" t="s">
        <v>299</v>
      </c>
      <c r="C55" s="88">
        <f>ROUND(HLOOKUP($C$2,bs!$C$1:$AA$110,MATCH("*"&amp;B55&amp;"*",bs!$B$1:$B$110,),FALSE),0)/IF(LEN($B$1)&gt;4,10000,1)</f>
        <v>0</v>
      </c>
      <c r="D55" s="89" t="e">
        <f t="shared" si="17"/>
        <v>#DIV/0!</v>
      </c>
      <c r="E55" s="88">
        <f>ROUND(HLOOKUP($E$2,bs!$C$1:$AA$110,MATCH("*"&amp;B55&amp;"*",bs!$B$1:$B$110,),FALSE),0)/IF(LEN($B$1)&gt;4,10000,1)</f>
        <v>0</v>
      </c>
      <c r="F55" s="89" t="e">
        <f t="shared" si="18"/>
        <v>#DIV/0!</v>
      </c>
      <c r="G55" s="90">
        <f>ROUND(HLOOKUP($G$2,bs!$C$1:$AA$110,MATCH("*"&amp;B55&amp;"*",bs!$B$1:$B$110,),FALSE),0)/IF(LEN($B$1)&gt;4,10000,1)</f>
        <v>0</v>
      </c>
      <c r="H55" s="89" t="e">
        <f t="shared" si="19"/>
        <v>#DIV/0!</v>
      </c>
      <c r="I55" s="90">
        <f>ROUND(HLOOKUP($I$2,bs!$C$1:$AA$110,MATCH("*"&amp;B55&amp;"*",bs!$B$1:$B$110,),FALSE),0)/IF(LEN($B$1)&gt;4,10000,1)</f>
        <v>0</v>
      </c>
      <c r="J55" s="89" t="e">
        <f t="shared" si="20"/>
        <v>#DIV/0!</v>
      </c>
      <c r="L55" s="99" t="e">
        <f t="shared" si="4"/>
        <v>#DIV/0!</v>
      </c>
    </row>
    <row r="56" spans="2:12">
      <c r="B56" s="87" t="s">
        <v>304</v>
      </c>
      <c r="C56" s="88">
        <f>ROUND(HLOOKUP($C$2,bs!$C$1:$AA$110,MATCH("*"&amp;B56&amp;"*",bs!$B$1:$B$110,),FALSE),0)/IF(LEN($B$1)&gt;4,10000,1)</f>
        <v>0</v>
      </c>
      <c r="D56" s="89" t="e">
        <f t="shared" si="17"/>
        <v>#DIV/0!</v>
      </c>
      <c r="E56" s="88">
        <f>ROUND(HLOOKUP($E$2,bs!$C$1:$AA$110,MATCH("*"&amp;B56&amp;"*",bs!$B$1:$B$110,),FALSE),0)/IF(LEN($B$1)&gt;4,10000,1)</f>
        <v>0</v>
      </c>
      <c r="F56" s="89" t="e">
        <f t="shared" si="18"/>
        <v>#DIV/0!</v>
      </c>
      <c r="G56" s="90">
        <f>ROUND(HLOOKUP($G$2,bs!$C$1:$AA$110,MATCH("*"&amp;B56&amp;"*",bs!$B$1:$B$110,),FALSE),0)/IF(LEN($B$1)&gt;4,10000,1)</f>
        <v>0</v>
      </c>
      <c r="H56" s="89" t="e">
        <f t="shared" si="19"/>
        <v>#DIV/0!</v>
      </c>
      <c r="I56" s="90">
        <f>ROUND(HLOOKUP($I$2,bs!$C$1:$AA$110,MATCH("*"&amp;B56&amp;"*",bs!$B$1:$B$110,),FALSE),0)/IF(LEN($B$1)&gt;4,10000,1)</f>
        <v>0</v>
      </c>
      <c r="J56" s="89" t="e">
        <f t="shared" si="20"/>
        <v>#DIV/0!</v>
      </c>
      <c r="L56" s="99" t="e">
        <f t="shared" si="4"/>
        <v>#DIV/0!</v>
      </c>
    </row>
    <row r="57" spans="2:12">
      <c r="B57" s="87" t="s">
        <v>305</v>
      </c>
      <c r="C57" s="88">
        <f>ROUND(HLOOKUP($C$2,bs!$C$1:$AA$110,MATCH("*"&amp;B57&amp;"*",bs!$B$1:$B$110,),FALSE),0)/IF(LEN($B$1)&gt;4,10000,1)</f>
        <v>0</v>
      </c>
      <c r="D57" s="89" t="e">
        <f t="shared" si="17"/>
        <v>#DIV/0!</v>
      </c>
      <c r="E57" s="88">
        <f>ROUND(HLOOKUP($E$2,bs!$C$1:$AA$110,MATCH("*"&amp;B57&amp;"*",bs!$B$1:$B$110,),FALSE),0)/IF(LEN($B$1)&gt;4,10000,1)</f>
        <v>0</v>
      </c>
      <c r="F57" s="89" t="e">
        <f t="shared" si="18"/>
        <v>#DIV/0!</v>
      </c>
      <c r="G57" s="90">
        <f>ROUND(HLOOKUP($G$2,bs!$C$1:$AA$110,MATCH("*"&amp;B57&amp;"*",bs!$B$1:$B$110,),FALSE),0)/IF(LEN($B$1)&gt;4,10000,1)</f>
        <v>0</v>
      </c>
      <c r="H57" s="89" t="e">
        <f t="shared" si="19"/>
        <v>#DIV/0!</v>
      </c>
      <c r="I57" s="90">
        <f>ROUND(HLOOKUP($I$2,bs!$C$1:$AA$110,MATCH("*"&amp;B57&amp;"*",bs!$B$1:$B$110,),FALSE),0)/IF(LEN($B$1)&gt;4,10000,1)</f>
        <v>0</v>
      </c>
      <c r="J57" s="89" t="e">
        <f t="shared" si="20"/>
        <v>#DIV/0!</v>
      </c>
      <c r="L57" s="99" t="e">
        <f t="shared" si="4"/>
        <v>#DIV/0!</v>
      </c>
    </row>
    <row r="58" spans="2:12">
      <c r="B58" s="87" t="s">
        <v>306</v>
      </c>
      <c r="C58" s="88">
        <f>ROUND(HLOOKUP($C$2,bs!$C$1:$AA$110,MATCH("*"&amp;B58&amp;"*",bs!$B$1:$B$110,),FALSE),0)/IF(LEN($B$1)&gt;4,10000,1)</f>
        <v>0</v>
      </c>
      <c r="D58" s="89" t="e">
        <f t="shared" si="17"/>
        <v>#DIV/0!</v>
      </c>
      <c r="E58" s="88">
        <f>ROUND(HLOOKUP($E$2,bs!$C$1:$AA$110,MATCH("*"&amp;B58&amp;"*",bs!$B$1:$B$110,),FALSE),0)/IF(LEN($B$1)&gt;4,10000,1)</f>
        <v>0</v>
      </c>
      <c r="F58" s="89" t="e">
        <f t="shared" si="18"/>
        <v>#DIV/0!</v>
      </c>
      <c r="G58" s="90">
        <f>ROUND(HLOOKUP($G$2,bs!$C$1:$AA$110,MATCH("*"&amp;B58&amp;"*",bs!$B$1:$B$110,),FALSE),0)/IF(LEN($B$1)&gt;4,10000,1)</f>
        <v>0</v>
      </c>
      <c r="H58" s="89" t="e">
        <f t="shared" si="19"/>
        <v>#DIV/0!</v>
      </c>
      <c r="I58" s="90">
        <f>ROUND(HLOOKUP($I$2,bs!$C$1:$AA$110,MATCH("*"&amp;B58&amp;"*",bs!$B$1:$B$110,),FALSE),0)/IF(LEN($B$1)&gt;4,10000,1)</f>
        <v>0</v>
      </c>
      <c r="J58" s="89" t="e">
        <f t="shared" si="20"/>
        <v>#DIV/0!</v>
      </c>
      <c r="L58" s="99" t="e">
        <f t="shared" si="4"/>
        <v>#DIV/0!</v>
      </c>
    </row>
    <row r="59" spans="2:12">
      <c r="B59" s="87" t="s">
        <v>307</v>
      </c>
      <c r="C59" s="88">
        <f>ROUND(HLOOKUP($C$2,bs!$C$1:$AA$110,MATCH("*"&amp;B59&amp;"*",bs!$B$1:$B$110,),FALSE),0)/IF(LEN($B$1)&gt;4,10000,1)</f>
        <v>0</v>
      </c>
      <c r="D59" s="89" t="e">
        <f t="shared" si="17"/>
        <v>#DIV/0!</v>
      </c>
      <c r="E59" s="88">
        <f>ROUND(HLOOKUP($E$2,bs!$C$1:$AA$110,MATCH("*"&amp;B59&amp;"*",bs!$B$1:$B$110,),FALSE),0)/IF(LEN($B$1)&gt;4,10000,1)</f>
        <v>0</v>
      </c>
      <c r="F59" s="89" t="e">
        <f t="shared" si="18"/>
        <v>#DIV/0!</v>
      </c>
      <c r="G59" s="90">
        <f>ROUND(HLOOKUP($G$2,bs!$C$1:$AA$110,MATCH("*"&amp;B59&amp;"*",bs!$B$1:$B$110,),FALSE),0)/IF(LEN($B$1)&gt;4,10000,1)</f>
        <v>0</v>
      </c>
      <c r="H59" s="89" t="e">
        <f t="shared" si="19"/>
        <v>#DIV/0!</v>
      </c>
      <c r="I59" s="90">
        <f>ROUND(HLOOKUP($I$2,bs!$C$1:$AA$110,MATCH("*"&amp;B59&amp;"*",bs!$B$1:$B$110,),FALSE),0)/IF(LEN($B$1)&gt;4,10000,1)</f>
        <v>0</v>
      </c>
      <c r="J59" s="89" t="e">
        <f t="shared" si="20"/>
        <v>#DIV/0!</v>
      </c>
      <c r="L59" s="99" t="e">
        <f t="shared" si="4"/>
        <v>#DIV/0!</v>
      </c>
    </row>
    <row r="60" spans="2:12">
      <c r="B60" s="87" t="s">
        <v>308</v>
      </c>
      <c r="C60" s="88">
        <f>ROUND(HLOOKUP($C$2,bs!$C$1:$AA$110,MATCH("*"&amp;B60&amp;"*",bs!$B$1:$B$110,),FALSE),0)/IF(LEN($B$1)&gt;4,10000,1)</f>
        <v>0</v>
      </c>
      <c r="D60" s="89" t="e">
        <f t="shared" si="17"/>
        <v>#DIV/0!</v>
      </c>
      <c r="E60" s="88">
        <f>ROUND(HLOOKUP($E$2,bs!$C$1:$AA$110,MATCH("*"&amp;B60&amp;"*",bs!$B$1:$B$110,),FALSE),0)/IF(LEN($B$1)&gt;4,10000,1)</f>
        <v>0</v>
      </c>
      <c r="F60" s="89" t="e">
        <f t="shared" si="18"/>
        <v>#DIV/0!</v>
      </c>
      <c r="G60" s="90">
        <f>ROUND(HLOOKUP($G$2,bs!$C$1:$AA$110,MATCH("*"&amp;B60&amp;"*",bs!$B$1:$B$110,),FALSE),0)/IF(LEN($B$1)&gt;4,10000,1)</f>
        <v>0</v>
      </c>
      <c r="H60" s="89" t="e">
        <f t="shared" si="19"/>
        <v>#DIV/0!</v>
      </c>
      <c r="I60" s="90">
        <f>ROUND(HLOOKUP($I$2,bs!$C$1:$AA$110,MATCH("*"&amp;B60&amp;"*",bs!$B$1:$B$110,),FALSE),0)/IF(LEN($B$1)&gt;4,10000,1)</f>
        <v>0</v>
      </c>
      <c r="J60" s="89" t="e">
        <f t="shared" si="20"/>
        <v>#DIV/0!</v>
      </c>
      <c r="L60" s="99" t="e">
        <f t="shared" si="4"/>
        <v>#DIV/0!</v>
      </c>
    </row>
    <row r="61" ht="23.15" spans="2:12">
      <c r="B61" s="87" t="s">
        <v>309</v>
      </c>
      <c r="C61" s="88">
        <f>ROUND(HLOOKUP($C$2,bs!$C$1:$AA$110,MATCH("*"&amp;B61&amp;"*",bs!$B$1:$B$110,),FALSE),0)/IF(LEN($B$1)&gt;4,10000,1)</f>
        <v>0</v>
      </c>
      <c r="D61" s="89" t="e">
        <f t="shared" si="17"/>
        <v>#DIV/0!</v>
      </c>
      <c r="E61" s="88">
        <f>ROUND(HLOOKUP($E$2,bs!$C$1:$AA$110,MATCH("*"&amp;B61&amp;"*",bs!$B$1:$B$110,),FALSE),0)/IF(LEN($B$1)&gt;4,10000,1)</f>
        <v>0</v>
      </c>
      <c r="F61" s="89" t="e">
        <f t="shared" si="18"/>
        <v>#DIV/0!</v>
      </c>
      <c r="G61" s="90">
        <f>ROUND(HLOOKUP($G$2,bs!$C$1:$AA$110,MATCH("*"&amp;B61&amp;"*",bs!$B$1:$B$110,),FALSE),0)/IF(LEN($B$1)&gt;4,10000,1)</f>
        <v>0</v>
      </c>
      <c r="H61" s="89" t="e">
        <f t="shared" si="19"/>
        <v>#DIV/0!</v>
      </c>
      <c r="I61" s="90">
        <f>ROUND(HLOOKUP($I$2,bs!$C$1:$AA$110,MATCH("*"&amp;B61&amp;"*",bs!$B$1:$B$110,),FALSE),0)/IF(LEN($B$1)&gt;4,10000,1)</f>
        <v>0</v>
      </c>
      <c r="J61" s="89" t="e">
        <f t="shared" si="20"/>
        <v>#DIV/0!</v>
      </c>
      <c r="L61" s="99" t="e">
        <f t="shared" si="4"/>
        <v>#DIV/0!</v>
      </c>
    </row>
    <row r="62" spans="2:12">
      <c r="B62" s="87" t="s">
        <v>310</v>
      </c>
      <c r="C62" s="88">
        <f>ROUND(HLOOKUP($C$2,bs!$C$1:$AA$110,MATCH("*"&amp;B62&amp;"*",bs!$B$1:$B$110,),FALSE),0)/IF(LEN($B$1)&gt;4,10000,1)</f>
        <v>0</v>
      </c>
      <c r="D62" s="89" t="e">
        <f t="shared" si="17"/>
        <v>#DIV/0!</v>
      </c>
      <c r="E62" s="88">
        <f>ROUND(HLOOKUP($E$2,bs!$C$1:$AA$110,MATCH("*"&amp;B62&amp;"*",bs!$B$1:$B$110,),FALSE),0)/IF(LEN($B$1)&gt;4,10000,1)</f>
        <v>0</v>
      </c>
      <c r="F62" s="89" t="e">
        <f t="shared" si="18"/>
        <v>#DIV/0!</v>
      </c>
      <c r="G62" s="90">
        <f>ROUND(HLOOKUP($G$2,bs!$C$1:$AA$110,MATCH("*"&amp;B62&amp;"*",bs!$B$1:$B$110,),FALSE),0)/IF(LEN($B$1)&gt;4,10000,1)</f>
        <v>0</v>
      </c>
      <c r="H62" s="89" t="e">
        <f t="shared" si="19"/>
        <v>#DIV/0!</v>
      </c>
      <c r="I62" s="90">
        <f>ROUND(HLOOKUP($I$2,bs!$C$1:$AA$110,MATCH("*"&amp;B62&amp;"*",bs!$B$1:$B$110,),FALSE),0)/IF(LEN($B$1)&gt;4,10000,1)</f>
        <v>0</v>
      </c>
      <c r="J62" s="89" t="e">
        <f t="shared" si="20"/>
        <v>#DIV/0!</v>
      </c>
      <c r="L62" s="99" t="e">
        <f t="shared" si="4"/>
        <v>#DIV/0!</v>
      </c>
    </row>
    <row r="63" spans="2:12">
      <c r="B63" s="87" t="s">
        <v>311</v>
      </c>
      <c r="C63" s="88">
        <f>ROUND(HLOOKUP($C$2,bs!$C$1:$AA$110,MATCH("*"&amp;B63&amp;"*",bs!$B$1:$B$110,),FALSE),0)/IF(LEN($B$1)&gt;4,10000,1)</f>
        <v>0</v>
      </c>
      <c r="D63" s="89" t="e">
        <f t="shared" si="17"/>
        <v>#DIV/0!</v>
      </c>
      <c r="E63" s="88">
        <f>ROUND(HLOOKUP($E$2,bs!$C$1:$AA$110,MATCH("*"&amp;B63&amp;"*",bs!$B$1:$B$110,),FALSE),0)/IF(LEN($B$1)&gt;4,10000,1)</f>
        <v>0</v>
      </c>
      <c r="F63" s="89" t="e">
        <f t="shared" si="18"/>
        <v>#DIV/0!</v>
      </c>
      <c r="G63" s="90">
        <f>ROUND(HLOOKUP($G$2,bs!$C$1:$AA$110,MATCH("*"&amp;B63&amp;"*",bs!$B$1:$B$110,),FALSE),0)/IF(LEN($B$1)&gt;4,10000,1)</f>
        <v>0</v>
      </c>
      <c r="H63" s="89" t="e">
        <f t="shared" si="19"/>
        <v>#DIV/0!</v>
      </c>
      <c r="I63" s="90">
        <f>ROUND(HLOOKUP($I$2,bs!$C$1:$AA$110,MATCH("*"&amp;B63&amp;"*",bs!$B$1:$B$110,),FALSE),0)/IF(LEN($B$1)&gt;4,10000,1)</f>
        <v>0</v>
      </c>
      <c r="J63" s="89" t="e">
        <f t="shared" si="20"/>
        <v>#DIV/0!</v>
      </c>
      <c r="L63" s="99" t="e">
        <f t="shared" si="4"/>
        <v>#DIV/0!</v>
      </c>
    </row>
    <row r="64" ht="23.15" spans="2:12">
      <c r="B64" s="87" t="s">
        <v>312</v>
      </c>
      <c r="C64" s="88">
        <f>ROUND(HLOOKUP($C$2,bs!$C$1:$AA$110,MATCH("*"&amp;B64&amp;"*",bs!$B$1:$B$110,),FALSE),0)/IF(LEN($B$1)&gt;4,10000,1)</f>
        <v>0</v>
      </c>
      <c r="D64" s="89" t="e">
        <f t="shared" si="17"/>
        <v>#DIV/0!</v>
      </c>
      <c r="E64" s="88">
        <f>ROUND(HLOOKUP($E$2,bs!$C$1:$AA$110,MATCH("*"&amp;B64&amp;"*",bs!$B$1:$B$110,),FALSE),0)/IF(LEN($B$1)&gt;4,10000,1)</f>
        <v>0</v>
      </c>
      <c r="F64" s="89" t="e">
        <f t="shared" si="18"/>
        <v>#DIV/0!</v>
      </c>
      <c r="G64" s="90">
        <f>ROUND(HLOOKUP($G$2,bs!$C$1:$AA$110,MATCH("*"&amp;B64&amp;"*",bs!$B$1:$B$110,),FALSE),0)/IF(LEN($B$1)&gt;4,10000,1)</f>
        <v>0</v>
      </c>
      <c r="H64" s="89" t="e">
        <f t="shared" si="19"/>
        <v>#DIV/0!</v>
      </c>
      <c r="I64" s="90">
        <f>ROUND(HLOOKUP($I$2,bs!$C$1:$AA$110,MATCH("*"&amp;B64&amp;"*",bs!$B$1:$B$110,),FALSE),0)/IF(LEN($B$1)&gt;4,10000,1)</f>
        <v>0</v>
      </c>
      <c r="J64" s="89" t="e">
        <f t="shared" si="20"/>
        <v>#DIV/0!</v>
      </c>
      <c r="L64" s="99" t="e">
        <f t="shared" si="4"/>
        <v>#DIV/0!</v>
      </c>
    </row>
    <row r="65" spans="2:12">
      <c r="B65" s="87" t="s">
        <v>313</v>
      </c>
      <c r="C65" s="88">
        <f>ROUND(HLOOKUP($C$2,bs!$C$1:$AA$110,MATCH("*"&amp;B65&amp;"*",bs!$B$1:$B$110,),FALSE),0)/IF(LEN($B$1)&gt;4,10000,1)</f>
        <v>0</v>
      </c>
      <c r="D65" s="89" t="e">
        <f t="shared" si="17"/>
        <v>#DIV/0!</v>
      </c>
      <c r="E65" s="88">
        <f>ROUND(HLOOKUP($E$2,bs!$C$1:$AA$110,MATCH("*"&amp;B65&amp;"*",bs!$B$1:$B$110,),FALSE),0)/IF(LEN($B$1)&gt;4,10000,1)</f>
        <v>0</v>
      </c>
      <c r="F65" s="89" t="e">
        <f t="shared" si="18"/>
        <v>#DIV/0!</v>
      </c>
      <c r="G65" s="90">
        <f>ROUND(HLOOKUP($G$2,bs!$C$1:$AA$110,MATCH("*"&amp;B65&amp;"*",bs!$B$1:$B$110,),FALSE),0)/IF(LEN($B$1)&gt;4,10000,1)</f>
        <v>0</v>
      </c>
      <c r="H65" s="89" t="e">
        <f t="shared" si="19"/>
        <v>#DIV/0!</v>
      </c>
      <c r="I65" s="90">
        <f>ROUND(HLOOKUP($I$2,bs!$C$1:$AA$110,MATCH("*"&amp;B65&amp;"*",bs!$B$1:$B$110,),FALSE),0)/IF(LEN($B$1)&gt;4,10000,1)</f>
        <v>0</v>
      </c>
      <c r="J65" s="89" t="e">
        <f t="shared" si="20"/>
        <v>#DIV/0!</v>
      </c>
      <c r="L65" s="99" t="e">
        <f t="shared" si="4"/>
        <v>#DIV/0!</v>
      </c>
    </row>
    <row r="66" spans="2:12">
      <c r="B66" s="91" t="s">
        <v>314</v>
      </c>
      <c r="C66" s="88">
        <f>ROUND(HLOOKUP($C$2,bs!$C$1:$AA$110,MATCH("*"&amp;B66&amp;"*",bs!$B$1:$B$110,),FALSE),0)/IF(LEN($B$1)&gt;4,10000,1)</f>
        <v>0</v>
      </c>
      <c r="D66" s="92" t="e">
        <f t="shared" si="17"/>
        <v>#DIV/0!</v>
      </c>
      <c r="E66" s="88">
        <f>ROUND(HLOOKUP($E$2,bs!$C$1:$AA$110,MATCH("*"&amp;B66&amp;"*",bs!$B$1:$B$110,),FALSE),0)/IF(LEN($B$1)&gt;4,10000,1)</f>
        <v>0</v>
      </c>
      <c r="F66" s="92" t="e">
        <f t="shared" si="18"/>
        <v>#DIV/0!</v>
      </c>
      <c r="G66" s="90">
        <f>ROUND(HLOOKUP($G$2,bs!$C$1:$AA$110,MATCH("*"&amp;B66&amp;"*",bs!$B$1:$B$110,),FALSE),0)/IF(LEN($B$1)&gt;4,10000,1)</f>
        <v>0</v>
      </c>
      <c r="H66" s="92" t="e">
        <f t="shared" si="19"/>
        <v>#DIV/0!</v>
      </c>
      <c r="I66" s="90">
        <f>ROUND(HLOOKUP($I$2,bs!$C$1:$AA$110,MATCH("*"&amp;B66&amp;"*",bs!$B$1:$B$110,),FALSE),0)/IF(LEN($B$1)&gt;4,10000,1)</f>
        <v>0</v>
      </c>
      <c r="J66" s="92" t="e">
        <f t="shared" si="20"/>
        <v>#DIV/0!</v>
      </c>
      <c r="L66" s="99" t="e">
        <f t="shared" si="4"/>
        <v>#DIV/0!</v>
      </c>
    </row>
    <row r="67" spans="2:12">
      <c r="B67" s="87" t="s">
        <v>316</v>
      </c>
      <c r="C67" s="88">
        <f>ROUND(HLOOKUP($C$2,bs!$C$1:$AA$110,MATCH("*"&amp;B67&amp;"*",bs!$B$1:$B$110,),FALSE),0)/IF(LEN($B$1)&gt;4,10000,1)</f>
        <v>0</v>
      </c>
      <c r="D67" s="89" t="e">
        <f t="shared" si="17"/>
        <v>#DIV/0!</v>
      </c>
      <c r="E67" s="88">
        <f>ROUND(HLOOKUP($E$2,bs!$C$1:$AA$110,MATCH("*"&amp;B67&amp;"*",bs!$B$1:$B$110,),FALSE),0)/IF(LEN($B$1)&gt;4,10000,1)</f>
        <v>0</v>
      </c>
      <c r="F67" s="89" t="e">
        <f t="shared" si="18"/>
        <v>#DIV/0!</v>
      </c>
      <c r="G67" s="90">
        <f>ROUND(HLOOKUP($G$2,bs!$C$1:$AA$110,MATCH("*"&amp;B67&amp;"*",bs!$B$1:$B$110,),FALSE),0)/IF(LEN($B$1)&gt;4,10000,1)</f>
        <v>0</v>
      </c>
      <c r="H67" s="89" t="e">
        <f t="shared" si="19"/>
        <v>#DIV/0!</v>
      </c>
      <c r="I67" s="90">
        <f>ROUND(HLOOKUP($I$2,bs!$C$1:$AA$110,MATCH("*"&amp;B67&amp;"*",bs!$B$1:$B$110,),FALSE),0)/IF(LEN($B$1)&gt;4,10000,1)</f>
        <v>0</v>
      </c>
      <c r="J67" s="89" t="e">
        <f t="shared" si="20"/>
        <v>#DIV/0!</v>
      </c>
      <c r="L67" s="99" t="e">
        <f t="shared" si="4"/>
        <v>#DIV/0!</v>
      </c>
    </row>
    <row r="68" spans="2:12">
      <c r="B68" s="87" t="s">
        <v>317</v>
      </c>
      <c r="C68" s="88">
        <f>ROUND(HLOOKUP($C$2,bs!$C$1:$AA$110,MATCH("*"&amp;B68&amp;"*",bs!$B$1:$B$110,),FALSE),0)/IF(LEN($B$1)&gt;4,10000,1)</f>
        <v>0</v>
      </c>
      <c r="D68" s="89" t="e">
        <f t="shared" ref="D68:D80" si="21">C68/$C$80</f>
        <v>#DIV/0!</v>
      </c>
      <c r="E68" s="88">
        <f>ROUND(HLOOKUP($E$2,bs!$C$1:$AA$110,MATCH("*"&amp;B68&amp;"*",bs!$B$1:$B$110,),FALSE),0)/IF(LEN($B$1)&gt;4,10000,1)</f>
        <v>0</v>
      </c>
      <c r="F68" s="89" t="e">
        <f t="shared" ref="F68:F80" si="22">E68/$E$80</f>
        <v>#DIV/0!</v>
      </c>
      <c r="G68" s="90">
        <f>ROUND(HLOOKUP($G$2,bs!$C$1:$AA$110,MATCH("*"&amp;B68&amp;"*",bs!$B$1:$B$110,),FALSE),0)/IF(LEN($B$1)&gt;4,10000,1)</f>
        <v>0</v>
      </c>
      <c r="H68" s="89" t="e">
        <f t="shared" ref="H68:H80" si="23">G68/$G$80</f>
        <v>#DIV/0!</v>
      </c>
      <c r="I68" s="90">
        <f>ROUND(HLOOKUP($I$2,bs!$C$1:$AA$110,MATCH("*"&amp;B68&amp;"*",bs!$B$1:$B$110,),FALSE),0)/IF(LEN($B$1)&gt;4,10000,1)</f>
        <v>0</v>
      </c>
      <c r="J68" s="89" t="e">
        <f t="shared" ref="J68:J80" si="24">I68/$I$80</f>
        <v>#DIV/0!</v>
      </c>
      <c r="L68" s="99" t="e">
        <f t="shared" si="4"/>
        <v>#DIV/0!</v>
      </c>
    </row>
    <row r="69" spans="2:12">
      <c r="B69" s="87" t="s">
        <v>98</v>
      </c>
      <c r="C69" s="88">
        <f>ROUND(HLOOKUP($C$2,bs!$C$1:$AA$110,MATCH("*"&amp;B69&amp;"*",bs!$B$1:$B$110,),FALSE),0)/IF(LEN($B$1)&gt;4,10000,1)</f>
        <v>0</v>
      </c>
      <c r="D69" s="89" t="e">
        <f t="shared" si="21"/>
        <v>#DIV/0!</v>
      </c>
      <c r="E69" s="88">
        <f>ROUND(HLOOKUP($E$2,bs!$C$1:$AA$110,MATCH("*"&amp;B69&amp;"*",bs!$B$1:$B$110,),FALSE),0)/IF(LEN($B$1)&gt;4,10000,1)</f>
        <v>0</v>
      </c>
      <c r="F69" s="89" t="e">
        <f t="shared" si="22"/>
        <v>#DIV/0!</v>
      </c>
      <c r="G69" s="90">
        <f>ROUND(HLOOKUP($G$2,bs!$C$1:$AA$110,MATCH("*"&amp;B69&amp;"*",bs!$B$1:$B$110,),FALSE),0)/IF(LEN($B$1)&gt;4,10000,1)</f>
        <v>0</v>
      </c>
      <c r="H69" s="89" t="e">
        <f t="shared" si="23"/>
        <v>#DIV/0!</v>
      </c>
      <c r="I69" s="90">
        <f>ROUND(HLOOKUP($I$2,bs!$C$1:$AA$110,MATCH("*"&amp;B69&amp;"*",bs!$B$1:$B$110,),FALSE),0)/IF(LEN($B$1)&gt;4,10000,1)</f>
        <v>0</v>
      </c>
      <c r="J69" s="89" t="e">
        <f t="shared" si="24"/>
        <v>#DIV/0!</v>
      </c>
      <c r="L69" s="99" t="e">
        <f t="shared" ref="L69:L92" si="25">D69+F69+H69+J69</f>
        <v>#DIV/0!</v>
      </c>
    </row>
    <row r="70" spans="2:12">
      <c r="B70" s="87" t="s">
        <v>318</v>
      </c>
      <c r="C70" s="88">
        <f>ROUND(HLOOKUP($C$2,bs!$C$1:$AA$110,MATCH("*"&amp;B70&amp;"*",bs!$B$1:$B$110,),FALSE),0)/IF(LEN($B$1)&gt;4,10000,1)</f>
        <v>0</v>
      </c>
      <c r="D70" s="89" t="e">
        <f t="shared" si="21"/>
        <v>#DIV/0!</v>
      </c>
      <c r="E70" s="88">
        <f>ROUND(HLOOKUP($E$2,bs!$C$1:$AA$110,MATCH("*"&amp;B70&amp;"*",bs!$B$1:$B$110,),FALSE),0)/IF(LEN($B$1)&gt;4,10000,1)</f>
        <v>0</v>
      </c>
      <c r="F70" s="89" t="e">
        <f t="shared" si="22"/>
        <v>#DIV/0!</v>
      </c>
      <c r="G70" s="90">
        <f>ROUND(HLOOKUP($G$2,bs!$C$1:$AA$110,MATCH("*"&amp;B70&amp;"*",bs!$B$1:$B$110,),FALSE),0)/IF(LEN($B$1)&gt;4,10000,1)</f>
        <v>0</v>
      </c>
      <c r="H70" s="89" t="e">
        <f t="shared" si="23"/>
        <v>#DIV/0!</v>
      </c>
      <c r="I70" s="90">
        <f>ROUND(HLOOKUP($I$2,bs!$C$1:$AA$110,MATCH("*"&amp;B70&amp;"*",bs!$B$1:$B$110,),FALSE),0)/IF(LEN($B$1)&gt;4,10000,1)</f>
        <v>0</v>
      </c>
      <c r="J70" s="89" t="e">
        <f t="shared" si="24"/>
        <v>#DIV/0!</v>
      </c>
      <c r="L70" s="99" t="e">
        <f t="shared" si="25"/>
        <v>#DIV/0!</v>
      </c>
    </row>
    <row r="71" spans="2:12">
      <c r="B71" s="87" t="s">
        <v>319</v>
      </c>
      <c r="C71" s="88">
        <f>ROUND(HLOOKUP($C$2,bs!$C$1:$AA$110,MATCH("*"&amp;B71&amp;"*",bs!$B$1:$B$110,),FALSE),0)/IF(LEN($B$1)&gt;4,10000,1)</f>
        <v>0</v>
      </c>
      <c r="D71" s="89" t="e">
        <f t="shared" si="21"/>
        <v>#DIV/0!</v>
      </c>
      <c r="E71" s="88">
        <f>ROUND(HLOOKUP($E$2,bs!$C$1:$AA$110,MATCH("*"&amp;B71&amp;"*",bs!$B$1:$B$110,),FALSE),0)/IF(LEN($B$1)&gt;4,10000,1)</f>
        <v>0</v>
      </c>
      <c r="F71" s="89" t="e">
        <f t="shared" si="22"/>
        <v>#DIV/0!</v>
      </c>
      <c r="G71" s="90">
        <f>ROUND(HLOOKUP($G$2,bs!$C$1:$AA$110,MATCH("*"&amp;B71&amp;"*",bs!$B$1:$B$110,),FALSE),0)/IF(LEN($B$1)&gt;4,10000,1)</f>
        <v>0</v>
      </c>
      <c r="H71" s="89" t="e">
        <f t="shared" si="23"/>
        <v>#DIV/0!</v>
      </c>
      <c r="I71" s="90">
        <f>ROUND(HLOOKUP($I$2,bs!$C$1:$AA$110,MATCH("*"&amp;B71&amp;"*",bs!$B$1:$B$110,),FALSE),0)/IF(LEN($B$1)&gt;4,10000,1)</f>
        <v>0</v>
      </c>
      <c r="J71" s="89" t="e">
        <f t="shared" si="24"/>
        <v>#DIV/0!</v>
      </c>
      <c r="L71" s="99" t="e">
        <f t="shared" si="25"/>
        <v>#DIV/0!</v>
      </c>
    </row>
    <row r="72" spans="2:12">
      <c r="B72" s="87" t="s">
        <v>320</v>
      </c>
      <c r="C72" s="88">
        <f>ROUND(HLOOKUP($C$2,bs!$C$1:$AA$110,MATCH("*"&amp;B72&amp;"*",bs!$B$1:$B$110,),FALSE),0)/IF(LEN($B$1)&gt;4,10000,1)</f>
        <v>0</v>
      </c>
      <c r="D72" s="89" t="e">
        <f t="shared" si="21"/>
        <v>#DIV/0!</v>
      </c>
      <c r="E72" s="88">
        <f>ROUND(HLOOKUP($E$2,bs!$C$1:$AA$110,MATCH("*"&amp;B72&amp;"*",bs!$B$1:$B$110,),FALSE),0)/IF(LEN($B$1)&gt;4,10000,1)</f>
        <v>0</v>
      </c>
      <c r="F72" s="89" t="e">
        <f t="shared" si="22"/>
        <v>#DIV/0!</v>
      </c>
      <c r="G72" s="90">
        <f>ROUND(HLOOKUP($G$2,bs!$C$1:$AA$110,MATCH("*"&amp;B72&amp;"*",bs!$B$1:$B$110,),FALSE),0)/IF(LEN($B$1)&gt;4,10000,1)</f>
        <v>0</v>
      </c>
      <c r="H72" s="89" t="e">
        <f t="shared" si="23"/>
        <v>#DIV/0!</v>
      </c>
      <c r="I72" s="90">
        <f>ROUND(HLOOKUP($I$2,bs!$C$1:$AA$110,MATCH("*"&amp;B72&amp;"*",bs!$B$1:$B$110,),FALSE),0)/IF(LEN($B$1)&gt;4,10000,1)</f>
        <v>0</v>
      </c>
      <c r="J72" s="89" t="e">
        <f t="shared" si="24"/>
        <v>#DIV/0!</v>
      </c>
      <c r="L72" s="99" t="e">
        <f t="shared" si="25"/>
        <v>#DIV/0!</v>
      </c>
    </row>
    <row r="73" spans="2:12">
      <c r="B73" s="87" t="s">
        <v>321</v>
      </c>
      <c r="C73" s="88">
        <f>ROUND(HLOOKUP($C$2,bs!$C$1:$AA$110,MATCH("*"&amp;B73&amp;"*",bs!$B$1:$B$110,),FALSE),0)/IF(LEN($B$1)&gt;4,10000,1)</f>
        <v>0</v>
      </c>
      <c r="D73" s="89" t="e">
        <f t="shared" si="21"/>
        <v>#DIV/0!</v>
      </c>
      <c r="E73" s="88">
        <f>ROUND(HLOOKUP($E$2,bs!$C$1:$AA$110,MATCH("*"&amp;B73&amp;"*",bs!$B$1:$B$110,),FALSE),0)/IF(LEN($B$1)&gt;4,10000,1)</f>
        <v>0</v>
      </c>
      <c r="F73" s="89" t="e">
        <f t="shared" si="22"/>
        <v>#DIV/0!</v>
      </c>
      <c r="G73" s="90">
        <f>ROUND(HLOOKUP($G$2,bs!$C$1:$AA$110,MATCH("*"&amp;B73&amp;"*",bs!$B$1:$B$110,),FALSE),0)/IF(LEN($B$1)&gt;4,10000,1)</f>
        <v>0</v>
      </c>
      <c r="H73" s="89" t="e">
        <f t="shared" si="23"/>
        <v>#DIV/0!</v>
      </c>
      <c r="I73" s="90">
        <f>ROUND(HLOOKUP($I$2,bs!$C$1:$AA$110,MATCH("*"&amp;B73&amp;"*",bs!$B$1:$B$110,),FALSE),0)/IF(LEN($B$1)&gt;4,10000,1)</f>
        <v>0</v>
      </c>
      <c r="J73" s="89" t="e">
        <f t="shared" si="24"/>
        <v>#DIV/0!</v>
      </c>
      <c r="L73" s="99" t="e">
        <f t="shared" si="25"/>
        <v>#DIV/0!</v>
      </c>
    </row>
    <row r="74" spans="2:12">
      <c r="B74" s="87" t="s">
        <v>322</v>
      </c>
      <c r="C74" s="88">
        <f>ROUND(HLOOKUP($C$2,bs!$C$1:$AA$110,MATCH("*"&amp;B74&amp;"*",bs!$B$1:$B$110,),FALSE),0)/IF(LEN($B$1)&gt;4,10000,1)</f>
        <v>0</v>
      </c>
      <c r="D74" s="89" t="e">
        <f t="shared" si="21"/>
        <v>#DIV/0!</v>
      </c>
      <c r="E74" s="88">
        <f>ROUND(HLOOKUP($E$2,bs!$C$1:$AA$110,MATCH("*"&amp;B74&amp;"*",bs!$B$1:$B$110,),FALSE),0)/IF(LEN($B$1)&gt;4,10000,1)</f>
        <v>0</v>
      </c>
      <c r="F74" s="89" t="e">
        <f t="shared" si="22"/>
        <v>#DIV/0!</v>
      </c>
      <c r="G74" s="90">
        <f>ROUND(HLOOKUP($G$2,bs!$C$1:$AA$110,MATCH("*"&amp;B74&amp;"*",bs!$B$1:$B$110,),FALSE),0)/IF(LEN($B$1)&gt;4,10000,1)</f>
        <v>0</v>
      </c>
      <c r="H74" s="89" t="e">
        <f t="shared" si="23"/>
        <v>#DIV/0!</v>
      </c>
      <c r="I74" s="90">
        <f>ROUND(HLOOKUP($I$2,bs!$C$1:$AA$110,MATCH("*"&amp;B74&amp;"*",bs!$B$1:$B$110,),FALSE),0)/IF(LEN($B$1)&gt;4,10000,1)</f>
        <v>0</v>
      </c>
      <c r="J74" s="89" t="e">
        <f t="shared" si="24"/>
        <v>#DIV/0!</v>
      </c>
      <c r="L74" s="99" t="e">
        <f t="shared" si="25"/>
        <v>#DIV/0!</v>
      </c>
    </row>
    <row r="75" spans="2:12">
      <c r="B75" s="87" t="s">
        <v>323</v>
      </c>
      <c r="C75" s="88">
        <f>ROUND(HLOOKUP($C$2,bs!$C$1:$AA$110,MATCH("*"&amp;B75&amp;"*",bs!$B$1:$B$110,),FALSE),0)/IF(LEN($B$1)&gt;4,10000,1)</f>
        <v>0</v>
      </c>
      <c r="D75" s="89" t="e">
        <f t="shared" si="21"/>
        <v>#DIV/0!</v>
      </c>
      <c r="E75" s="88">
        <f>ROUND(HLOOKUP($E$2,bs!$C$1:$AA$110,MATCH("*"&amp;B75&amp;"*",bs!$B$1:$B$110,),FALSE),0)/IF(LEN($B$1)&gt;4,10000,1)</f>
        <v>0</v>
      </c>
      <c r="F75" s="89" t="e">
        <f t="shared" si="22"/>
        <v>#DIV/0!</v>
      </c>
      <c r="G75" s="90">
        <f>ROUND(HLOOKUP($G$2,bs!$C$1:$AA$110,MATCH("*"&amp;B75&amp;"*",bs!$B$1:$B$110,),FALSE),0)/IF(LEN($B$1)&gt;4,10000,1)</f>
        <v>0</v>
      </c>
      <c r="H75" s="89" t="e">
        <f t="shared" si="23"/>
        <v>#DIV/0!</v>
      </c>
      <c r="I75" s="90">
        <f>ROUND(HLOOKUP($I$2,bs!$C$1:$AA$110,MATCH("*"&amp;B75&amp;"*",bs!$B$1:$B$110,),FALSE),0)/IF(LEN($B$1)&gt;4,10000,1)</f>
        <v>0</v>
      </c>
      <c r="J75" s="89" t="e">
        <f t="shared" si="24"/>
        <v>#DIV/0!</v>
      </c>
      <c r="L75" s="99" t="e">
        <f t="shared" si="25"/>
        <v>#DIV/0!</v>
      </c>
    </row>
    <row r="76" spans="2:12">
      <c r="B76" s="87" t="s">
        <v>324</v>
      </c>
      <c r="C76" s="88">
        <f>ROUND(HLOOKUP($C$2,bs!$C$1:$AA$110,MATCH("*"&amp;B76&amp;"*",bs!$B$1:$B$110,),FALSE),0)/IF(LEN($B$1)&gt;4,10000,1)</f>
        <v>0</v>
      </c>
      <c r="D76" s="89" t="e">
        <f t="shared" si="21"/>
        <v>#DIV/0!</v>
      </c>
      <c r="E76" s="88">
        <f>ROUND(HLOOKUP($E$2,bs!$C$1:$AA$110,MATCH("*"&amp;B76&amp;"*",bs!$B$1:$B$110,),FALSE),0)/IF(LEN($B$1)&gt;4,10000,1)</f>
        <v>0</v>
      </c>
      <c r="F76" s="89" t="e">
        <f t="shared" si="22"/>
        <v>#DIV/0!</v>
      </c>
      <c r="G76" s="90">
        <f>ROUND(HLOOKUP($G$2,bs!$C$1:$AA$110,MATCH("*"&amp;B76&amp;"*",bs!$B$1:$B$110,),FALSE),0)/IF(LEN($B$1)&gt;4,10000,1)</f>
        <v>0</v>
      </c>
      <c r="H76" s="89" t="e">
        <f t="shared" si="23"/>
        <v>#DIV/0!</v>
      </c>
      <c r="I76" s="90">
        <f>ROUND(HLOOKUP($I$2,bs!$C$1:$AA$110,MATCH("*"&amp;B76&amp;"*",bs!$B$1:$B$110,),FALSE),0)/IF(LEN($B$1)&gt;4,10000,1)</f>
        <v>0</v>
      </c>
      <c r="J76" s="89" t="e">
        <f t="shared" si="24"/>
        <v>#DIV/0!</v>
      </c>
      <c r="L76" s="99" t="e">
        <f t="shared" si="25"/>
        <v>#DIV/0!</v>
      </c>
    </row>
    <row r="77" spans="2:12">
      <c r="B77" s="87" t="s">
        <v>325</v>
      </c>
      <c r="C77" s="88">
        <f>ROUND(HLOOKUP($C$2,bs!$C$1:$AA$110,MATCH("*"&amp;B77&amp;"*",bs!$B$1:$B$110,),FALSE),0)/IF(LEN($B$1)&gt;4,10000,1)</f>
        <v>0</v>
      </c>
      <c r="D77" s="89" t="e">
        <f t="shared" si="21"/>
        <v>#DIV/0!</v>
      </c>
      <c r="E77" s="88">
        <f>ROUND(HLOOKUP($E$2,bs!$C$1:$AA$110,MATCH("*"&amp;B77&amp;"*",bs!$B$1:$B$110,),FALSE),0)/IF(LEN($B$1)&gt;4,10000,1)</f>
        <v>0</v>
      </c>
      <c r="F77" s="89" t="e">
        <f t="shared" si="22"/>
        <v>#DIV/0!</v>
      </c>
      <c r="G77" s="90">
        <f>ROUND(HLOOKUP($G$2,bs!$C$1:$AA$110,MATCH("*"&amp;B77&amp;"*",bs!$B$1:$B$110,),FALSE),0)/IF(LEN($B$1)&gt;4,10000,1)</f>
        <v>0</v>
      </c>
      <c r="H77" s="89" t="e">
        <f t="shared" si="23"/>
        <v>#DIV/0!</v>
      </c>
      <c r="I77" s="90">
        <f>ROUND(HLOOKUP($I$2,bs!$C$1:$AA$110,MATCH("*"&amp;B77&amp;"*",bs!$B$1:$B$110,),FALSE),0)/IF(LEN($B$1)&gt;4,10000,1)</f>
        <v>0</v>
      </c>
      <c r="J77" s="89" t="e">
        <f t="shared" si="24"/>
        <v>#DIV/0!</v>
      </c>
      <c r="L77" s="99" t="e">
        <f t="shared" si="25"/>
        <v>#DIV/0!</v>
      </c>
    </row>
    <row r="78" spans="2:12">
      <c r="B78" s="87" t="s">
        <v>326</v>
      </c>
      <c r="C78" s="88">
        <f>ROUND(HLOOKUP($C$2,bs!$C$1:$AA$110,MATCH("*"&amp;B78&amp;"*",bs!$B$1:$B$110,),FALSE),0)/IF(LEN($B$1)&gt;4,10000,1)</f>
        <v>0</v>
      </c>
      <c r="D78" s="89" t="e">
        <f t="shared" si="21"/>
        <v>#DIV/0!</v>
      </c>
      <c r="E78" s="88">
        <f>ROUND(HLOOKUP($E$2,bs!$C$1:$AA$110,MATCH("*"&amp;B78&amp;"*",bs!$B$1:$B$110,),FALSE),0)/IF(LEN($B$1)&gt;4,10000,1)</f>
        <v>0</v>
      </c>
      <c r="F78" s="89" t="e">
        <f t="shared" si="22"/>
        <v>#DIV/0!</v>
      </c>
      <c r="G78" s="90">
        <f>ROUND(HLOOKUP($G$2,bs!$C$1:$AA$110,MATCH("*"&amp;B78&amp;"*",bs!$B$1:$B$110,),FALSE),0)/IF(LEN($B$1)&gt;4,10000,1)</f>
        <v>0</v>
      </c>
      <c r="H78" s="89" t="e">
        <f t="shared" si="23"/>
        <v>#DIV/0!</v>
      </c>
      <c r="I78" s="90">
        <f>ROUND(HLOOKUP($I$2,bs!$C$1:$AA$110,MATCH("*"&amp;B78&amp;"*",bs!$B$1:$B$110,),FALSE),0)/IF(LEN($B$1)&gt;4,10000,1)</f>
        <v>0</v>
      </c>
      <c r="J78" s="89" t="e">
        <f t="shared" si="24"/>
        <v>#DIV/0!</v>
      </c>
      <c r="L78" s="99" t="e">
        <f t="shared" si="25"/>
        <v>#DIV/0!</v>
      </c>
    </row>
    <row r="79" spans="2:12">
      <c r="B79" s="91" t="s">
        <v>327</v>
      </c>
      <c r="C79" s="88">
        <f>ROUND(HLOOKUP($C$2,bs!$C$1:$AA$110,MATCH("*"&amp;B79&amp;"*",bs!$B$1:$B$110,),FALSE),0)/IF(LEN($B$1)&gt;4,10000,1)</f>
        <v>0</v>
      </c>
      <c r="D79" s="92" t="e">
        <f t="shared" si="21"/>
        <v>#DIV/0!</v>
      </c>
      <c r="E79" s="88">
        <f>ROUND(HLOOKUP($E$2,bs!$C$1:$AA$110,MATCH("*"&amp;B79&amp;"*",bs!$B$1:$B$110,),FALSE),0)/IF(LEN($B$1)&gt;4,10000,1)</f>
        <v>0</v>
      </c>
      <c r="F79" s="92" t="e">
        <f t="shared" si="22"/>
        <v>#DIV/0!</v>
      </c>
      <c r="G79" s="90">
        <f>ROUND(HLOOKUP($G$2,bs!$C$1:$AA$110,MATCH("*"&amp;B79&amp;"*",bs!$B$1:$B$110,),FALSE),0)/IF(LEN($B$1)&gt;4,10000,1)</f>
        <v>0</v>
      </c>
      <c r="H79" s="92" t="e">
        <f t="shared" si="23"/>
        <v>#DIV/0!</v>
      </c>
      <c r="I79" s="90">
        <f>ROUND(HLOOKUP($I$2,bs!$C$1:$AA$110,MATCH("*"&amp;B79&amp;"*",bs!$B$1:$B$110,),FALSE),0)/IF(LEN($B$1)&gt;4,10000,1)</f>
        <v>0</v>
      </c>
      <c r="J79" s="92" t="e">
        <f t="shared" si="24"/>
        <v>#DIV/0!</v>
      </c>
      <c r="L79" s="99" t="e">
        <f t="shared" si="25"/>
        <v>#DIV/0!</v>
      </c>
    </row>
    <row r="80" spans="2:12">
      <c r="B80" s="91" t="s">
        <v>328</v>
      </c>
      <c r="C80" s="88">
        <f>ROUND(HLOOKUP($C$2,bs!$C$1:$AA$110,MATCH("??????"&amp;B80,bs!$B$1:$B$110,),FALSE),0)/IF(LEN($B$1)&gt;4,10000,1)</f>
        <v>0</v>
      </c>
      <c r="D80" s="92" t="e">
        <f t="shared" si="21"/>
        <v>#DIV/0!</v>
      </c>
      <c r="E80" s="88">
        <f>ROUND(HLOOKUP($E$2,bs!$C$1:$AA$110,MATCH("*"&amp;B80,bs!$B$1:$B$110,),FALSE),0)/IF(LEN($B$1)&gt;4,10000,1)</f>
        <v>0</v>
      </c>
      <c r="F80" s="92" t="e">
        <f t="shared" si="22"/>
        <v>#DIV/0!</v>
      </c>
      <c r="G80" s="90">
        <f>ROUND(HLOOKUP($G$2,bs!$C$1:$AA$110,MATCH("*"&amp;B80,bs!$B$1:$B$110,),FALSE),0)/IF(LEN($B$1)&gt;4,10000,1)</f>
        <v>0</v>
      </c>
      <c r="H80" s="92" t="e">
        <f t="shared" si="23"/>
        <v>#DIV/0!</v>
      </c>
      <c r="I80" s="90">
        <f>ROUND(HLOOKUP($I$2,bs!$C$1:$AA$110,MATCH("*"&amp;B80,bs!$B$1:$B$110,),FALSE),0)/IF(LEN($B$1)&gt;4,10000,1)</f>
        <v>0</v>
      </c>
      <c r="J80" s="92" t="e">
        <f t="shared" si="24"/>
        <v>#DIV/0!</v>
      </c>
      <c r="L80" s="99" t="e">
        <f t="shared" si="25"/>
        <v>#DIV/0!</v>
      </c>
    </row>
    <row r="81" spans="2:12">
      <c r="B81" s="93"/>
      <c r="C81" s="94"/>
      <c r="D81" s="95"/>
      <c r="E81" s="94"/>
      <c r="F81" s="95"/>
      <c r="G81" s="96"/>
      <c r="H81" s="95"/>
      <c r="I81" s="96" t="s">
        <v>241</v>
      </c>
      <c r="J81" s="95"/>
      <c r="L81" s="99">
        <f t="shared" si="25"/>
        <v>0</v>
      </c>
    </row>
    <row r="82" spans="2:12">
      <c r="B82" s="91" t="s">
        <v>394</v>
      </c>
      <c r="C82" s="97">
        <f>C2</f>
        <v>45107</v>
      </c>
      <c r="D82" s="98"/>
      <c r="E82" s="97">
        <f>E2</f>
        <v>44926</v>
      </c>
      <c r="F82" s="98"/>
      <c r="G82" s="97">
        <f>G2</f>
        <v>44561</v>
      </c>
      <c r="H82" s="98"/>
      <c r="I82" s="97">
        <f>I2</f>
        <v>44196</v>
      </c>
      <c r="J82" s="98"/>
      <c r="L82" s="99">
        <f t="shared" si="25"/>
        <v>0</v>
      </c>
    </row>
    <row r="83" spans="2:12">
      <c r="B83" s="91"/>
      <c r="C83" s="86" t="s">
        <v>426</v>
      </c>
      <c r="D83" s="86" t="s">
        <v>427</v>
      </c>
      <c r="E83" s="86" t="s">
        <v>426</v>
      </c>
      <c r="F83" s="86" t="s">
        <v>427</v>
      </c>
      <c r="G83" s="86" t="s">
        <v>426</v>
      </c>
      <c r="H83" s="86" t="s">
        <v>427</v>
      </c>
      <c r="I83" s="86" t="s">
        <v>426</v>
      </c>
      <c r="J83" s="86" t="s">
        <v>427</v>
      </c>
      <c r="L83" s="99" t="e">
        <f t="shared" si="25"/>
        <v>#VALUE!</v>
      </c>
    </row>
    <row r="84" spans="2:12">
      <c r="B84" s="87" t="s">
        <v>451</v>
      </c>
      <c r="C84" s="88">
        <f>ROUND(HLOOKUP($C$2,bs!$C$1:$AA$110,MATCH("*"&amp;B84&amp;"*",bs!$B$1:$B$110,),FALSE),0)/IF(LEN($B$1)&gt;4,10000,1)</f>
        <v>0</v>
      </c>
      <c r="D84" s="89" t="e">
        <f t="shared" ref="D84:D92" si="26">C84/$C$92</f>
        <v>#DIV/0!</v>
      </c>
      <c r="E84" s="88">
        <f>ROUND(HLOOKUP($E$2,bs!$C$1:$AA$110,MATCH("*"&amp;B84&amp;"*",bs!$B$1:$B$110,),FALSE),0)/IF(LEN($B$1)&gt;4,10000,1)</f>
        <v>0</v>
      </c>
      <c r="F84" s="89" t="e">
        <f t="shared" ref="F84:F92" si="27">E84/$E$92</f>
        <v>#DIV/0!</v>
      </c>
      <c r="G84" s="90">
        <f>ROUND(HLOOKUP($G$2,bs!$C$1:$AA$110,MATCH("*"&amp;B84&amp;"*",bs!$B$1:$B$110,),FALSE),0)/IF(LEN($B$1)&gt;4,10000,1)</f>
        <v>0</v>
      </c>
      <c r="H84" s="89" t="e">
        <f t="shared" ref="H84:H92" si="28">G84/$G$92</f>
        <v>#DIV/0!</v>
      </c>
      <c r="I84" s="100">
        <f>ROUND(HLOOKUP($I$2,bs!$C$1:$AA$110,MATCH("*"&amp;B84&amp;"*",bs!$B$1:$B$110,),FALSE),0)/IF(LEN($B$1)&gt;4,10000,1)</f>
        <v>0</v>
      </c>
      <c r="J84" s="89" t="e">
        <f t="shared" ref="J84:J92" si="29">I84/$I$92</f>
        <v>#DIV/0!</v>
      </c>
      <c r="L84" s="99" t="e">
        <f t="shared" si="25"/>
        <v>#DIV/0!</v>
      </c>
    </row>
    <row r="85" spans="2:12">
      <c r="B85" s="87" t="s">
        <v>452</v>
      </c>
      <c r="C85" s="88">
        <f>ROUND(HLOOKUP($C$2,bs!$C$1:$AA$110,MATCH("*"&amp;B85&amp;"*",bs!$B$1:$B$110,),FALSE),0)/IF(LEN($B$1)&gt;4,10000,1)</f>
        <v>0</v>
      </c>
      <c r="D85" s="89" t="e">
        <f t="shared" si="26"/>
        <v>#DIV/0!</v>
      </c>
      <c r="E85" s="88">
        <f>ROUND(HLOOKUP($E$2,bs!$C$1:$AA$110,MATCH("*"&amp;B85&amp;"*",bs!$B$1:$B$110,),FALSE),0)/IF(LEN($B$1)&gt;4,10000,1)</f>
        <v>0</v>
      </c>
      <c r="F85" s="89" t="e">
        <f t="shared" si="27"/>
        <v>#DIV/0!</v>
      </c>
      <c r="G85" s="90">
        <f>ROUND(HLOOKUP($G$2,bs!$C$1:$AA$110,MATCH("*"&amp;B85&amp;"*",bs!$B$1:$B$110,),FALSE),0)/IF(LEN($B$1)&gt;4,10000,1)</f>
        <v>0</v>
      </c>
      <c r="H85" s="89" t="e">
        <f t="shared" si="28"/>
        <v>#DIV/0!</v>
      </c>
      <c r="I85" s="100">
        <f>ROUND(HLOOKUP($I$2,bs!$C$1:$AA$110,MATCH("*"&amp;B85&amp;"*",bs!$B$1:$B$110,),FALSE),0)/IF(LEN($B$1)&gt;4,10000,1)</f>
        <v>0</v>
      </c>
      <c r="J85" s="89" t="e">
        <f t="shared" si="29"/>
        <v>#DIV/0!</v>
      </c>
      <c r="L85" s="99" t="e">
        <f t="shared" si="25"/>
        <v>#DIV/0!</v>
      </c>
    </row>
    <row r="86" spans="2:12">
      <c r="B86" s="87" t="s">
        <v>453</v>
      </c>
      <c r="C86" s="88">
        <f>ROUND(HLOOKUP($C$2,bs!$C$1:$AA$110,MATCH("*"&amp;B86&amp;"*",bs!$B$1:$B$110,),FALSE),0)/IF(LEN($B$1)&gt;4,10000,1)</f>
        <v>0</v>
      </c>
      <c r="D86" s="89" t="e">
        <f t="shared" si="26"/>
        <v>#DIV/0!</v>
      </c>
      <c r="E86" s="88">
        <f>ROUND(HLOOKUP($E$2,bs!$C$1:$AA$110,MATCH("*"&amp;B86&amp;"*",bs!$B$1:$B$110,),FALSE),0)/IF(LEN($B$1)&gt;4,10000,1)</f>
        <v>0</v>
      </c>
      <c r="F86" s="89" t="e">
        <f t="shared" si="27"/>
        <v>#DIV/0!</v>
      </c>
      <c r="G86" s="90">
        <f>ROUND(HLOOKUP($G$2,bs!$C$1:$AA$110,MATCH("*"&amp;B86&amp;"*",bs!$B$1:$B$110,),FALSE),0)/IF(LEN($B$1)&gt;4,10000,1)</f>
        <v>0</v>
      </c>
      <c r="H86" s="89" t="e">
        <f t="shared" si="28"/>
        <v>#DIV/0!</v>
      </c>
      <c r="I86" s="100">
        <f>ROUND(HLOOKUP($I$2,bs!$C$1:$AA$110,MATCH("*"&amp;B86&amp;"*",bs!$B$1:$B$110,),FALSE),0)/IF(LEN($B$1)&gt;4,10000,1)</f>
        <v>0</v>
      </c>
      <c r="J86" s="89" t="e">
        <f t="shared" si="29"/>
        <v>#DIV/0!</v>
      </c>
      <c r="L86" s="99" t="e">
        <f t="shared" si="25"/>
        <v>#DIV/0!</v>
      </c>
    </row>
    <row r="87" spans="2:12">
      <c r="B87" s="87" t="s">
        <v>101</v>
      </c>
      <c r="C87" s="88">
        <f>ROUND(HLOOKUP($C$2,bs!$C$1:$AA$110,MATCH("*"&amp;B87&amp;"*",bs!$B$1:$B$110,),FALSE),0)/IF(LEN($B$1)&gt;4,10000,1)</f>
        <v>0</v>
      </c>
      <c r="D87" s="89" t="e">
        <f t="shared" si="26"/>
        <v>#DIV/0!</v>
      </c>
      <c r="E87" s="88">
        <f>ROUND(HLOOKUP($E$2,bs!$C$1:$AA$110,MATCH("*"&amp;B87&amp;"*",bs!$B$1:$B$110,),FALSE),0)/IF(LEN($B$1)&gt;4,10000,1)</f>
        <v>0</v>
      </c>
      <c r="F87" s="89" t="e">
        <f t="shared" si="27"/>
        <v>#DIV/0!</v>
      </c>
      <c r="G87" s="90">
        <f>ROUND(HLOOKUP($G$2,bs!$C$1:$AA$110,MATCH("*"&amp;B87&amp;"*",bs!$B$1:$B$110,),FALSE),0)/IF(LEN($B$1)&gt;4,10000,1)</f>
        <v>0</v>
      </c>
      <c r="H87" s="89" t="e">
        <f t="shared" si="28"/>
        <v>#DIV/0!</v>
      </c>
      <c r="I87" s="100">
        <f>ROUND(HLOOKUP($I$2,bs!$C$1:$AA$110,MATCH("*"&amp;B87&amp;"*",bs!$B$1:$B$110,),FALSE),0)/IF(LEN($B$1)&gt;4,10000,1)</f>
        <v>0</v>
      </c>
      <c r="J87" s="89" t="e">
        <f t="shared" si="29"/>
        <v>#DIV/0!</v>
      </c>
      <c r="L87" s="99" t="e">
        <f t="shared" si="25"/>
        <v>#DIV/0!</v>
      </c>
    </row>
    <row r="88" spans="2:12">
      <c r="B88" s="87" t="s">
        <v>454</v>
      </c>
      <c r="C88" s="88">
        <f>ROUND(HLOOKUP($C$2,bs!$C$1:$AA$110,MATCH("*"&amp;B88&amp;"*",bs!$B$1:$B$110,),FALSE),0)/IF(LEN($B$1)&gt;4,10000,1)</f>
        <v>0</v>
      </c>
      <c r="D88" s="89" t="e">
        <f t="shared" si="26"/>
        <v>#DIV/0!</v>
      </c>
      <c r="E88" s="88">
        <f>ROUND(HLOOKUP($E$2,bs!$C$1:$AA$110,MATCH("*"&amp;B88&amp;"*",bs!$B$1:$B$110,),FALSE),0)/IF(LEN($B$1)&gt;4,10000,1)</f>
        <v>0</v>
      </c>
      <c r="F88" s="89" t="e">
        <f t="shared" si="27"/>
        <v>#DIV/0!</v>
      </c>
      <c r="G88" s="90">
        <f>ROUND(HLOOKUP($G$2,bs!$C$1:$AA$110,MATCH("*"&amp;B88&amp;"*",bs!$B$1:$B$110,),FALSE),0)/IF(LEN($B$1)&gt;4,10000,1)</f>
        <v>0</v>
      </c>
      <c r="H88" s="89" t="e">
        <f t="shared" si="28"/>
        <v>#DIV/0!</v>
      </c>
      <c r="I88" s="100">
        <f>ROUND(HLOOKUP($I$2,bs!$C$1:$AA$110,MATCH("*"&amp;B88&amp;"*",bs!$B$1:$B$110,),FALSE),0)/IF(LEN($B$1)&gt;4,10000,1)</f>
        <v>0</v>
      </c>
      <c r="J88" s="89" t="e">
        <f t="shared" si="29"/>
        <v>#DIV/0!</v>
      </c>
      <c r="L88" s="99" t="e">
        <f t="shared" si="25"/>
        <v>#DIV/0!</v>
      </c>
    </row>
    <row r="89" spans="2:12">
      <c r="B89" s="87" t="s">
        <v>455</v>
      </c>
      <c r="C89" s="88">
        <f>ROUND(HLOOKUP($C$2,bs!$C$1:$AA$110,MATCH("*"&amp;B89&amp;"*",bs!$B$1:$B$110,),FALSE),0)/IF(LEN($B$1)&gt;4,10000,1)</f>
        <v>0</v>
      </c>
      <c r="D89" s="89" t="e">
        <f t="shared" si="26"/>
        <v>#DIV/0!</v>
      </c>
      <c r="E89" s="88">
        <f>ROUND(HLOOKUP($E$2,bs!$C$1:$AA$110,MATCH("*"&amp;B89&amp;"*",bs!$B$1:$B$110,),FALSE),0)/IF(LEN($B$1)&gt;4,10000,1)</f>
        <v>0</v>
      </c>
      <c r="F89" s="89" t="e">
        <f t="shared" si="27"/>
        <v>#DIV/0!</v>
      </c>
      <c r="G89" s="90">
        <f>ROUND(HLOOKUP($G$2,bs!$C$1:$AA$110,MATCH("*"&amp;B89&amp;"*",bs!$B$1:$B$110,),FALSE),0)/IF(LEN($B$1)&gt;4,10000,1)</f>
        <v>0</v>
      </c>
      <c r="H89" s="89" t="e">
        <f t="shared" si="28"/>
        <v>#DIV/0!</v>
      </c>
      <c r="I89" s="100">
        <f>ROUND(HLOOKUP($I$2,bs!$C$1:$AA$110,MATCH("*"&amp;B89&amp;"*",bs!$B$1:$B$110,),FALSE),0)/IF(LEN($B$1)&gt;4,10000,1)</f>
        <v>0</v>
      </c>
      <c r="J89" s="89" t="e">
        <f t="shared" si="29"/>
        <v>#DIV/0!</v>
      </c>
      <c r="L89" s="99" t="e">
        <f t="shared" si="25"/>
        <v>#DIV/0!</v>
      </c>
    </row>
    <row r="90" ht="34.7" spans="2:12">
      <c r="B90" s="91" t="s">
        <v>106</v>
      </c>
      <c r="C90" s="88">
        <f>ROUND(HLOOKUP($C$2,bs!$C$1:$AA$110,MATCH("*"&amp;B90&amp;"*",bs!$B$1:$B$110,),FALSE),0)/IF(LEN($B$1)&gt;4,10000,1)</f>
        <v>0</v>
      </c>
      <c r="D90" s="92" t="e">
        <f t="shared" si="26"/>
        <v>#DIV/0!</v>
      </c>
      <c r="E90" s="88">
        <f>ROUND(HLOOKUP($E$2,bs!$C$1:$AA$110,MATCH("*"&amp;B90&amp;"*",bs!$B$1:$B$110,),FALSE),0)/IF(LEN($B$1)&gt;4,10000,1)</f>
        <v>0</v>
      </c>
      <c r="F90" s="92" t="e">
        <f t="shared" si="27"/>
        <v>#DIV/0!</v>
      </c>
      <c r="G90" s="90">
        <f>ROUND(HLOOKUP($G$2,bs!$C$1:$AA$110,MATCH("*"&amp;B90&amp;"*",bs!$B$1:$B$110,),FALSE),0)/IF(LEN($B$1)&gt;4,10000,1)</f>
        <v>0</v>
      </c>
      <c r="H90" s="92" t="e">
        <f t="shared" si="28"/>
        <v>#DIV/0!</v>
      </c>
      <c r="I90" s="100">
        <f>ROUND(HLOOKUP($I$2,bs!$C$1:$AA$110,MATCH("*"&amp;B90&amp;"*",bs!$B$1:$B$110,),FALSE),0)/IF(LEN($B$1)&gt;4,10000,1)</f>
        <v>0</v>
      </c>
      <c r="J90" s="92" t="e">
        <f t="shared" si="29"/>
        <v>#DIV/0!</v>
      </c>
      <c r="L90" s="99" t="e">
        <f t="shared" si="25"/>
        <v>#DIV/0!</v>
      </c>
    </row>
    <row r="91" spans="2:12">
      <c r="B91" s="91" t="s">
        <v>456</v>
      </c>
      <c r="C91" s="88">
        <f>ROUND(HLOOKUP($C$2,bs!$C$1:$AA$110,MATCH("*"&amp;B91&amp;"*",bs!$B$1:$B$110,),FALSE),0)/IF(LEN($B$1)&gt;4,10000,1)</f>
        <v>0</v>
      </c>
      <c r="D91" s="89" t="e">
        <f t="shared" si="26"/>
        <v>#DIV/0!</v>
      </c>
      <c r="E91" s="88">
        <f>ROUND(HLOOKUP($E$2,bs!$C$1:$AA$110,MATCH("*"&amp;B91&amp;"*",bs!$B$1:$B$110,),FALSE),0)/IF(LEN($B$1)&gt;4,10000,1)</f>
        <v>0</v>
      </c>
      <c r="F91" s="89" t="e">
        <f t="shared" si="27"/>
        <v>#DIV/0!</v>
      </c>
      <c r="G91" s="90">
        <f>ROUND(HLOOKUP($G$2,bs!$C$1:$AA$110,MATCH("*"&amp;B91&amp;"*",bs!$B$1:$B$110,),FALSE),0)/IF(LEN($B$1)&gt;4,10000,1)</f>
        <v>0</v>
      </c>
      <c r="H91" s="89" t="e">
        <f t="shared" si="28"/>
        <v>#DIV/0!</v>
      </c>
      <c r="I91" s="100">
        <f>ROUND(HLOOKUP($I$2,bs!$C$1:$AA$110,MATCH("*"&amp;B91&amp;"*",bs!$B$1:$B$110,),FALSE),0)/IF(LEN($B$1)&gt;4,10000,1)</f>
        <v>0</v>
      </c>
      <c r="J91" s="89" t="e">
        <f t="shared" si="29"/>
        <v>#DIV/0!</v>
      </c>
      <c r="L91" s="99" t="e">
        <f t="shared" si="25"/>
        <v>#DIV/0!</v>
      </c>
    </row>
    <row r="92" ht="23.15" spans="2:12">
      <c r="B92" s="91" t="s">
        <v>108</v>
      </c>
      <c r="C92" s="88">
        <f>ROUND(HLOOKUP($C$2,bs!$C$1:$AA$110,MATCH("*"&amp;B92&amp;"*",bs!$B$1:$B$110,),FALSE),0)/IF(LEN($B$1)&gt;4,10000,1)</f>
        <v>0</v>
      </c>
      <c r="D92" s="92" t="e">
        <f t="shared" si="26"/>
        <v>#DIV/0!</v>
      </c>
      <c r="E92" s="88">
        <f>ROUND(HLOOKUP($E$2,bs!$C$1:$AA$110,MATCH("*"&amp;B92&amp;"*",bs!$B$1:$B$110,),FALSE),0)/IF(LEN($B$1)&gt;4,10000,1)</f>
        <v>0</v>
      </c>
      <c r="F92" s="92" t="e">
        <f t="shared" si="27"/>
        <v>#DIV/0!</v>
      </c>
      <c r="G92" s="90">
        <f>ROUND(HLOOKUP($G$2,bs!$C$1:$AA$110,MATCH("*"&amp;B92&amp;"*",bs!$B$1:$B$110,),FALSE),0)/IF(LEN($B$1)&gt;4,10000,1)</f>
        <v>0</v>
      </c>
      <c r="H92" s="92" t="e">
        <f t="shared" si="28"/>
        <v>#DIV/0!</v>
      </c>
      <c r="I92" s="100">
        <f>ROUND(HLOOKUP($I$2,bs!$C$1:$AA$110,MATCH("*"&amp;B92&amp;"*",bs!$B$1:$B$110,),FALSE),0)/IF(LEN($B$1)&gt;4,10000,1)</f>
        <v>0</v>
      </c>
      <c r="J92" s="92" t="e">
        <f t="shared" si="29"/>
        <v>#DIV/0!</v>
      </c>
      <c r="L92" s="99" t="e">
        <f t="shared" si="25"/>
        <v>#DIV/0!</v>
      </c>
    </row>
  </sheetData>
  <autoFilter ref="L3:L92">
    <extLst/>
  </autoFilter>
  <customSheetViews>
    <customSheetView guid="{EFE5EB9F-962C-4232-9E60-22B2AE19D01B}" topLeftCell="B1">
      <selection activeCell="I27" sqref="I27"/>
      <pageMargins left="0.7" right="0.7" top="0.75" bottom="0.75" header="0.3" footer="0.3"/>
      <pageSetup paperSize="9" orientation="portrait"/>
      <headerFooter/>
    </customSheetView>
  </customSheetViews>
  <mergeCells count="16">
    <mergeCell ref="B1:J1"/>
    <mergeCell ref="C2:D2"/>
    <mergeCell ref="E2:F2"/>
    <mergeCell ref="G2:H2"/>
    <mergeCell ref="I2:J2"/>
    <mergeCell ref="C47:D47"/>
    <mergeCell ref="E47:F47"/>
    <mergeCell ref="G47:H47"/>
    <mergeCell ref="I47:J47"/>
    <mergeCell ref="C82:D82"/>
    <mergeCell ref="E82:F82"/>
    <mergeCell ref="G82:H82"/>
    <mergeCell ref="I82:J82"/>
    <mergeCell ref="B2:B3"/>
    <mergeCell ref="B47:B48"/>
    <mergeCell ref="B82:B83"/>
  </mergeCells>
  <dataValidations count="1">
    <dataValidation type="list" allowBlank="1" showInputMessage="1" showErrorMessage="1" sqref="B1">
      <formula1>"单位：元,单位：万元"</formula1>
    </dataValidation>
  </dataValidations>
  <pageMargins left="0.7" right="0.7" top="0.75" bottom="0.75" header="0.3" footer="0.3"/>
  <pageSetup paperSize="9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/>
  <dimension ref="A1:M16"/>
  <sheetViews>
    <sheetView tabSelected="1" workbookViewId="0">
      <selection activeCell="D12" sqref="D12"/>
    </sheetView>
  </sheetViews>
  <sheetFormatPr defaultColWidth="9" defaultRowHeight="12.4"/>
  <cols>
    <col min="1" max="1" width="36.2882882882883" customWidth="1"/>
    <col min="2" max="2" width="19.5675675675676" customWidth="1"/>
    <col min="3" max="3" width="17.2882882882883" customWidth="1"/>
    <col min="4" max="4" width="17.7117117117117" customWidth="1"/>
    <col min="5" max="5" width="17.2882882882883" customWidth="1"/>
    <col min="6" max="6" width="14.2882882882883" customWidth="1"/>
    <col min="7" max="7" width="26.7117117117117" customWidth="1"/>
    <col min="8" max="8" width="13.2882882882883" customWidth="1"/>
    <col min="9" max="9" width="13.5675675675676" customWidth="1"/>
    <col min="10" max="10" width="14.2882882882883" customWidth="1"/>
    <col min="11" max="11" width="13.5675675675676" customWidth="1"/>
  </cols>
  <sheetData>
    <row r="1" ht="14.95" spans="1:11">
      <c r="A1" s="65" t="s">
        <v>394</v>
      </c>
      <c r="B1" s="66">
        <f>'财务分析（2022）版'!B3</f>
        <v>45107</v>
      </c>
      <c r="C1" s="66">
        <f>'财务分析（2022）版'!C3</f>
        <v>44926</v>
      </c>
      <c r="D1" s="66">
        <f>'财务分析（2022）版'!D3</f>
        <v>44561</v>
      </c>
      <c r="E1" s="67">
        <f>'财务分析（2022）版'!E3</f>
        <v>44196</v>
      </c>
      <c r="F1" t="s">
        <v>241</v>
      </c>
      <c r="G1" s="68" t="str">
        <f>A1</f>
        <v>项目</v>
      </c>
      <c r="H1" s="69">
        <f>B1</f>
        <v>45107</v>
      </c>
      <c r="I1" s="69">
        <f>C1</f>
        <v>44926</v>
      </c>
      <c r="J1" s="69">
        <f>D1</f>
        <v>44561</v>
      </c>
      <c r="K1" s="79">
        <f>E1</f>
        <v>44196</v>
      </c>
    </row>
    <row r="2" ht="14.95" spans="1:13">
      <c r="A2" s="65" t="s">
        <v>457</v>
      </c>
      <c r="B2" s="70">
        <f>B3-B4</f>
        <v>0</v>
      </c>
      <c r="C2" s="70">
        <f>C3-C4</f>
        <v>0</v>
      </c>
      <c r="D2" s="70">
        <f>D3-D4</f>
        <v>0</v>
      </c>
      <c r="E2" s="70">
        <f>E3-E4</f>
        <v>0</v>
      </c>
      <c r="G2" s="71" t="str">
        <f t="shared" ref="G2:G11" si="0">A2</f>
        <v>经营活动现金流量净额</v>
      </c>
      <c r="H2" s="72">
        <f t="shared" ref="H2:H11" si="1">ROUND(B2,0)/IF(LEN($F$1)&gt;4,10000,1)</f>
        <v>0</v>
      </c>
      <c r="I2" s="72">
        <f t="shared" ref="I2:I11" si="2">ROUND(C2,0)/IF(LEN($F$1)&gt;4,10000,1)</f>
        <v>0</v>
      </c>
      <c r="J2" s="72">
        <f>ROUND(D2,0)/IF(LEN($F$1)&gt;4,10000,1)</f>
        <v>0</v>
      </c>
      <c r="K2" s="72">
        <f t="shared" ref="K2:K11" si="3">ROUND(E2,0)/IF(LEN($F$1)&gt;4,10000,1)</f>
        <v>0</v>
      </c>
      <c r="M2" t="str">
        <f>CONCATENATE("近三年及一期，拟承租人",G2,"分别为",ROUND(K2/10000,2),"亿元、",ROUND(J2/10000,2),"亿元、",ROUND(I2/10000,2),"亿元和",ROUND(H2/10000,2),"亿元。")</f>
        <v>近三年及一期，拟承租人经营活动现金流量净额分别为0亿元、0亿元、0亿元和0亿元。</v>
      </c>
    </row>
    <row r="3" ht="15.4" spans="1:13">
      <c r="A3" s="73" t="s">
        <v>458</v>
      </c>
      <c r="B3" s="74">
        <f>HLOOKUP(B1,cf!$C$1:$Z$57,MATCH("*"&amp;A3&amp;"*",cf!$B$1:$B$68,),FALSE)</f>
        <v>0</v>
      </c>
      <c r="C3" s="74">
        <f>HLOOKUP(C1,cf!$C$1:$Z$57,MATCH("*"&amp;A3&amp;"*",cf!$B$1:$B$68,),FALSE)</f>
        <v>0</v>
      </c>
      <c r="D3" s="74">
        <f>HLOOKUP(D1,cf!$C$1:$Z$57,MATCH("*"&amp;A3&amp;"*",cf!$B$1:$B$68,),FALSE)</f>
        <v>0</v>
      </c>
      <c r="E3" s="74">
        <f>HLOOKUP(E1,cf!$C$1:$Z$57,MATCH("*"&amp;A3&amp;"*",cf!$B$1:$B$68,),FALSE)</f>
        <v>0</v>
      </c>
      <c r="G3" s="75" t="str">
        <f t="shared" si="0"/>
        <v>经营活动现金流入</v>
      </c>
      <c r="H3" s="76">
        <f t="shared" si="1"/>
        <v>0</v>
      </c>
      <c r="I3" s="76">
        <f t="shared" si="2"/>
        <v>0</v>
      </c>
      <c r="J3" s="76">
        <f t="shared" ref="J3:J11" si="4">ROUND(D3,0)/IF(LEN($F$1)&gt;4,10000,1)</f>
        <v>0</v>
      </c>
      <c r="K3" s="76">
        <f t="shared" si="3"/>
        <v>0</v>
      </c>
      <c r="M3" t="str">
        <f>CONCATENATE("近三年及一期，拟承租人",G3,"分别为",ROUND(K3/10000,2),"亿元、",ROUND(J3/10000,2),"亿元、",ROUND(I3/10000,2),"亿元和",ROUND(H3/10000,2),"亿元。")</f>
        <v>近三年及一期，拟承租人经营活动现金流入分别为0亿元、0亿元、0亿元和0亿元。</v>
      </c>
    </row>
    <row r="4" ht="15.4" spans="1:13">
      <c r="A4" s="77" t="s">
        <v>459</v>
      </c>
      <c r="B4" s="74">
        <f>HLOOKUP(B1,cf!$C$1:$Z$57,MATCH("*"&amp;A4&amp;"*",cf!$B$1:$B$68,),FALSE)</f>
        <v>0</v>
      </c>
      <c r="C4" s="74">
        <f>HLOOKUP(C1,cf!$C$1:$Z$57,MATCH("*"&amp;A4&amp;"*",cf!$B$1:$B$68,),FALSE)</f>
        <v>0</v>
      </c>
      <c r="D4" s="74">
        <f>HLOOKUP(D1,cf!$C$1:$Z$57,MATCH("*"&amp;A4&amp;"*",cf!$B$1:$B$68,),FALSE)</f>
        <v>0</v>
      </c>
      <c r="E4" s="74">
        <f>HLOOKUP(E1,cf!$C$1:$Z$57,MATCH("*"&amp;A4&amp;"*",cf!$B$1:$B$68,),FALSE)</f>
        <v>0</v>
      </c>
      <c r="G4" s="75" t="str">
        <f t="shared" si="0"/>
        <v>经营活动现金流出</v>
      </c>
      <c r="H4" s="76">
        <f t="shared" si="1"/>
        <v>0</v>
      </c>
      <c r="I4" s="76">
        <f t="shared" si="2"/>
        <v>0</v>
      </c>
      <c r="J4" s="76">
        <f t="shared" si="4"/>
        <v>0</v>
      </c>
      <c r="K4" s="76">
        <f t="shared" si="3"/>
        <v>0</v>
      </c>
      <c r="M4" t="str">
        <f t="shared" ref="M4:M11" si="5">CONCATENATE("近三年及一期，拟承租人",G4,"分别为",ROUND(K4/10000,2),"亿元、",ROUND(J4/10000,2),"亿元、",ROUND(I4/10000,2),"亿元和",ROUND(H4/10000,2),"亿元。")</f>
        <v>近三年及一期，拟承租人经营活动现金流出分别为0亿元、0亿元、0亿元和0亿元。</v>
      </c>
    </row>
    <row r="5" ht="14.95" spans="1:13">
      <c r="A5" s="65" t="s">
        <v>460</v>
      </c>
      <c r="B5" s="70">
        <f>B6-B7</f>
        <v>0</v>
      </c>
      <c r="C5" s="70">
        <f>C6-C7</f>
        <v>0</v>
      </c>
      <c r="D5" s="70">
        <f>D6-D7</f>
        <v>0</v>
      </c>
      <c r="E5" s="70">
        <f>E6-E7</f>
        <v>0</v>
      </c>
      <c r="G5" s="71" t="str">
        <f t="shared" si="0"/>
        <v>投资活动现金流量净额</v>
      </c>
      <c r="H5" s="72">
        <f t="shared" si="1"/>
        <v>0</v>
      </c>
      <c r="I5" s="72">
        <f t="shared" si="2"/>
        <v>0</v>
      </c>
      <c r="J5" s="72">
        <f t="shared" si="4"/>
        <v>0</v>
      </c>
      <c r="K5" s="72">
        <f t="shared" si="3"/>
        <v>0</v>
      </c>
      <c r="M5" t="str">
        <f t="shared" si="5"/>
        <v>近三年及一期，拟承租人投资活动现金流量净额分别为0亿元、0亿元、0亿元和0亿元。</v>
      </c>
    </row>
    <row r="6" ht="15.4" spans="1:13">
      <c r="A6" s="77" t="s">
        <v>461</v>
      </c>
      <c r="B6" s="74">
        <f>HLOOKUP(B1,cf!$C$1:$Z$57,MATCH("*"&amp;A6&amp;"*",cf!$B$1:$B$68,),FALSE)</f>
        <v>0</v>
      </c>
      <c r="C6" s="74">
        <f>HLOOKUP(C1,cf!$C$1:$Z$57,MATCH("*"&amp;A6&amp;"*",cf!$B$1:$B$68,),FALSE)</f>
        <v>0</v>
      </c>
      <c r="D6" s="74">
        <f>HLOOKUP(D1,cf!$C$1:$Z$57,MATCH("*"&amp;A6&amp;"*",cf!$B$1:$B$68,),FALSE)</f>
        <v>0</v>
      </c>
      <c r="E6" s="74">
        <f>HLOOKUP(E1,cf!$C$1:$Z$57,MATCH("*"&amp;A6&amp;"*",cf!$B$1:$B$68,),FALSE)</f>
        <v>0</v>
      </c>
      <c r="G6" s="75" t="str">
        <f t="shared" si="0"/>
        <v>投资活动现金流入</v>
      </c>
      <c r="H6" s="76">
        <f t="shared" si="1"/>
        <v>0</v>
      </c>
      <c r="I6" s="76">
        <f t="shared" si="2"/>
        <v>0</v>
      </c>
      <c r="J6" s="76">
        <f t="shared" si="4"/>
        <v>0</v>
      </c>
      <c r="K6" s="76">
        <f t="shared" si="3"/>
        <v>0</v>
      </c>
      <c r="M6" t="str">
        <f t="shared" si="5"/>
        <v>近三年及一期，拟承租人投资活动现金流入分别为0亿元、0亿元、0亿元和0亿元。</v>
      </c>
    </row>
    <row r="7" ht="15.4" spans="1:13">
      <c r="A7" s="77" t="s">
        <v>462</v>
      </c>
      <c r="B7" s="74">
        <f>HLOOKUP(B1,cf!$C$1:$Z$57,MATCH("*"&amp;A7&amp;"*",cf!$B$1:$B$68,),FALSE)</f>
        <v>0</v>
      </c>
      <c r="C7" s="74">
        <f>HLOOKUP(C1,cf!$C$1:$Z$57,MATCH("*"&amp;A7&amp;"*",cf!$B$1:$B$68,),FALSE)</f>
        <v>0</v>
      </c>
      <c r="D7" s="74">
        <f>HLOOKUP(C1,cf!$C$1:$Z$57,MATCH("*"&amp;A7&amp;"*",cf!$B$1:$B$68,),FALSE)</f>
        <v>0</v>
      </c>
      <c r="E7" s="74">
        <f>HLOOKUP(E1,cf!$C$1:$Z$57,MATCH("*"&amp;A7&amp;"*",cf!$B$1:$B$68,),FALSE)</f>
        <v>0</v>
      </c>
      <c r="G7" s="75" t="str">
        <f t="shared" si="0"/>
        <v>投资活动现金流出</v>
      </c>
      <c r="H7" s="76">
        <f t="shared" si="1"/>
        <v>0</v>
      </c>
      <c r="I7" s="76">
        <f t="shared" si="2"/>
        <v>0</v>
      </c>
      <c r="J7" s="76">
        <f t="shared" si="4"/>
        <v>0</v>
      </c>
      <c r="K7" s="76">
        <f t="shared" si="3"/>
        <v>0</v>
      </c>
      <c r="M7" t="str">
        <f t="shared" si="5"/>
        <v>近三年及一期，拟承租人投资活动现金流出分别为0亿元、0亿元、0亿元和0亿元。</v>
      </c>
    </row>
    <row r="8" ht="14.95" spans="1:13">
      <c r="A8" s="65" t="s">
        <v>463</v>
      </c>
      <c r="B8" s="70">
        <f>B9-B10</f>
        <v>0</v>
      </c>
      <c r="C8" s="70">
        <f>C9-C10</f>
        <v>0</v>
      </c>
      <c r="D8" s="70">
        <f>D9-D10</f>
        <v>0</v>
      </c>
      <c r="E8" s="70">
        <f>E9-E10</f>
        <v>0</v>
      </c>
      <c r="G8" s="71" t="str">
        <f t="shared" si="0"/>
        <v>筹资活动现金流量净额</v>
      </c>
      <c r="H8" s="72">
        <f t="shared" si="1"/>
        <v>0</v>
      </c>
      <c r="I8" s="72">
        <f t="shared" si="2"/>
        <v>0</v>
      </c>
      <c r="J8" s="72">
        <f t="shared" si="4"/>
        <v>0</v>
      </c>
      <c r="K8" s="72">
        <f t="shared" si="3"/>
        <v>0</v>
      </c>
      <c r="M8" t="str">
        <f t="shared" si="5"/>
        <v>近三年及一期，拟承租人筹资活动现金流量净额分别为0亿元、0亿元、0亿元和0亿元。</v>
      </c>
    </row>
    <row r="9" ht="15.4" spans="1:13">
      <c r="A9" s="77" t="s">
        <v>464</v>
      </c>
      <c r="B9" s="74">
        <f>HLOOKUP(B1,cf!$C$1:$Z$57,MATCH("*"&amp;A9&amp;"*",cf!$B$1:$B$68,),FALSE)</f>
        <v>0</v>
      </c>
      <c r="C9" s="74">
        <f>HLOOKUP(C1,cf!$C$1:$Z$57,MATCH("*"&amp;A9&amp;"*",cf!$B$1:$B$68,),FALSE)</f>
        <v>0</v>
      </c>
      <c r="D9" s="74">
        <f>HLOOKUP(D1,cf!$C$1:$Z$57,MATCH("*"&amp;A9&amp;"*",cf!$B$1:$B$68,),FALSE)</f>
        <v>0</v>
      </c>
      <c r="E9" s="74">
        <f>HLOOKUP(E1,cf!$C$1:$Z$57,MATCH("*"&amp;A9&amp;"*",cf!$B$1:$B$68,),FALSE)</f>
        <v>0</v>
      </c>
      <c r="G9" s="75" t="str">
        <f t="shared" si="0"/>
        <v>筹资活动现金流入</v>
      </c>
      <c r="H9" s="76">
        <f t="shared" si="1"/>
        <v>0</v>
      </c>
      <c r="I9" s="76">
        <f t="shared" si="2"/>
        <v>0</v>
      </c>
      <c r="J9" s="76">
        <f t="shared" si="4"/>
        <v>0</v>
      </c>
      <c r="K9" s="76">
        <f t="shared" si="3"/>
        <v>0</v>
      </c>
      <c r="M9" t="str">
        <f t="shared" si="5"/>
        <v>近三年及一期，拟承租人筹资活动现金流入分别为0亿元、0亿元、0亿元和0亿元。</v>
      </c>
    </row>
    <row r="10" ht="15.4" spans="1:13">
      <c r="A10" s="77" t="s">
        <v>465</v>
      </c>
      <c r="B10" s="74">
        <f>HLOOKUP(B1,cf!$C$1:$Z$57,MATCH("*"&amp;A10&amp;"*",cf!$B$1:$B$68,),FALSE)</f>
        <v>0</v>
      </c>
      <c r="C10" s="74">
        <f>HLOOKUP(C1,cf!$C$1:$Z$57,MATCH("*"&amp;A10&amp;"*",cf!$B$1:$B$68,),FALSE)</f>
        <v>0</v>
      </c>
      <c r="D10" s="74">
        <f>HLOOKUP(D1,cf!$C$1:$Z$57,MATCH("*"&amp;A10&amp;"*",cf!$B$1:$B$68,),FALSE)</f>
        <v>0</v>
      </c>
      <c r="E10" s="74">
        <f>HLOOKUP(E1,cf!$C$1:$Z$57,MATCH("*"&amp;A10&amp;"*",cf!$B$1:$B$68,),FALSE)</f>
        <v>0</v>
      </c>
      <c r="G10" s="75" t="str">
        <f t="shared" si="0"/>
        <v>筹资活动现金流出</v>
      </c>
      <c r="H10" s="76">
        <f t="shared" si="1"/>
        <v>0</v>
      </c>
      <c r="I10" s="76">
        <f t="shared" si="2"/>
        <v>0</v>
      </c>
      <c r="J10" s="76">
        <f t="shared" si="4"/>
        <v>0</v>
      </c>
      <c r="K10" s="76">
        <f t="shared" si="3"/>
        <v>0</v>
      </c>
      <c r="M10" t="str">
        <f t="shared" si="5"/>
        <v>近三年及一期，拟承租人筹资活动现金流出分别为0亿元、0亿元、0亿元和0亿元。</v>
      </c>
    </row>
    <row r="11" ht="30" spans="1:13">
      <c r="A11" s="77" t="s">
        <v>227</v>
      </c>
      <c r="B11" s="74">
        <f>HLOOKUP(B1,cf!$C$1:$Z$57,MATCH("*"&amp;A11&amp;"*",cf!$B$1:$B$68,),FALSE)</f>
        <v>0</v>
      </c>
      <c r="C11" s="74">
        <f>HLOOKUP(C1,cf!$C$1:$Z$57,MATCH("*"&amp;A11&amp;"*",cf!$B$1:$B$68,),FALSE)</f>
        <v>0</v>
      </c>
      <c r="D11" s="74">
        <f>HLOOKUP(D1,cf!$C$1:$Z$57,MATCH("*"&amp;A11&amp;"*",cf!$B$1:$B$68,),FALSE)</f>
        <v>0</v>
      </c>
      <c r="E11" s="74">
        <f>HLOOKUP(E1,cf!$C$1:$Z$57,MATCH("*"&amp;A11&amp;"*",cf!$B$1:$B$68,),FALSE)</f>
        <v>0</v>
      </c>
      <c r="G11" s="78" t="str">
        <f t="shared" si="0"/>
        <v>分配股利、利润或偿付利息支付的现金</v>
      </c>
      <c r="H11" s="76">
        <f t="shared" si="1"/>
        <v>0</v>
      </c>
      <c r="I11" s="76">
        <f t="shared" si="2"/>
        <v>0</v>
      </c>
      <c r="J11" s="76">
        <f t="shared" si="4"/>
        <v>0</v>
      </c>
      <c r="K11" s="76">
        <f t="shared" si="3"/>
        <v>0</v>
      </c>
      <c r="M11" t="str">
        <f t="shared" si="5"/>
        <v>近三年及一期，拟承租人分配股利、利润或偿付利息支付的现金分别为0亿元、0亿元、0亿元和0亿元。</v>
      </c>
    </row>
    <row r="16" spans="2:2">
      <c r="B16">
        <f>MATCH("*"&amp;A3&amp;"*",cf!$B$1:$B$68,)</f>
        <v>16</v>
      </c>
    </row>
  </sheetData>
  <customSheetViews>
    <customSheetView guid="{EFE5EB9F-962C-4232-9E60-22B2AE19D01B}">
      <selection activeCell="H1" sqref="H1"/>
      <pageMargins left="0.7" right="0.7" top="0.75" bottom="0.75" header="0.3" footer="0.3"/>
      <pageSetup paperSize="9" orientation="portrait"/>
      <headerFooter/>
    </customSheetView>
  </customSheetViews>
  <dataValidations count="1">
    <dataValidation type="list" allowBlank="1" showInputMessage="1" showErrorMessage="1" sqref="F1">
      <formula1>"单位：元,单位：万元"</formula1>
    </dataValidation>
  </dataValidations>
  <pageMargins left="0.7" right="0.7" top="0.75" bottom="0.75" header="0.3" footer="0.3"/>
  <pageSetup paperSize="9" orientation="portrait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"/>
  <dimension ref="A1:K39"/>
  <sheetViews>
    <sheetView zoomScale="167" zoomScaleNormal="167" workbookViewId="0">
      <selection activeCell="H36" sqref="H36:L42"/>
    </sheetView>
  </sheetViews>
  <sheetFormatPr defaultColWidth="9" defaultRowHeight="12.4"/>
  <cols>
    <col min="1" max="1" width="28.7117117117117" customWidth="1"/>
    <col min="2" max="2" width="23.7117117117117" customWidth="1"/>
    <col min="3" max="3" width="18.2882882882883" customWidth="1"/>
    <col min="4" max="4" width="17.7117117117117" customWidth="1"/>
    <col min="5" max="5" width="19.4234234234234" customWidth="1"/>
    <col min="7" max="7" width="27.5675675675676" customWidth="1"/>
    <col min="8" max="11" width="17.2882882882883" customWidth="1"/>
  </cols>
  <sheetData>
    <row r="1" ht="14.1" spans="1:11">
      <c r="A1" s="40" t="s">
        <v>394</v>
      </c>
      <c r="B1" s="41">
        <f>'财务分析（2022）版'!B3</f>
        <v>45107</v>
      </c>
      <c r="C1" s="42">
        <f>'财务分析（2022）版'!C3</f>
        <v>44926</v>
      </c>
      <c r="D1" s="42">
        <f>'财务分析（2022）版'!D3</f>
        <v>44561</v>
      </c>
      <c r="E1" s="42">
        <f>'财务分析（2022）版'!E3</f>
        <v>44196</v>
      </c>
      <c r="F1" s="43"/>
      <c r="G1" s="44" t="s">
        <v>394</v>
      </c>
      <c r="H1" s="45">
        <f>B1</f>
        <v>45107</v>
      </c>
      <c r="I1" s="45">
        <f>C1</f>
        <v>44926</v>
      </c>
      <c r="J1" s="45">
        <f>D1</f>
        <v>44561</v>
      </c>
      <c r="K1" s="45">
        <f>E1</f>
        <v>44196</v>
      </c>
    </row>
    <row r="2" ht="14.1" spans="1:11">
      <c r="A2" s="40"/>
      <c r="B2" s="46" t="s">
        <v>426</v>
      </c>
      <c r="C2" s="46" t="s">
        <v>426</v>
      </c>
      <c r="D2" s="46" t="s">
        <v>426</v>
      </c>
      <c r="E2" s="46" t="s">
        <v>426</v>
      </c>
      <c r="F2" s="43"/>
      <c r="G2" s="44"/>
      <c r="H2" s="47" t="s">
        <v>426</v>
      </c>
      <c r="I2" s="47" t="s">
        <v>426</v>
      </c>
      <c r="J2" s="47" t="s">
        <v>426</v>
      </c>
      <c r="K2" s="47" t="s">
        <v>426</v>
      </c>
    </row>
    <row r="3" ht="28.3" spans="1:11">
      <c r="A3" s="48" t="s">
        <v>180</v>
      </c>
      <c r="B3" s="49">
        <f>HLOOKUP(B1,cf!$C$1:$CI$39,MATCH("*"&amp;A3&amp;"*",cf!$B$1:$B$68,),FALSE)</f>
        <v>0</v>
      </c>
      <c r="C3" s="49">
        <f>HLOOKUP(C1,cf!$C$1:$CI$39,MATCH("*"&amp;A3&amp;"*",cf!$B$1:$B$68,),FALSE)</f>
        <v>0</v>
      </c>
      <c r="D3" s="49">
        <f>HLOOKUP(D1,cf!$C$1:$CI$39,MATCH("*"&amp;A3&amp;"*",cf!$B$1:$B$68,),FALSE)</f>
        <v>0</v>
      </c>
      <c r="E3" s="49">
        <f>HLOOKUP(E1,cf!$C$1:$CI$39,MATCH("*"&amp;A3&amp;"*",cf!$B$1:$B$68,),FALSE)</f>
        <v>0</v>
      </c>
      <c r="F3" s="43"/>
      <c r="G3" s="50" t="str">
        <f>A3</f>
        <v>销售商品、提供劳务收到的现金 </v>
      </c>
      <c r="H3" s="51">
        <f>ROUND(B3/10000,0)</f>
        <v>0</v>
      </c>
      <c r="I3" s="51">
        <f>ROUND(C3/10000,0)</f>
        <v>0</v>
      </c>
      <c r="J3" s="51">
        <f>ROUND(D3/10000,0)</f>
        <v>0</v>
      </c>
      <c r="K3" s="51">
        <f>ROUND(E3/10000,0)</f>
        <v>0</v>
      </c>
    </row>
    <row r="4" ht="14.15" spans="1:11">
      <c r="A4" s="52" t="s">
        <v>342</v>
      </c>
      <c r="B4" s="53">
        <f>HLOOKUP(B1,pl!$C$1:$CE$46,MATCH("*"&amp;A4&amp;"*",pl!$B$1:$B$71,),FALSE)</f>
        <v>0</v>
      </c>
      <c r="C4" s="53">
        <f>HLOOKUP(C1,pl!$C$1:$CE$46,MATCH("*"&amp;A4&amp;"*",pl!$B$1:$B$71,),FALSE)</f>
        <v>0</v>
      </c>
      <c r="D4" s="49">
        <f>HLOOKUP(D1,pl!$C$1:$CE$46,MATCH("*"&amp;A4&amp;"*",pl!$B$1:$B$71,),FALSE)</f>
        <v>0</v>
      </c>
      <c r="E4" s="53">
        <f>HLOOKUP(E1,pl!$C$1:$CE$46,MATCH("*"&amp;A4&amp;"*",pl!$B$1:$B$71,),FALSE)</f>
        <v>0</v>
      </c>
      <c r="F4" s="43"/>
      <c r="G4" s="50" t="str">
        <f t="shared" ref="G4:G11" si="0">A4</f>
        <v>营业收入</v>
      </c>
      <c r="H4" s="51">
        <f t="shared" ref="H4:K10" si="1">ROUND(B4/10000,0)</f>
        <v>0</v>
      </c>
      <c r="I4" s="51">
        <f t="shared" si="1"/>
        <v>0</v>
      </c>
      <c r="J4" s="51">
        <f t="shared" si="1"/>
        <v>0</v>
      </c>
      <c r="K4" s="51">
        <f t="shared" si="1"/>
        <v>0</v>
      </c>
    </row>
    <row r="5" ht="31.5" customHeight="1" spans="1:11">
      <c r="A5" s="54" t="s">
        <v>466</v>
      </c>
      <c r="B5" s="49">
        <f>HLOOKUP(B1,cf!$C$1:$CI$68,MATCH("*"&amp;A5&amp;"*",cf!$B$1:$B$68,),FALSE)</f>
        <v>0</v>
      </c>
      <c r="C5" s="49">
        <f>HLOOKUP(C1,cf!$C$1:$CI$68,MATCH("*"&amp;A5&amp;"*",cf!$B$1:$B$68,),FALSE)</f>
        <v>0</v>
      </c>
      <c r="D5" s="49">
        <f>HLOOKUP(D1,cf!$C$1:$CI$68,MATCH("*"&amp;A5&amp;"*",cf!$B$1:$B$68,),FALSE)</f>
        <v>0</v>
      </c>
      <c r="E5" s="49">
        <f>HLOOKUP(E1,cf!$C$1:$CI$68,MATCH("*"&amp;A5&amp;"*",cf!$B$1:$B$68,),FALSE)</f>
        <v>0</v>
      </c>
      <c r="F5" s="43"/>
      <c r="G5" s="50" t="str">
        <f t="shared" si="0"/>
        <v>购买商品、接受劳务支付的现金</v>
      </c>
      <c r="H5" s="51">
        <f t="shared" si="1"/>
        <v>0</v>
      </c>
      <c r="I5" s="51">
        <f t="shared" si="1"/>
        <v>0</v>
      </c>
      <c r="J5" s="51">
        <f t="shared" si="1"/>
        <v>0</v>
      </c>
      <c r="K5" s="51">
        <f t="shared" si="1"/>
        <v>0</v>
      </c>
    </row>
    <row r="6" ht="23.25" customHeight="1" spans="1:11">
      <c r="A6" s="52" t="s">
        <v>343</v>
      </c>
      <c r="B6" s="49">
        <f>HLOOKUP(B1,pl!$C$1:$CE$46,MATCH("*"&amp;A6&amp;"*",pl!$B$1:$B$71,),FALSE)</f>
        <v>0</v>
      </c>
      <c r="C6" s="49">
        <f>HLOOKUP(C1,pl!$C$1:$CE$46,MATCH("*"&amp;A6&amp;"*",pl!$B$1:$B$71,),FALSE)</f>
        <v>0</v>
      </c>
      <c r="D6" s="49">
        <f>HLOOKUP(D1,pl!$C$1:$CE$46,MATCH("*"&amp;A6&amp;"*",pl!$B$1:$B$71,),FALSE)</f>
        <v>0</v>
      </c>
      <c r="E6" s="49">
        <f>HLOOKUP(E1,pl!$C$1:$CE$46,MATCH("*"&amp;A6&amp;"*",pl!$B$1:$B$71,),FALSE)</f>
        <v>0</v>
      </c>
      <c r="F6" s="43"/>
      <c r="G6" s="50" t="str">
        <f t="shared" si="0"/>
        <v>营业成本</v>
      </c>
      <c r="H6" s="51">
        <f t="shared" si="1"/>
        <v>0</v>
      </c>
      <c r="I6" s="51">
        <f t="shared" si="1"/>
        <v>0</v>
      </c>
      <c r="J6" s="51">
        <f t="shared" si="1"/>
        <v>0</v>
      </c>
      <c r="K6" s="51">
        <f t="shared" si="1"/>
        <v>0</v>
      </c>
    </row>
    <row r="7" ht="43.5" customHeight="1" spans="1:11">
      <c r="A7" s="54" t="s">
        <v>227</v>
      </c>
      <c r="B7" s="49">
        <f>HLOOKUP(B1,cf!$C$1:$CI$68,MATCH("*"&amp;A7&amp;"*",cf!$B$1:$B$68,),FALSE)</f>
        <v>0</v>
      </c>
      <c r="C7" s="49">
        <f>HLOOKUP(C1,cf!$C$1:$CI$68,MATCH("*"&amp;A7&amp;"*",cf!$B$1:$B$68,),FALSE)</f>
        <v>0</v>
      </c>
      <c r="D7" s="49">
        <f>HLOOKUP(D1,cf!$C$1:$CI$68,MATCH("*"&amp;A7&amp;"*",cf!$B$1:$B$68,),FALSE)</f>
        <v>0</v>
      </c>
      <c r="E7" s="49">
        <f>HLOOKUP(E1,cf!$C$1:$CI$68,MATCH("*"&amp;A7&amp;"*",cf!$B$1:$B$68,),FALSE)</f>
        <v>0</v>
      </c>
      <c r="F7" s="43"/>
      <c r="G7" s="50" t="str">
        <f t="shared" si="0"/>
        <v>分配股利、利润或偿付利息支付的现金</v>
      </c>
      <c r="H7" s="51">
        <f t="shared" si="1"/>
        <v>0</v>
      </c>
      <c r="I7" s="51">
        <f t="shared" si="1"/>
        <v>0</v>
      </c>
      <c r="J7" s="51">
        <f>ROUND(D7/10000,0)</f>
        <v>0</v>
      </c>
      <c r="K7" s="51">
        <f t="shared" si="1"/>
        <v>0</v>
      </c>
    </row>
    <row r="8" ht="14.15" spans="1:11">
      <c r="A8" s="54" t="s">
        <v>348</v>
      </c>
      <c r="B8" s="49">
        <f>HLOOKUP($B$1,pl!$C$1:$V$71,MATCH("*"&amp;A8&amp;"*",pl!$B$1:$B$71,),FALSE)</f>
        <v>0</v>
      </c>
      <c r="C8" s="49">
        <f>HLOOKUP(C1,pl!$C$1:$V$71,MATCH("*"&amp;A8&amp;"*",pl!$B$1:$B$71,),FALSE)</f>
        <v>0</v>
      </c>
      <c r="D8" s="49">
        <f>HLOOKUP(D$1,pl!$C$1:$V$71,MATCH("*"&amp;$A8&amp;"*",pl!$B$1:$B$71,),FALSE)</f>
        <v>0</v>
      </c>
      <c r="E8" s="49">
        <f>HLOOKUP(E$1,pl!$C$1:$V$71,MATCH("*"&amp;$A8&amp;"*",pl!$B$1:$B$71,),FALSE)</f>
        <v>0</v>
      </c>
      <c r="F8" s="43"/>
      <c r="G8" s="50" t="str">
        <f t="shared" si="0"/>
        <v>财务费用</v>
      </c>
      <c r="H8" s="51">
        <f t="shared" si="1"/>
        <v>0</v>
      </c>
      <c r="I8" s="51">
        <f t="shared" si="1"/>
        <v>0</v>
      </c>
      <c r="J8" s="51">
        <f>ROUND(D8/10000,0)</f>
        <v>0</v>
      </c>
      <c r="K8" s="51">
        <f t="shared" si="1"/>
        <v>0</v>
      </c>
    </row>
    <row r="9" ht="14.15" spans="1:11">
      <c r="A9" s="52" t="s">
        <v>205</v>
      </c>
      <c r="B9" s="49">
        <f>HLOOKUP(B$1,cf!$C$1:$CI$68,MATCH("*"&amp;$A9&amp;"*",cf!$B$1:$B$68,),FALSE)</f>
        <v>0</v>
      </c>
      <c r="C9" s="49">
        <f>HLOOKUP(C$1,cf!$C$1:$CI$68,MATCH("*"&amp;$A9&amp;"*",cf!$B$1:$B$68,),FALSE)</f>
        <v>0</v>
      </c>
      <c r="D9" s="49">
        <f>HLOOKUP(D$1,cf!$C$1:$CI$68,MATCH("*"&amp;$A9&amp;"*",cf!$B$1:$B$68,),FALSE)</f>
        <v>0</v>
      </c>
      <c r="E9" s="49">
        <f>HLOOKUP(E$1,cf!$C$1:$CI$68,MATCH("*"&amp;$A9&amp;"*",cf!$B$1:$B$68,),FALSE)</f>
        <v>0</v>
      </c>
      <c r="F9" s="43"/>
      <c r="G9" s="50" t="str">
        <f t="shared" si="0"/>
        <v>经营活动产生的现金流量净额</v>
      </c>
      <c r="H9" s="51">
        <f t="shared" si="1"/>
        <v>0</v>
      </c>
      <c r="I9" s="51">
        <f t="shared" si="1"/>
        <v>0</v>
      </c>
      <c r="J9" s="51">
        <f>ROUND(D9/10000,0)</f>
        <v>0</v>
      </c>
      <c r="K9" s="51">
        <f t="shared" si="1"/>
        <v>0</v>
      </c>
    </row>
    <row r="10" ht="14.15" spans="1:11">
      <c r="A10" s="54" t="s">
        <v>354</v>
      </c>
      <c r="B10" s="49">
        <f>HLOOKUP(B$1,pl!$C$1:$CE$46,MATCH("*"&amp;$A10&amp;"*",pl!$B$1:$B$71,),FALSE)</f>
        <v>0</v>
      </c>
      <c r="C10" s="49">
        <f>HLOOKUP(C$1,pl!$C$1:$CE$46,MATCH("*"&amp;$A10&amp;"*",pl!$B$1:$B$71,),FALSE)</f>
        <v>0</v>
      </c>
      <c r="D10" s="49">
        <f>HLOOKUP(D$1,pl!$C$1:$CE$46,MATCH("*"&amp;$A10&amp;"*",pl!$B$1:$B$71,),FALSE)</f>
        <v>0</v>
      </c>
      <c r="E10" s="49">
        <f>HLOOKUP(E$1,pl!$C$1:$CE$46,MATCH("*"&amp;$A10&amp;"*",pl!$B$1:$B$71,),FALSE)</f>
        <v>0</v>
      </c>
      <c r="F10" s="43"/>
      <c r="G10" s="50" t="str">
        <f t="shared" si="0"/>
        <v>净利润</v>
      </c>
      <c r="H10" s="51">
        <f t="shared" si="1"/>
        <v>0</v>
      </c>
      <c r="I10" s="51">
        <f t="shared" si="1"/>
        <v>0</v>
      </c>
      <c r="J10" s="51">
        <f t="shared" si="1"/>
        <v>0</v>
      </c>
      <c r="K10" s="51">
        <f t="shared" si="1"/>
        <v>0</v>
      </c>
    </row>
    <row r="11" ht="14.15" spans="1:11">
      <c r="A11" s="54" t="s">
        <v>467</v>
      </c>
      <c r="B11" s="49" t="e">
        <f>B9/B10</f>
        <v>#DIV/0!</v>
      </c>
      <c r="C11" s="49" t="e">
        <f>C9/C10</f>
        <v>#DIV/0!</v>
      </c>
      <c r="D11" s="49" t="e">
        <f>D9/D10</f>
        <v>#DIV/0!</v>
      </c>
      <c r="E11" s="49" t="e">
        <f>E9/E10</f>
        <v>#DIV/0!</v>
      </c>
      <c r="F11" s="43"/>
      <c r="G11" s="50" t="str">
        <f t="shared" si="0"/>
        <v>盈利现金比</v>
      </c>
      <c r="H11" s="51" t="e">
        <f>B11</f>
        <v>#DIV/0!</v>
      </c>
      <c r="I11" s="51" t="e">
        <f>C11</f>
        <v>#DIV/0!</v>
      </c>
      <c r="J11" s="51" t="e">
        <f>D11</f>
        <v>#DIV/0!</v>
      </c>
      <c r="K11" s="51" t="e">
        <f>E11</f>
        <v>#DIV/0!</v>
      </c>
    </row>
    <row r="12" spans="7:11">
      <c r="G12" s="16" t="s">
        <v>401</v>
      </c>
      <c r="H12" t="e">
        <f>bs!#REF!</f>
        <v>#REF!</v>
      </c>
      <c r="I12">
        <f>bs!E54</f>
        <v>0</v>
      </c>
      <c r="J12">
        <f>bs!F54</f>
        <v>0</v>
      </c>
      <c r="K12" t="e">
        <f>bs!#REF!</f>
        <v>#REF!</v>
      </c>
    </row>
    <row r="13" spans="7:11">
      <c r="G13" t="s">
        <v>468</v>
      </c>
      <c r="H13">
        <v>57403</v>
      </c>
      <c r="I13">
        <v>88363</v>
      </c>
      <c r="J13">
        <v>120993</v>
      </c>
      <c r="K13">
        <v>110718</v>
      </c>
    </row>
    <row r="14" spans="7:7">
      <c r="G14" s="16" t="s">
        <v>431</v>
      </c>
    </row>
    <row r="19" spans="7:11">
      <c r="G19" s="9"/>
      <c r="H19" s="55"/>
      <c r="I19" s="55"/>
      <c r="J19" s="55"/>
      <c r="K19" s="63"/>
    </row>
    <row r="20" spans="7:11">
      <c r="G20" s="56" t="s">
        <v>431</v>
      </c>
      <c r="H20" s="57"/>
      <c r="I20" s="57"/>
      <c r="J20" s="57"/>
      <c r="K20" s="57"/>
    </row>
    <row r="21" spans="7:11">
      <c r="G21" s="56" t="s">
        <v>432</v>
      </c>
      <c r="H21" s="57"/>
      <c r="I21" s="57"/>
      <c r="J21" s="57"/>
      <c r="K21" s="57"/>
    </row>
    <row r="22" spans="7:11">
      <c r="G22" s="9"/>
      <c r="H22" s="29"/>
      <c r="I22" s="29"/>
      <c r="J22" s="29"/>
      <c r="K22" s="29"/>
    </row>
    <row r="23" spans="7:11">
      <c r="G23" s="56" t="s">
        <v>357</v>
      </c>
      <c r="H23" s="57"/>
      <c r="I23" s="57"/>
      <c r="J23" s="57"/>
      <c r="K23" s="57"/>
    </row>
    <row r="24" spans="7:11">
      <c r="G24" s="8" t="s">
        <v>469</v>
      </c>
      <c r="H24" s="58">
        <f>H23</f>
        <v>0</v>
      </c>
      <c r="I24" s="58">
        <f>SUM(I23)</f>
        <v>0</v>
      </c>
      <c r="J24" s="58">
        <f>SUM(J21,J23)</f>
        <v>0</v>
      </c>
      <c r="K24" s="58">
        <f>SUM(K21,K20,K23)</f>
        <v>0</v>
      </c>
    </row>
    <row r="25" ht="37.3" spans="7:11">
      <c r="G25" s="8" t="s">
        <v>470</v>
      </c>
      <c r="H25" s="59" t="str">
        <f>I25</f>
        <v>销售商品、提供劳务收到的现金</v>
      </c>
      <c r="I25" s="59" t="str">
        <f>G23</f>
        <v>销售商品、提供劳务收到的现金</v>
      </c>
      <c r="J25" s="64" t="s">
        <v>471</v>
      </c>
      <c r="K25" s="64" t="s">
        <v>472</v>
      </c>
    </row>
    <row r="26" spans="7:11">
      <c r="G26" s="60" t="s">
        <v>342</v>
      </c>
      <c r="H26" s="61">
        <v>913276863.59</v>
      </c>
      <c r="I26" s="61">
        <v>1114615416.79</v>
      </c>
      <c r="J26" s="58">
        <v>1011661321.48</v>
      </c>
      <c r="K26" s="58">
        <v>1014548010.3</v>
      </c>
    </row>
    <row r="29" spans="7:11">
      <c r="G29" s="9"/>
      <c r="H29" s="55">
        <v>43465</v>
      </c>
      <c r="I29" s="55">
        <v>43830</v>
      </c>
      <c r="J29" s="55">
        <v>44196</v>
      </c>
      <c r="K29" s="63">
        <v>44530</v>
      </c>
    </row>
    <row r="30" spans="7:11">
      <c r="G30" s="56" t="s">
        <v>473</v>
      </c>
      <c r="H30" s="62"/>
      <c r="I30" s="62"/>
      <c r="J30" s="62"/>
      <c r="K30" s="62"/>
    </row>
    <row r="31" spans="7:11">
      <c r="G31" s="56" t="s">
        <v>364</v>
      </c>
      <c r="H31" s="10"/>
      <c r="I31" s="10"/>
      <c r="J31" s="10"/>
      <c r="K31" s="10"/>
    </row>
    <row r="32" spans="7:11">
      <c r="G32" s="10" t="s">
        <v>401</v>
      </c>
      <c r="H32" s="10"/>
      <c r="I32" s="10"/>
      <c r="J32" s="10"/>
      <c r="K32" s="10"/>
    </row>
    <row r="33" spans="7:11">
      <c r="G33" s="56" t="s">
        <v>431</v>
      </c>
      <c r="H33" s="57"/>
      <c r="I33" s="57"/>
      <c r="J33" s="57"/>
      <c r="K33" s="57"/>
    </row>
    <row r="34" spans="7:11">
      <c r="G34" s="56" t="s">
        <v>432</v>
      </c>
      <c r="H34" s="57"/>
      <c r="I34" s="57"/>
      <c r="J34" s="57"/>
      <c r="K34" s="57"/>
    </row>
    <row r="35" spans="7:11">
      <c r="G35" s="9"/>
      <c r="H35" s="55">
        <v>43465</v>
      </c>
      <c r="I35" s="55">
        <v>43830</v>
      </c>
      <c r="J35" s="55">
        <v>44196</v>
      </c>
      <c r="K35" s="63">
        <v>44530</v>
      </c>
    </row>
    <row r="36" spans="7:11">
      <c r="G36" s="56" t="s">
        <v>474</v>
      </c>
      <c r="H36" s="10"/>
      <c r="I36" s="10"/>
      <c r="J36" s="10"/>
      <c r="K36" s="10"/>
    </row>
    <row r="37" spans="7:11">
      <c r="G37" s="56" t="s">
        <v>227</v>
      </c>
      <c r="H37" s="10"/>
      <c r="I37" s="10"/>
      <c r="J37" s="10"/>
      <c r="K37" s="10"/>
    </row>
    <row r="38" spans="7:11">
      <c r="G38" s="56" t="s">
        <v>475</v>
      </c>
      <c r="H38" s="10"/>
      <c r="I38" s="10"/>
      <c r="J38" s="10"/>
      <c r="K38" s="10"/>
    </row>
    <row r="39" spans="7:11">
      <c r="G39" s="56" t="s">
        <v>363</v>
      </c>
      <c r="H39" s="10"/>
      <c r="I39" s="10"/>
      <c r="J39" s="10"/>
      <c r="K39" s="10"/>
    </row>
  </sheetData>
  <customSheetViews>
    <customSheetView guid="{EFE5EB9F-962C-4232-9E60-22B2AE19D01B}">
      <selection activeCell="E11" sqref="E11"/>
      <pageMargins left="0.7" right="0.7" top="0.75" bottom="0.75" header="0.3" footer="0.3"/>
      <headerFooter/>
    </customSheetView>
  </customSheetViews>
  <mergeCells count="2">
    <mergeCell ref="A1:A2"/>
    <mergeCell ref="G1:G2"/>
  </mergeCells>
  <pageMargins left="0.7" right="0.7" top="0.75" bottom="0.75" header="0.3" footer="0.3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"/>
  <dimension ref="B2:F10"/>
  <sheetViews>
    <sheetView workbookViewId="0">
      <selection activeCell="C9" sqref="C9"/>
    </sheetView>
  </sheetViews>
  <sheetFormatPr defaultColWidth="9" defaultRowHeight="12.4" outlineLevelCol="5"/>
  <cols>
    <col min="2" max="2" width="19.4234234234234" customWidth="1"/>
    <col min="3" max="3" width="12.2882882882883" customWidth="1"/>
    <col min="4" max="6" width="13.5675675675676" customWidth="1"/>
  </cols>
  <sheetData>
    <row r="2" ht="13.15" spans="6:6">
      <c r="F2" t="str">
        <f>'财务分析-万位'!G6</f>
        <v>单位：万元</v>
      </c>
    </row>
    <row r="3" ht="15.75" spans="2:6">
      <c r="B3" s="35" t="s">
        <v>476</v>
      </c>
      <c r="C3" s="36">
        <f>'财务分析（2022）版'!B3</f>
        <v>45107</v>
      </c>
      <c r="D3" s="36">
        <f>'财务分析（2022）版'!C3</f>
        <v>44926</v>
      </c>
      <c r="E3" s="36">
        <f>'财务分析（2022）版'!D3</f>
        <v>44561</v>
      </c>
      <c r="F3" s="36">
        <f>'财务分析（2022）版'!E3</f>
        <v>44196</v>
      </c>
    </row>
    <row r="4" ht="16.15" spans="2:6">
      <c r="B4" s="37" t="s">
        <v>400</v>
      </c>
      <c r="C4" s="38">
        <f>'财务分析（2022）版'!B55</f>
        <v>0</v>
      </c>
      <c r="D4" s="38">
        <f>'财务分析（2022）版'!C55</f>
        <v>0</v>
      </c>
      <c r="E4" s="38">
        <f>'财务分析（2022）版'!D55</f>
        <v>0</v>
      </c>
      <c r="F4" s="38">
        <f>'财务分析（2022）版'!E55</f>
        <v>0</v>
      </c>
    </row>
    <row r="5" ht="16.15" spans="2:6">
      <c r="B5" s="37" t="s">
        <v>477</v>
      </c>
      <c r="C5" s="38">
        <f>'财务分析（2022）版'!B108</f>
        <v>0</v>
      </c>
      <c r="D5" s="38">
        <f>'财务分析（2022）版'!C108</f>
        <v>0</v>
      </c>
      <c r="E5" s="38">
        <f>'财务分析（2022）版'!D108</f>
        <v>0</v>
      </c>
      <c r="F5" s="38">
        <f>'财务分析（2022）版'!E108</f>
        <v>0</v>
      </c>
    </row>
    <row r="6" ht="16.15" spans="2:6">
      <c r="B6" s="37" t="s">
        <v>478</v>
      </c>
      <c r="C6" s="39" t="e">
        <f>'财务分析（2022）版'!B140</f>
        <v>#DIV/0!</v>
      </c>
      <c r="D6" s="39" t="e">
        <f>'财务分析（2022）版'!C140</f>
        <v>#DIV/0!</v>
      </c>
      <c r="E6" s="39" t="e">
        <f>'财务分析（2022）版'!D140</f>
        <v>#DIV/0!</v>
      </c>
      <c r="F6" s="39" t="e">
        <f>'财务分析（2022）版'!E140</f>
        <v>#DIV/0!</v>
      </c>
    </row>
    <row r="7" ht="16.15" spans="2:6">
      <c r="B7" s="37" t="s">
        <v>342</v>
      </c>
      <c r="C7" s="38">
        <f>'财务分析（2022）版'!B110</f>
        <v>0</v>
      </c>
      <c r="D7" s="38">
        <f>'财务分析（2022）版'!C110</f>
        <v>0</v>
      </c>
      <c r="E7" s="38">
        <f>'财务分析（2022）版'!D110</f>
        <v>0</v>
      </c>
      <c r="F7" s="38">
        <f>'财务分析（2022）版'!E110</f>
        <v>0</v>
      </c>
    </row>
    <row r="8" ht="16.15" spans="2:6">
      <c r="B8" s="37" t="s">
        <v>352</v>
      </c>
      <c r="C8" s="38">
        <f>'财务分析（2022）版'!B120</f>
        <v>0</v>
      </c>
      <c r="D8" s="38">
        <f>'财务分析（2022）版'!C120</f>
        <v>0</v>
      </c>
      <c r="E8" s="38">
        <f>'财务分析（2022）版'!D120</f>
        <v>0</v>
      </c>
      <c r="F8" s="38">
        <f>'财务分析（2022）版'!E120</f>
        <v>0</v>
      </c>
    </row>
    <row r="9" ht="16.15" spans="2:6">
      <c r="B9" s="37" t="s">
        <v>479</v>
      </c>
      <c r="C9" s="38">
        <f>'财务分析（2022）版'!B128</f>
        <v>0</v>
      </c>
      <c r="D9" s="38">
        <f>'财务分析（2022）版'!C128</f>
        <v>0</v>
      </c>
      <c r="E9" s="38">
        <f>'财务分析（2022）版'!D128</f>
        <v>0</v>
      </c>
      <c r="F9" s="38">
        <f>'财务分析（2022）版'!E128</f>
        <v>0</v>
      </c>
    </row>
    <row r="10" ht="16.15" spans="2:6">
      <c r="B10" s="37" t="s">
        <v>480</v>
      </c>
      <c r="C10" s="38">
        <f>'财务分析（2022）版'!B134</f>
        <v>0</v>
      </c>
      <c r="D10" s="38">
        <f>'财务分析（2022）版'!C134</f>
        <v>0</v>
      </c>
      <c r="E10" s="38">
        <f>'财务分析（2022）版'!D134</f>
        <v>0</v>
      </c>
      <c r="F10" s="38">
        <f>'财务分析（2022）版'!E134</f>
        <v>0</v>
      </c>
    </row>
  </sheetData>
  <customSheetViews>
    <customSheetView guid="{EFE5EB9F-962C-4232-9E60-22B2AE19D01B}">
      <selection activeCell="E33" sqref="E33"/>
      <pageMargins left="0.7" right="0.7" top="0.75" bottom="0.75" header="0.3" footer="0.3"/>
      <headerFooter/>
    </customSheetView>
  </customSheetViews>
  <pageMargins left="0.7" right="0.7" top="0.75" bottom="0.75" header="0.3" footer="0.3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F25"/>
  <sheetViews>
    <sheetView workbookViewId="0">
      <selection activeCell="E28" sqref="E28"/>
    </sheetView>
  </sheetViews>
  <sheetFormatPr defaultColWidth="9.14414414414414" defaultRowHeight="12.4" outlineLevelCol="5"/>
  <cols>
    <col min="1" max="2" width="20.7117117117117" customWidth="1"/>
    <col min="3" max="3" width="24.5675675675676" customWidth="1"/>
    <col min="4" max="4" width="23" customWidth="1"/>
    <col min="5" max="5" width="25.7117117117117" customWidth="1"/>
    <col min="6" max="6" width="24" customWidth="1"/>
    <col min="7" max="7" width="20.7117117117117" customWidth="1"/>
  </cols>
  <sheetData>
    <row r="1" ht="15.7" spans="1:6">
      <c r="A1" s="18"/>
      <c r="B1" s="19"/>
      <c r="C1" s="20">
        <f>'财务分析（2022）版'!B3</f>
        <v>45107</v>
      </c>
      <c r="D1" s="21">
        <f>'财务分析（2022）版'!C3</f>
        <v>44926</v>
      </c>
      <c r="E1" s="21">
        <f>'财务分析（2022）版'!D3</f>
        <v>44561</v>
      </c>
      <c r="F1" s="21">
        <f>'财务分析（2022）版'!E3</f>
        <v>44196</v>
      </c>
    </row>
    <row r="2" ht="15.75" spans="1:6">
      <c r="A2" s="22"/>
      <c r="B2" s="23" t="s">
        <v>481</v>
      </c>
      <c r="C2" s="24">
        <f>C23</f>
        <v>0</v>
      </c>
      <c r="D2" s="24">
        <f t="shared" ref="D2:F2" si="0">D23</f>
        <v>0</v>
      </c>
      <c r="E2" s="24">
        <f t="shared" si="0"/>
        <v>0</v>
      </c>
      <c r="F2" s="24">
        <f t="shared" si="0"/>
        <v>0</v>
      </c>
    </row>
    <row r="3" ht="30" customHeight="1" spans="1:6">
      <c r="A3" s="22" t="s">
        <v>482</v>
      </c>
      <c r="B3" s="23" t="s">
        <v>483</v>
      </c>
      <c r="C3" s="24">
        <f>C16+C20</f>
        <v>0</v>
      </c>
      <c r="D3" s="24">
        <f t="shared" ref="D3:F3" si="1">D16+D20</f>
        <v>0</v>
      </c>
      <c r="E3" s="24">
        <f t="shared" si="1"/>
        <v>0</v>
      </c>
      <c r="F3" s="24">
        <f t="shared" si="1"/>
        <v>0</v>
      </c>
    </row>
    <row r="4" ht="15.75" spans="1:6">
      <c r="A4" s="22"/>
      <c r="B4" s="23" t="s">
        <v>484</v>
      </c>
      <c r="C4" s="24">
        <f>C22</f>
        <v>0</v>
      </c>
      <c r="D4" s="24">
        <f t="shared" ref="D4:F4" si="2">D22</f>
        <v>0</v>
      </c>
      <c r="E4" s="24">
        <f t="shared" si="2"/>
        <v>0</v>
      </c>
      <c r="F4" s="24">
        <f t="shared" si="2"/>
        <v>0</v>
      </c>
    </row>
    <row r="5" ht="15.75" spans="1:6">
      <c r="A5" s="22"/>
      <c r="B5" s="23" t="s">
        <v>485</v>
      </c>
      <c r="C5" s="24" t="s">
        <v>486</v>
      </c>
      <c r="D5" s="24" t="s">
        <v>486</v>
      </c>
      <c r="E5" s="24" t="s">
        <v>486</v>
      </c>
      <c r="F5" s="25" t="s">
        <v>486</v>
      </c>
    </row>
    <row r="6" ht="15.75" spans="1:6">
      <c r="A6" s="22"/>
      <c r="B6" s="23" t="s">
        <v>487</v>
      </c>
      <c r="C6" s="24" t="s">
        <v>486</v>
      </c>
      <c r="D6" s="24" t="s">
        <v>486</v>
      </c>
      <c r="E6" s="24" t="s">
        <v>486</v>
      </c>
      <c r="F6" s="25" t="s">
        <v>486</v>
      </c>
    </row>
    <row r="7" ht="15.75" spans="1:6">
      <c r="A7" s="22"/>
      <c r="B7" s="23" t="s">
        <v>488</v>
      </c>
      <c r="C7" s="24">
        <f>C21</f>
        <v>0</v>
      </c>
      <c r="D7" s="24">
        <f t="shared" ref="D7:F7" si="3">D21</f>
        <v>0</v>
      </c>
      <c r="E7" s="24">
        <f t="shared" si="3"/>
        <v>0</v>
      </c>
      <c r="F7" s="24">
        <f t="shared" si="3"/>
        <v>0</v>
      </c>
    </row>
    <row r="8" ht="30" customHeight="1" spans="1:6">
      <c r="A8" s="22" t="s">
        <v>489</v>
      </c>
      <c r="B8" s="23" t="s">
        <v>490</v>
      </c>
      <c r="C8" s="24">
        <f>C19</f>
        <v>0</v>
      </c>
      <c r="D8" s="24">
        <f t="shared" ref="D8:F8" si="4">D19</f>
        <v>0</v>
      </c>
      <c r="E8" s="24">
        <f t="shared" si="4"/>
        <v>0</v>
      </c>
      <c r="F8" s="24">
        <f t="shared" si="4"/>
        <v>0</v>
      </c>
    </row>
    <row r="9" ht="15.75" spans="1:6">
      <c r="A9" s="22"/>
      <c r="B9" s="26" t="s">
        <v>491</v>
      </c>
      <c r="C9" s="27">
        <f>C2-C8</f>
        <v>0</v>
      </c>
      <c r="D9" s="27">
        <f t="shared" ref="D9:F9" si="5">D2-D8</f>
        <v>0</v>
      </c>
      <c r="E9" s="27">
        <f t="shared" si="5"/>
        <v>0</v>
      </c>
      <c r="F9" s="27">
        <f t="shared" si="5"/>
        <v>0</v>
      </c>
    </row>
    <row r="10" ht="58.5" customHeight="1" spans="1:6">
      <c r="A10" s="28" t="s">
        <v>492</v>
      </c>
      <c r="B10" s="29"/>
      <c r="C10" s="29"/>
      <c r="D10" s="29"/>
      <c r="E10" s="29"/>
      <c r="F10" s="29"/>
    </row>
    <row r="11" ht="74.55" spans="1:6">
      <c r="A11" s="16" t="s">
        <v>493</v>
      </c>
      <c r="E11" s="30" t="s">
        <v>494</v>
      </c>
      <c r="F11" t="s">
        <v>495</v>
      </c>
    </row>
    <row r="12" spans="1:1">
      <c r="A12" s="16" t="s">
        <v>496</v>
      </c>
    </row>
    <row r="13" spans="1:1">
      <c r="A13" s="16" t="s">
        <v>497</v>
      </c>
    </row>
    <row r="14" spans="1:1">
      <c r="A14" s="16" t="s">
        <v>498</v>
      </c>
    </row>
    <row r="15" spans="1:6">
      <c r="A15" s="16" t="s">
        <v>499</v>
      </c>
      <c r="C15" s="31">
        <f>C1</f>
        <v>45107</v>
      </c>
      <c r="D15" s="31">
        <f t="shared" ref="D15:F15" si="6">D1</f>
        <v>44926</v>
      </c>
      <c r="E15" s="31">
        <f t="shared" si="6"/>
        <v>44561</v>
      </c>
      <c r="F15" s="31">
        <f t="shared" si="6"/>
        <v>44196</v>
      </c>
    </row>
    <row r="16" spans="2:6">
      <c r="B16" s="16" t="s">
        <v>401</v>
      </c>
      <c r="C16" s="32">
        <f>ROUND(HLOOKUP(C$1,bs!$C$1:$AA$110,MATCH("*"&amp;$B16&amp;"*",bs!$B$1:$B$110,),FALSE),0)/IF(LEN($A$15)&gt;4,10000,1)</f>
        <v>0</v>
      </c>
      <c r="D16" s="32">
        <f>ROUND(HLOOKUP(D$1,bs!$C$1:$AA$110,MATCH("*"&amp;$B16&amp;"*",bs!$B$1:$B$110,),FALSE),0)/IF(LEN($A$15)&gt;4,10000,1)</f>
        <v>0</v>
      </c>
      <c r="E16" s="32">
        <f>ROUND(HLOOKUP(E$1,bs!$C$1:$AA$110,MATCH("*"&amp;$B16&amp;"*",bs!$B$1:$B$110,),FALSE),0)/IF(LEN($A$15)&gt;4,10000,1)</f>
        <v>0</v>
      </c>
      <c r="F16" s="32">
        <f>ROUND(HLOOKUP(F$1,bs!$C$1:$AA$110,MATCH("*"&amp;$B16&amp;"*",bs!$B$1:$B$110,),FALSE),0)/IF(LEN($A$15)&gt;4,10000,1)</f>
        <v>0</v>
      </c>
    </row>
    <row r="17" spans="2:6">
      <c r="B17" s="16" t="s">
        <v>500</v>
      </c>
      <c r="C17" s="32">
        <f>ROUND(HLOOKUP($C1,bs!$C$1:$AA$110,MATCH("*"&amp;$B17&amp;"*",bs!$B$1:$B$110,),FALSE),0)/IF(LEN($A$15)&gt;4,10000,1)</f>
        <v>0</v>
      </c>
      <c r="D17" s="32">
        <f>ROUND(HLOOKUP($C1,bs!$C$1:$AA$110,MATCH("*"&amp;$B17&amp;"*",bs!$B$1:$B$110,),FALSE),0)/IF(LEN($A$15)&gt;4,10000,1)</f>
        <v>0</v>
      </c>
      <c r="E17" s="32">
        <f>ROUND(HLOOKUP($C1,bs!$C$1:$AA$110,MATCH("*"&amp;$B17&amp;"*",bs!$B$1:$B$110,),FALSE),0)/IF(LEN($A$15)&gt;4,10000,1)</f>
        <v>0</v>
      </c>
      <c r="F17" s="32">
        <f>ROUND(HLOOKUP($C1,bs!$C$1:$AA$110,MATCH("*"&amp;$B17&amp;"*",bs!$B$1:$B$110,),FALSE),0)/IF(LEN($A$15)&gt;4,10000,1)</f>
        <v>0</v>
      </c>
    </row>
    <row r="18" spans="2:6">
      <c r="B18" s="16" t="s">
        <v>501</v>
      </c>
      <c r="C18" s="32">
        <f>ROUND(HLOOKUP(C$1,bs!$C$1:$AA$110,MATCH("*"&amp;$B18&amp;"*",bs!$B$1:$B$110,),FALSE),0)/IF(LEN($A$15)&gt;4,10000,1)</f>
        <v>0</v>
      </c>
      <c r="D18" s="32">
        <f>ROUND(HLOOKUP(D$1,bs!$C$1:$AA$110,MATCH("*"&amp;$B18&amp;"*",bs!$B$1:$B$110,),FALSE),0)/IF(LEN($A$15)&gt;4,10000,1)</f>
        <v>0</v>
      </c>
      <c r="E18" s="32">
        <f>ROUND(HLOOKUP(E$1,bs!$C$1:$AA$110,MATCH("*"&amp;$B18&amp;"*",bs!$B$1:$B$110,),FALSE),0)/IF(LEN($A$15)&gt;4,10000,1)</f>
        <v>0</v>
      </c>
      <c r="F18" s="32">
        <f>ROUND(HLOOKUP(F$1,bs!$C$1:$AA$110,MATCH("*"&amp;$B18&amp;"*",bs!$B$1:$B$110,),FALSE),0)/IF(LEN($A$15)&gt;4,10000,1)</f>
        <v>0</v>
      </c>
    </row>
    <row r="19" spans="2:6">
      <c r="B19" s="33" t="s">
        <v>76</v>
      </c>
      <c r="C19" s="32">
        <f>ROUND(HLOOKUP(C$1,bs!$C$1:$AA$110,MATCH("*"&amp;$B19&amp;"*",bs!$B$1:$B$110,),FALSE),0)/IF(LEN($A$15)&gt;4,10000,1)</f>
        <v>0</v>
      </c>
      <c r="D19" s="32">
        <f>ROUND(HLOOKUP(D$1,bs!$C$1:$AA$110,MATCH("*"&amp;$B19&amp;"*",bs!$B$1:$B$110,),FALSE),0)/IF(LEN($A$15)&gt;4,10000,1)</f>
        <v>0</v>
      </c>
      <c r="E19" s="32">
        <f>ROUND(HLOOKUP(E$1,bs!$C$1:$AA$110,MATCH("*"&amp;$B19&amp;"*",bs!$B$1:$B$110,),FALSE),0)/IF(LEN($A$15)&gt;4,10000,1)</f>
        <v>0</v>
      </c>
      <c r="F19" s="32">
        <f>ROUND(HLOOKUP(F$1,bs!$C$1:$AA$110,MATCH("*"&amp;$B19&amp;"*",bs!$B$1:$B$110,),FALSE),0)/IF(LEN($A$15)&gt;4,10000,1)</f>
        <v>0</v>
      </c>
    </row>
    <row r="20" spans="2:6">
      <c r="B20" s="16" t="s">
        <v>404</v>
      </c>
      <c r="C20" s="32">
        <f>ROUND(HLOOKUP(C$1,bs!$C$1:$AA$110,MATCH("*"&amp;$B20&amp;"*",bs!$B$1:$B$110,),FALSE),0)/IF(LEN($A$15)&gt;4,10000,1)</f>
        <v>0</v>
      </c>
      <c r="D20" s="32">
        <f>ROUND(HLOOKUP(D$1,bs!$C$1:$AA$110,MATCH("*"&amp;$B20&amp;"*",bs!$B$1:$B$110,),FALSE),0)/IF(LEN($A$15)&gt;4,10000,1)</f>
        <v>0</v>
      </c>
      <c r="E20" s="32">
        <f>ROUND(HLOOKUP(E$1,bs!$C$1:$AA$110,MATCH("*"&amp;$B20&amp;"*",bs!$B$1:$B$110,),FALSE),0)/IF(LEN($A$15)&gt;4,10000,1)</f>
        <v>0</v>
      </c>
      <c r="F20" s="32">
        <f>ROUND(HLOOKUP(F$1,bs!$C$1:$AA$110,MATCH("*"&amp;$B20&amp;"*",bs!$B$1:$B$110,),FALSE),0)/IF(LEN($A$15)&gt;4,10000,1)</f>
        <v>0</v>
      </c>
    </row>
    <row r="21" spans="2:6">
      <c r="B21" s="16" t="s">
        <v>502</v>
      </c>
      <c r="C21" s="32">
        <f>ROUND(HLOOKUP(C$1,bs!$C$1:$AA$110,MATCH("*"&amp;$B21&amp;"*",bs!$B$1:$B$110,),FALSE),0)/IF(LEN($A$15)&gt;4,10000,1)</f>
        <v>0</v>
      </c>
      <c r="D21" s="32">
        <f>ROUND(HLOOKUP(D$1,bs!$C$1:$AA$110,MATCH("*"&amp;$B21&amp;"*",bs!$B$1:$B$110,),FALSE),0)/IF(LEN($A$15)&gt;4,10000,1)</f>
        <v>0</v>
      </c>
      <c r="E21" s="32">
        <f>ROUND(HLOOKUP(E$1,bs!$C$1:$AA$110,MATCH("*"&amp;$B21&amp;"*",bs!$B$1:$B$110,),FALSE),0)/IF(LEN($A$15)&gt;4,10000,1)</f>
        <v>0</v>
      </c>
      <c r="F21" s="32">
        <f>ROUND(HLOOKUP(F$1,bs!$C$1:$AA$110,MATCH("*"&amp;$B21&amp;"*",bs!$B$1:$B$110,),FALSE),0)/IF(LEN($A$15)&gt;4,10000,1)</f>
        <v>0</v>
      </c>
    </row>
    <row r="22" spans="2:6">
      <c r="B22" s="16" t="s">
        <v>405</v>
      </c>
      <c r="C22" s="32">
        <f>ROUND(HLOOKUP(C$1,bs!$C$1:$AA$110,MATCH("*"&amp;$B22&amp;"*",bs!$B$1:$B$110,),FALSE),0)/IF(LEN($A$15)&gt;4,10000,1)</f>
        <v>0</v>
      </c>
      <c r="D22" s="32">
        <f>ROUND(HLOOKUP(D$1,bs!$C$1:$AA$110,MATCH("*"&amp;$B22&amp;"*",bs!$B$1:$B$110,),FALSE),0)/IF(LEN($A$15)&gt;4,10000,1)</f>
        <v>0</v>
      </c>
      <c r="E22" s="32">
        <f>ROUND(HLOOKUP(E$1,bs!$C$1:$AA$110,MATCH("*"&amp;$B22&amp;"*",bs!$B$1:$B$110,),FALSE),0)/IF(LEN($A$15)&gt;4,10000,1)</f>
        <v>0</v>
      </c>
      <c r="F22" s="32">
        <f>ROUND(HLOOKUP(F$1,bs!$C$1:$AA$110,MATCH("*"&amp;$B22&amp;"*",bs!$B$1:$B$110,),FALSE),0)/IF(LEN($A$15)&gt;4,10000,1)</f>
        <v>0</v>
      </c>
    </row>
    <row r="23" spans="2:6">
      <c r="B23" s="16" t="s">
        <v>503</v>
      </c>
      <c r="C23" s="32">
        <f>SUM(C16:C22)</f>
        <v>0</v>
      </c>
      <c r="D23" s="32">
        <f t="shared" ref="D23:F23" si="7">SUM(D16:D22)</f>
        <v>0</v>
      </c>
      <c r="E23" s="32">
        <f t="shared" si="7"/>
        <v>0</v>
      </c>
      <c r="F23" s="32">
        <f t="shared" si="7"/>
        <v>0</v>
      </c>
    </row>
    <row r="24" spans="3:6">
      <c r="C24" s="34"/>
      <c r="D24" s="34"/>
      <c r="E24" s="34"/>
      <c r="F24" s="34"/>
    </row>
    <row r="25" spans="3:6">
      <c r="C25" s="34"/>
      <c r="D25" s="34"/>
      <c r="E25" s="34"/>
      <c r="F25" s="34"/>
    </row>
  </sheetData>
  <mergeCells count="3">
    <mergeCell ref="B10:F10"/>
    <mergeCell ref="A3:A7"/>
    <mergeCell ref="A8:A9"/>
  </mergeCells>
  <dataValidations count="1">
    <dataValidation type="list" allowBlank="1" showInputMessage="1" showErrorMessage="1" sqref="A15">
      <formula1>"单位：元,单位：万元"</formula1>
    </dataValidation>
  </dataValidations>
  <pageMargins left="0.75" right="0.75" top="1" bottom="1" header="0.5" footer="0.5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"/>
  <dimension ref="A1:A5"/>
  <sheetViews>
    <sheetView workbookViewId="0">
      <selection activeCell="A6" sqref="A6"/>
    </sheetView>
  </sheetViews>
  <sheetFormatPr defaultColWidth="9" defaultRowHeight="12.4" outlineLevelRow="4"/>
  <sheetData>
    <row r="1" spans="1:1">
      <c r="A1" s="16" t="s">
        <v>504</v>
      </c>
    </row>
    <row r="2" spans="1:1">
      <c r="A2" t="s">
        <v>505</v>
      </c>
    </row>
    <row r="3" ht="12.45" spans="1:1">
      <c r="A3" t="s">
        <v>506</v>
      </c>
    </row>
    <row r="4" spans="1:1">
      <c r="A4" s="17" t="s">
        <v>507</v>
      </c>
    </row>
    <row r="5" ht="12.45" spans="1:1">
      <c r="A5" s="17" t="s">
        <v>508</v>
      </c>
    </row>
  </sheetData>
  <customSheetViews>
    <customSheetView guid="{EFE5EB9F-962C-4232-9E60-22B2AE19D01B}">
      <selection activeCell="A2" sqref="A2"/>
      <pageMargins left="0.7" right="0.7" top="0.75" bottom="0.75" header="0.3" footer="0.3"/>
      <headerFooter/>
    </customSheetView>
  </customSheetViews>
  <pageMargins left="0.7" right="0.7" top="0.75" bottom="0.75" header="0.3" footer="0.3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>
    <tabColor indexed="13"/>
  </sheetPr>
  <dimension ref="A1:I8"/>
  <sheetViews>
    <sheetView workbookViewId="0">
      <selection activeCell="A1" sqref="A1"/>
    </sheetView>
  </sheetViews>
  <sheetFormatPr defaultColWidth="9" defaultRowHeight="12.4" outlineLevelRow="7"/>
  <cols>
    <col min="1" max="1" width="18" customWidth="1"/>
    <col min="4" max="4" width="15.1441441441441" customWidth="1"/>
    <col min="5" max="5" width="9.71171171171171" customWidth="1"/>
    <col min="8" max="8" width="10.2882882882883" customWidth="1"/>
  </cols>
  <sheetData>
    <row r="1" ht="13.7" spans="1:4">
      <c r="A1" s="11" t="s">
        <v>509</v>
      </c>
      <c r="B1" s="11" t="s">
        <v>510</v>
      </c>
      <c r="C1" s="11" t="s">
        <v>511</v>
      </c>
      <c r="D1" s="11" t="s">
        <v>512</v>
      </c>
    </row>
    <row r="2" ht="13.7" spans="1:9">
      <c r="A2" s="12" t="s">
        <v>513</v>
      </c>
      <c r="B2" s="13" t="str">
        <f>LEFT(A2,4)</f>
        <v>2023</v>
      </c>
      <c r="C2" s="13" t="str">
        <f>RIGHT(A2,2)</f>
        <v>.6</v>
      </c>
      <c r="D2" s="14" t="str">
        <f>TEXT(DATE(B2,C2+1,0),"e/m/d")</f>
        <v>2022/12/31</v>
      </c>
      <c r="E2" s="15" t="str">
        <f>B2&amp;B1&amp;C2&amp;C1</f>
        <v>2023年.6月</v>
      </c>
      <c r="F2">
        <f>$B$2-I2</f>
        <v>2022</v>
      </c>
      <c r="G2" t="s">
        <v>514</v>
      </c>
      <c r="H2" t="str">
        <f>F2&amp;$G$2</f>
        <v>2022/12/31</v>
      </c>
      <c r="I2">
        <v>1</v>
      </c>
    </row>
    <row r="3" spans="6:9">
      <c r="F3">
        <f t="shared" ref="F3:F8" si="0">$B$2-I3</f>
        <v>2021</v>
      </c>
      <c r="H3" t="str">
        <f t="shared" ref="H3:H8" si="1">F3&amp;$G$2</f>
        <v>2021/12/31</v>
      </c>
      <c r="I3">
        <v>2</v>
      </c>
    </row>
    <row r="4" spans="1:9">
      <c r="A4" s="15"/>
      <c r="F4">
        <f t="shared" si="0"/>
        <v>2020</v>
      </c>
      <c r="H4" t="str">
        <f t="shared" si="1"/>
        <v>2020/12/31</v>
      </c>
      <c r="I4">
        <v>3</v>
      </c>
    </row>
    <row r="5" spans="6:9">
      <c r="F5">
        <f t="shared" si="0"/>
        <v>2019</v>
      </c>
      <c r="H5" t="str">
        <f t="shared" si="1"/>
        <v>2019/12/31</v>
      </c>
      <c r="I5">
        <v>4</v>
      </c>
    </row>
    <row r="6" spans="6:9">
      <c r="F6">
        <f t="shared" si="0"/>
        <v>2018</v>
      </c>
      <c r="H6" t="str">
        <f t="shared" si="1"/>
        <v>2018/12/31</v>
      </c>
      <c r="I6">
        <v>5</v>
      </c>
    </row>
    <row r="7" spans="6:9">
      <c r="F7">
        <f t="shared" si="0"/>
        <v>2017</v>
      </c>
      <c r="H7" t="str">
        <f t="shared" si="1"/>
        <v>2017/12/31</v>
      </c>
      <c r="I7">
        <v>6</v>
      </c>
    </row>
    <row r="8" spans="6:9">
      <c r="F8">
        <f t="shared" si="0"/>
        <v>2016</v>
      </c>
      <c r="H8" t="str">
        <f t="shared" si="1"/>
        <v>2016/12/31</v>
      </c>
      <c r="I8">
        <v>7</v>
      </c>
    </row>
  </sheetData>
  <customSheetViews>
    <customSheetView guid="{EFE5EB9F-962C-4232-9E60-22B2AE19D01B}">
      <selection activeCell="H12" sqref="H12"/>
      <pageMargins left="0.7" right="0.7" top="0.75" bottom="0.75" header="0.3" footer="0.3"/>
      <headerFooter/>
    </customSheetView>
  </customSheetViews>
  <pageMargins left="0.7" right="0.7" top="0.75" bottom="0.75" header="0.3" footer="0.3"/>
  <pageSetup paperSize="9" orientation="portrait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F5"/>
  <sheetViews>
    <sheetView workbookViewId="0">
      <selection activeCell="G9" sqref="A1:G9"/>
    </sheetView>
  </sheetViews>
  <sheetFormatPr defaultColWidth="9.14414414414414" defaultRowHeight="12.4" outlineLevelRow="4" outlineLevelCol="5"/>
  <cols>
    <col min="1" max="1" width="5.28828828828829" customWidth="1"/>
    <col min="2" max="2" width="12.7117117117117" customWidth="1"/>
    <col min="3" max="3" width="19.1441441441441" customWidth="1"/>
    <col min="4" max="4" width="14.7117117117117" customWidth="1"/>
    <col min="5" max="5" width="24.4234234234234" customWidth="1"/>
    <col min="6" max="6" width="4.71171171171171" customWidth="1"/>
  </cols>
  <sheetData>
    <row r="1" ht="14.95" spans="1:6">
      <c r="A1" s="1"/>
      <c r="B1" s="1"/>
      <c r="C1" s="2"/>
      <c r="D1" s="2"/>
      <c r="E1" s="2"/>
      <c r="F1" s="2"/>
    </row>
    <row r="2" ht="14.55" spans="1:6">
      <c r="A2" s="3"/>
      <c r="B2" s="4"/>
      <c r="C2" s="5"/>
      <c r="D2" s="6"/>
      <c r="E2" s="3"/>
      <c r="F2" s="3"/>
    </row>
    <row r="3" ht="14.55" spans="1:6">
      <c r="A3" s="3"/>
      <c r="B3" s="4"/>
      <c r="C3" s="7"/>
      <c r="D3" s="6"/>
      <c r="E3" s="3"/>
      <c r="F3" s="3"/>
    </row>
    <row r="4" ht="14.55" spans="1:6">
      <c r="A4" s="3"/>
      <c r="B4" s="4"/>
      <c r="C4" s="7"/>
      <c r="D4" s="6"/>
      <c r="E4" s="3"/>
      <c r="F4" s="3"/>
    </row>
    <row r="5" spans="1:6">
      <c r="A5" s="8"/>
      <c r="B5" s="9"/>
      <c r="C5" s="9"/>
      <c r="D5" s="10"/>
      <c r="E5" s="9"/>
      <c r="F5" s="9"/>
    </row>
  </sheetData>
  <pageMargins left="0.75" right="0.75" top="1" bottom="1" header="0.5" footer="0.5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bs</vt:lpstr>
      <vt:lpstr>pl</vt:lpstr>
      <vt:lpstr>cf</vt:lpstr>
      <vt:lpstr>财务分析（2022）版</vt:lpstr>
      <vt:lpstr>财务分析-万位</vt:lpstr>
      <vt:lpstr>资产负债权益结构分析</vt:lpstr>
      <vt:lpstr>现金流分析表</vt:lpstr>
      <vt:lpstr>财务对比分析表</vt:lpstr>
      <vt:lpstr>财务变化表</vt:lpstr>
      <vt:lpstr>刚性负债情况</vt:lpstr>
      <vt:lpstr>版本更新说明</vt:lpstr>
      <vt:lpstr>初始设置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报表模板</dc:title>
  <dc:creator>徐晓冬</dc:creator>
  <cp:keywords>报表模板</cp:keywords>
  <dc:description>2023年新版</dc:description>
  <cp:lastModifiedBy>徐晓冬</cp:lastModifiedBy>
  <dcterms:created xsi:type="dcterms:W3CDTF">2012-10-09T05:54:00Z</dcterms:created>
  <dcterms:modified xsi:type="dcterms:W3CDTF">2023-10-06T15:48:20Z</dcterms:modified>
  <cp:category>报表模板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2052-11.8.2.12086</vt:lpwstr>
  </property>
  <property fmtid="{D5CDD505-2E9C-101B-9397-08002B2CF9AE}" pid="3" name="ICV">
    <vt:lpwstr>0FE24BD227674B049EAD84E1420D757A</vt:lpwstr>
  </property>
  <property fmtid="{D5CDD505-2E9C-101B-9397-08002B2CF9AE}" pid="4" name="部门">
    <vt:lpwstr>业务四部</vt:lpwstr>
  </property>
</Properties>
</file>