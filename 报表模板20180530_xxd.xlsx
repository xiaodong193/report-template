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公司onedrive\OneDrive - 中国外贸金融租赁有限公司\外贸金租工作文档\项目\1恒顺众昇[300208.SZ]\恒顺众昇[300208.SZ]\"/>
    </mc:Choice>
  </mc:AlternateContent>
  <xr:revisionPtr revIDLastSave="541" documentId="8_{BB4AEDAF-9E90-44CA-8BC2-DE683AFAF2CC}" xr6:coauthVersionLast="32" xr6:coauthVersionMax="32" xr10:uidLastSave="{FC32F8F5-8697-4BC6-991F-569867DAA617}"/>
  <bookViews>
    <workbookView xWindow="0" yWindow="345" windowWidth="15360" windowHeight="6390" tabRatio="885" activeTab="16" xr2:uid="{00000000-000D-0000-FFFF-FFFF00000000}"/>
  </bookViews>
  <sheets>
    <sheet name="bs2018.03" sheetId="4" r:id="rId1"/>
    <sheet name="pl2018.03" sheetId="9" r:id="rId2"/>
    <sheet name="cf2018.03" sheetId="13" r:id="rId3"/>
    <sheet name="bs2017.12" sheetId="1" r:id="rId4"/>
    <sheet name="pl2017.12" sheetId="10" r:id="rId5"/>
    <sheet name="cf2017.12" sheetId="14" r:id="rId6"/>
    <sheet name="bs2016.12 " sheetId="2" r:id="rId7"/>
    <sheet name="pl2016.12" sheetId="17" r:id="rId8"/>
    <sheet name="cf2016.12" sheetId="15" r:id="rId9"/>
    <sheet name="bs2015.12" sheetId="3" r:id="rId10"/>
    <sheet name="pl2015.12" sheetId="18" r:id="rId11"/>
    <sheet name="cf2015.12" sheetId="16" r:id="rId12"/>
    <sheet name="财务分析-万位" sheetId="8" r:id="rId13"/>
    <sheet name="现金流分析表" sheetId="19" r:id="rId14"/>
    <sheet name="财务对比分析表" sheetId="20" r:id="rId15"/>
    <sheet name="财务变化表" sheetId="21" r:id="rId16"/>
    <sheet name="资产负债权益结构分析" sheetId="22" r:id="rId17"/>
  </sheets>
  <calcPr calcId="179017"/>
</workbook>
</file>

<file path=xl/calcChain.xml><?xml version="1.0" encoding="utf-8"?>
<calcChain xmlns="http://schemas.openxmlformats.org/spreadsheetml/2006/main">
  <c r="C67" i="1" l="1"/>
  <c r="C68" i="1" s="1"/>
  <c r="D65" i="1"/>
  <c r="D67" i="1" s="1"/>
  <c r="C65" i="1"/>
  <c r="C57" i="1"/>
  <c r="D56" i="1"/>
  <c r="C56" i="1"/>
  <c r="D48" i="1"/>
  <c r="D57" i="1" s="1"/>
  <c r="C48" i="1"/>
  <c r="C34" i="1"/>
  <c r="C35" i="1" s="1"/>
  <c r="D22" i="1"/>
  <c r="D34" i="1" s="1"/>
  <c r="D35" i="1" s="1"/>
  <c r="C22" i="1"/>
  <c r="D13" i="1"/>
  <c r="C13" i="1"/>
  <c r="D67" i="4"/>
  <c r="D65" i="4"/>
  <c r="C65" i="4"/>
  <c r="C67" i="4" s="1"/>
  <c r="D56" i="4"/>
  <c r="C56" i="4"/>
  <c r="D48" i="4"/>
  <c r="D57" i="4" s="1"/>
  <c r="C48" i="4"/>
  <c r="C57" i="4" s="1"/>
  <c r="D22" i="4"/>
  <c r="D34" i="4" s="1"/>
  <c r="D35" i="4" s="1"/>
  <c r="C22" i="4"/>
  <c r="C34" i="4" s="1"/>
  <c r="C35" i="4" s="1"/>
  <c r="D13" i="4"/>
  <c r="C13" i="4"/>
  <c r="D65" i="3"/>
  <c r="D67" i="3" s="1"/>
  <c r="C65" i="3"/>
  <c r="C67" i="3" s="1"/>
  <c r="D56" i="3"/>
  <c r="C56" i="3"/>
  <c r="D48" i="3"/>
  <c r="D57" i="3" s="1"/>
  <c r="C48" i="3"/>
  <c r="C57" i="3" s="1"/>
  <c r="D22" i="3"/>
  <c r="D34" i="3" s="1"/>
  <c r="D35" i="3" s="1"/>
  <c r="C22" i="3"/>
  <c r="C34" i="3" s="1"/>
  <c r="C35" i="3" s="1"/>
  <c r="D13" i="3"/>
  <c r="C13" i="3"/>
  <c r="C13" i="2"/>
  <c r="D68" i="1" l="1"/>
  <c r="D69" i="1" s="1"/>
  <c r="C69" i="1"/>
  <c r="D68" i="4"/>
  <c r="D69" i="4" s="1"/>
  <c r="C68" i="4"/>
  <c r="C69" i="4" s="1"/>
  <c r="C68" i="3"/>
  <c r="C69" i="3" s="1"/>
  <c r="D68" i="3"/>
  <c r="D69" i="3" s="1"/>
  <c r="F2" i="21"/>
  <c r="I74" i="22"/>
  <c r="G74" i="22"/>
  <c r="E74" i="22"/>
  <c r="C74" i="22"/>
  <c r="I72" i="22"/>
  <c r="G72" i="22"/>
  <c r="E72" i="22"/>
  <c r="C72" i="22"/>
  <c r="I71" i="22"/>
  <c r="G71" i="22"/>
  <c r="E71" i="22"/>
  <c r="C71" i="22"/>
  <c r="I70" i="22"/>
  <c r="G70" i="22"/>
  <c r="E70" i="22"/>
  <c r="C70" i="22"/>
  <c r="I69" i="22"/>
  <c r="G69" i="22"/>
  <c r="E69" i="22"/>
  <c r="C69" i="22"/>
  <c r="I68" i="22"/>
  <c r="G68" i="22"/>
  <c r="E68" i="22"/>
  <c r="C68" i="22"/>
  <c r="I67" i="22"/>
  <c r="G67" i="22"/>
  <c r="E67" i="22"/>
  <c r="C67" i="22"/>
  <c r="I66" i="22"/>
  <c r="G66" i="22"/>
  <c r="E66" i="22"/>
  <c r="C66" i="22"/>
  <c r="I60" i="22"/>
  <c r="G60" i="22"/>
  <c r="E60" i="22"/>
  <c r="C60" i="22"/>
  <c r="I59" i="22"/>
  <c r="G59" i="22"/>
  <c r="E59" i="22"/>
  <c r="C59" i="22"/>
  <c r="I58" i="22"/>
  <c r="G58" i="22"/>
  <c r="E58" i="22"/>
  <c r="C58" i="22"/>
  <c r="I57" i="22"/>
  <c r="G57" i="22"/>
  <c r="E57" i="22"/>
  <c r="C57" i="22"/>
  <c r="I56" i="22"/>
  <c r="G56" i="22"/>
  <c r="E56" i="22"/>
  <c r="C56" i="22"/>
  <c r="I55" i="22"/>
  <c r="G55" i="22"/>
  <c r="E55" i="22"/>
  <c r="C55" i="22"/>
  <c r="I54" i="22"/>
  <c r="G54" i="22"/>
  <c r="E54" i="22"/>
  <c r="C54" i="22"/>
  <c r="I52" i="22"/>
  <c r="G52" i="22"/>
  <c r="E52" i="22"/>
  <c r="C52" i="22"/>
  <c r="I51" i="22"/>
  <c r="G51" i="22"/>
  <c r="E51" i="22"/>
  <c r="C51" i="22"/>
  <c r="I50" i="22"/>
  <c r="G50" i="22"/>
  <c r="E50" i="22"/>
  <c r="C50" i="22"/>
  <c r="I49" i="22"/>
  <c r="G49" i="22"/>
  <c r="E49" i="22"/>
  <c r="C49" i="22"/>
  <c r="I48" i="22"/>
  <c r="G48" i="22"/>
  <c r="E48" i="22"/>
  <c r="C48" i="22"/>
  <c r="I47" i="22"/>
  <c r="G47" i="22"/>
  <c r="E47" i="22"/>
  <c r="C47" i="22"/>
  <c r="I46" i="22"/>
  <c r="G46" i="22"/>
  <c r="E46" i="22"/>
  <c r="C46" i="22"/>
  <c r="I45" i="22"/>
  <c r="G45" i="22"/>
  <c r="E45" i="22"/>
  <c r="C45" i="22"/>
  <c r="I44" i="22"/>
  <c r="G44" i="22"/>
  <c r="E44" i="22"/>
  <c r="C44" i="22"/>
  <c r="I43" i="22"/>
  <c r="G43" i="22"/>
  <c r="E43" i="22"/>
  <c r="C43" i="22"/>
  <c r="I42" i="22"/>
  <c r="G42" i="22"/>
  <c r="E42" i="22"/>
  <c r="C42" i="22"/>
  <c r="I41" i="22"/>
  <c r="G41" i="22"/>
  <c r="E41" i="22"/>
  <c r="C41" i="22"/>
  <c r="I35" i="22"/>
  <c r="G35" i="22"/>
  <c r="E35" i="22"/>
  <c r="C35" i="22"/>
  <c r="I34" i="22"/>
  <c r="G34" i="22"/>
  <c r="E34" i="22"/>
  <c r="C34" i="22"/>
  <c r="I33" i="22"/>
  <c r="G33" i="22"/>
  <c r="E33" i="22"/>
  <c r="C33" i="22"/>
  <c r="I32" i="22"/>
  <c r="G32" i="22"/>
  <c r="E32" i="22"/>
  <c r="C32" i="22"/>
  <c r="I31" i="22"/>
  <c r="G31" i="22"/>
  <c r="E31" i="22"/>
  <c r="C31" i="22"/>
  <c r="I30" i="22"/>
  <c r="G30" i="22"/>
  <c r="E30" i="22"/>
  <c r="C30" i="22"/>
  <c r="I29" i="22"/>
  <c r="G29" i="22"/>
  <c r="E29" i="22"/>
  <c r="C29" i="22"/>
  <c r="I28" i="22"/>
  <c r="G28" i="22"/>
  <c r="E28" i="22"/>
  <c r="C28" i="22"/>
  <c r="I27" i="22"/>
  <c r="G27" i="22"/>
  <c r="E27" i="22"/>
  <c r="C27" i="22"/>
  <c r="I26" i="22"/>
  <c r="G26" i="22"/>
  <c r="E26" i="22"/>
  <c r="C26" i="22"/>
  <c r="I25" i="22"/>
  <c r="G25" i="22"/>
  <c r="E25" i="22"/>
  <c r="C25" i="22"/>
  <c r="I23" i="22"/>
  <c r="G23" i="22"/>
  <c r="E23" i="22"/>
  <c r="C23" i="22"/>
  <c r="I22" i="22"/>
  <c r="G22" i="22"/>
  <c r="E22" i="22"/>
  <c r="C22" i="22"/>
  <c r="I21" i="22"/>
  <c r="G21" i="22"/>
  <c r="E21" i="22"/>
  <c r="C21" i="22"/>
  <c r="I20" i="22"/>
  <c r="G20" i="22"/>
  <c r="E20" i="22"/>
  <c r="C20" i="22"/>
  <c r="I19" i="22"/>
  <c r="G19" i="22"/>
  <c r="E19" i="22"/>
  <c r="C19" i="22"/>
  <c r="I18" i="22"/>
  <c r="G18" i="22"/>
  <c r="E18" i="22"/>
  <c r="C18" i="22"/>
  <c r="I17" i="22"/>
  <c r="G17" i="22"/>
  <c r="E17" i="22"/>
  <c r="C17" i="22"/>
  <c r="I16" i="22"/>
  <c r="G16" i="22"/>
  <c r="E16" i="22"/>
  <c r="C16" i="22"/>
  <c r="I15" i="22"/>
  <c r="I14" i="22"/>
  <c r="G14" i="22"/>
  <c r="E14" i="22"/>
  <c r="C14" i="22"/>
  <c r="I13" i="22"/>
  <c r="G13" i="22"/>
  <c r="E13" i="22"/>
  <c r="C13" i="22"/>
  <c r="I12" i="22"/>
  <c r="G12" i="22"/>
  <c r="E12" i="22"/>
  <c r="C12" i="22"/>
  <c r="I11" i="22"/>
  <c r="G11" i="22"/>
  <c r="E11" i="22"/>
  <c r="C11" i="22"/>
  <c r="I10" i="22"/>
  <c r="G10" i="22"/>
  <c r="E10" i="22"/>
  <c r="C10" i="22"/>
  <c r="I9" i="22"/>
  <c r="G9" i="22"/>
  <c r="E9" i="22"/>
  <c r="C9" i="22"/>
  <c r="I8" i="22"/>
  <c r="G8" i="22"/>
  <c r="E8" i="22"/>
  <c r="C8" i="22"/>
  <c r="I7" i="22"/>
  <c r="G7" i="22"/>
  <c r="E7" i="22"/>
  <c r="C7" i="22"/>
  <c r="I6" i="22"/>
  <c r="G6" i="22"/>
  <c r="E6" i="22"/>
  <c r="C6" i="22"/>
  <c r="I5" i="22"/>
  <c r="G5" i="22"/>
  <c r="E5" i="22"/>
  <c r="C5" i="22"/>
  <c r="I4" i="22"/>
  <c r="G4" i="22"/>
  <c r="E4" i="22"/>
  <c r="C4" i="22"/>
  <c r="E2" i="8"/>
  <c r="D2" i="8"/>
  <c r="E20" i="8"/>
  <c r="D20" i="8"/>
  <c r="E19" i="8"/>
  <c r="D19" i="8"/>
  <c r="E18" i="8"/>
  <c r="D18" i="8"/>
  <c r="E12" i="8"/>
  <c r="D12" i="8"/>
  <c r="E11" i="8"/>
  <c r="D11" i="8"/>
  <c r="E9" i="8"/>
  <c r="D9" i="8"/>
  <c r="E8" i="8"/>
  <c r="D8" i="8"/>
  <c r="E6" i="8"/>
  <c r="D6" i="8"/>
  <c r="E4" i="8"/>
  <c r="E3" i="8"/>
  <c r="D3" i="8"/>
  <c r="C20" i="8"/>
  <c r="C19" i="8"/>
  <c r="C18" i="8"/>
  <c r="C12" i="8"/>
  <c r="C11" i="8"/>
  <c r="C9" i="8"/>
  <c r="C8" i="8"/>
  <c r="C6" i="8"/>
  <c r="C3" i="8"/>
  <c r="C2" i="8"/>
  <c r="B20" i="8"/>
  <c r="B19" i="8"/>
  <c r="B18" i="8"/>
  <c r="B12" i="8"/>
  <c r="B11" i="8"/>
  <c r="B9" i="8"/>
  <c r="B8" i="8"/>
  <c r="B6" i="8"/>
  <c r="B3" i="8"/>
  <c r="B2" i="8"/>
  <c r="C34" i="16" l="1"/>
  <c r="C30" i="16"/>
  <c r="C24" i="16"/>
  <c r="C19" i="16"/>
  <c r="C25" i="16" s="1"/>
  <c r="C11" i="16"/>
  <c r="C6" i="16"/>
  <c r="C12" i="16" s="1"/>
  <c r="E25" i="8" s="1"/>
  <c r="D5" i="18"/>
  <c r="E17" i="8" s="1"/>
  <c r="D2" i="18"/>
  <c r="C34" i="15"/>
  <c r="C30" i="15"/>
  <c r="C24" i="15"/>
  <c r="C19" i="15"/>
  <c r="C11" i="15"/>
  <c r="C6" i="15"/>
  <c r="D5" i="17"/>
  <c r="D17" i="8" s="1"/>
  <c r="D2" i="17"/>
  <c r="D16" i="8" s="1"/>
  <c r="D65" i="2"/>
  <c r="C65" i="2"/>
  <c r="C67" i="2" s="1"/>
  <c r="D56" i="2"/>
  <c r="C56" i="2"/>
  <c r="D48" i="2"/>
  <c r="C48" i="2"/>
  <c r="D22" i="2"/>
  <c r="C22" i="2"/>
  <c r="C34" i="2" s="1"/>
  <c r="C35" i="2" s="1"/>
  <c r="D13" i="2"/>
  <c r="D15" i="18" l="1"/>
  <c r="E16" i="8"/>
  <c r="C12" i="15"/>
  <c r="D25" i="8" s="1"/>
  <c r="D34" i="2"/>
  <c r="G36" i="22" s="1"/>
  <c r="G24" i="22"/>
  <c r="D5" i="8"/>
  <c r="G61" i="22"/>
  <c r="D13" i="8"/>
  <c r="G15" i="22"/>
  <c r="D4" i="8"/>
  <c r="D57" i="2"/>
  <c r="D10" i="8"/>
  <c r="G53" i="22"/>
  <c r="D67" i="2"/>
  <c r="G73" i="22"/>
  <c r="E15" i="22"/>
  <c r="C4" i="8"/>
  <c r="E24" i="22"/>
  <c r="C5" i="8"/>
  <c r="E36" i="22"/>
  <c r="C25" i="15"/>
  <c r="D15" i="17"/>
  <c r="D35" i="2"/>
  <c r="E15" i="8"/>
  <c r="I73" i="22"/>
  <c r="I61" i="22"/>
  <c r="E13" i="8"/>
  <c r="I53" i="22"/>
  <c r="E10" i="8"/>
  <c r="E5" i="8"/>
  <c r="I24" i="22"/>
  <c r="C35" i="16"/>
  <c r="E24" i="8" s="1"/>
  <c r="C35" i="15"/>
  <c r="C57" i="2"/>
  <c r="C68" i="2" s="1"/>
  <c r="C37" i="16"/>
  <c r="C39" i="16" s="1"/>
  <c r="D18" i="18" l="1"/>
  <c r="E21" i="8"/>
  <c r="C37" i="15"/>
  <c r="C39" i="15" s="1"/>
  <c r="D24" i="8"/>
  <c r="D18" i="17"/>
  <c r="D21" i="8"/>
  <c r="D7" i="8"/>
  <c r="G37" i="22"/>
  <c r="D14" i="8"/>
  <c r="G62" i="22"/>
  <c r="D68" i="2"/>
  <c r="G75" i="22"/>
  <c r="D15" i="8"/>
  <c r="E37" i="22"/>
  <c r="C7" i="8"/>
  <c r="I75" i="22"/>
  <c r="I62" i="22"/>
  <c r="E14" i="8"/>
  <c r="I36" i="22"/>
  <c r="D20" i="18" l="1"/>
  <c r="E22" i="8"/>
  <c r="D20" i="17"/>
  <c r="D22" i="8"/>
  <c r="I37" i="22"/>
  <c r="J32" i="22" s="1"/>
  <c r="E7" i="8"/>
  <c r="F4" i="21" s="1"/>
  <c r="C1" i="20"/>
  <c r="I1" i="20" s="1"/>
  <c r="D1" i="20"/>
  <c r="J1" i="20" s="1"/>
  <c r="E1" i="20"/>
  <c r="K1" i="20" s="1"/>
  <c r="B1" i="20"/>
  <c r="H1" i="20" s="1"/>
  <c r="C1" i="19"/>
  <c r="I1" i="19" s="1"/>
  <c r="D1" i="19"/>
  <c r="J1" i="19" s="1"/>
  <c r="E1" i="19"/>
  <c r="K1" i="19" s="1"/>
  <c r="B1" i="19"/>
  <c r="H1" i="19" s="1"/>
  <c r="I64" i="22"/>
  <c r="G64" i="22"/>
  <c r="E64" i="22"/>
  <c r="E39" i="22"/>
  <c r="C64" i="22"/>
  <c r="C39" i="22"/>
  <c r="I2" i="22"/>
  <c r="I39" i="22"/>
  <c r="G39" i="22"/>
  <c r="G2" i="22"/>
  <c r="E2" i="22"/>
  <c r="C2" i="22"/>
  <c r="C30" i="14"/>
  <c r="C9" i="19" s="1"/>
  <c r="I9" i="19" s="1"/>
  <c r="C34" i="14"/>
  <c r="C6" i="14"/>
  <c r="C11" i="14"/>
  <c r="F10" i="21"/>
  <c r="C30" i="13"/>
  <c r="C34" i="13"/>
  <c r="B10" i="19" s="1"/>
  <c r="H10" i="19" s="1"/>
  <c r="D3" i="21"/>
  <c r="E3" i="21"/>
  <c r="F3" i="21"/>
  <c r="C3" i="21"/>
  <c r="E8" i="20"/>
  <c r="K8" i="20" s="1"/>
  <c r="E7" i="20"/>
  <c r="K7" i="20" s="1"/>
  <c r="E6" i="20"/>
  <c r="K6" i="20" s="1"/>
  <c r="E5" i="20"/>
  <c r="K5" i="20" s="1"/>
  <c r="E4" i="20"/>
  <c r="K4" i="20" s="1"/>
  <c r="E3" i="20"/>
  <c r="K3" i="20" s="1"/>
  <c r="D8" i="20"/>
  <c r="J8" i="20" s="1"/>
  <c r="D7" i="20"/>
  <c r="J7" i="20" s="1"/>
  <c r="D6" i="20"/>
  <c r="J6" i="20" s="1"/>
  <c r="D5" i="20"/>
  <c r="J5" i="20" s="1"/>
  <c r="D4" i="20"/>
  <c r="J4" i="20" s="1"/>
  <c r="D3" i="20"/>
  <c r="J3" i="20" s="1"/>
  <c r="C8" i="20"/>
  <c r="I8" i="20" s="1"/>
  <c r="C7" i="20"/>
  <c r="I7" i="20" s="1"/>
  <c r="C6" i="20"/>
  <c r="I6" i="20" s="1"/>
  <c r="C5" i="20"/>
  <c r="I5" i="20" s="1"/>
  <c r="C4" i="20"/>
  <c r="I4" i="20" s="1"/>
  <c r="C3" i="20"/>
  <c r="I3" i="20" s="1"/>
  <c r="C6" i="13"/>
  <c r="C11" i="13"/>
  <c r="B4" i="19" s="1"/>
  <c r="H4" i="19" s="1"/>
  <c r="B8" i="20"/>
  <c r="H8" i="20" s="1"/>
  <c r="B7" i="20"/>
  <c r="H7" i="20" s="1"/>
  <c r="B6" i="20"/>
  <c r="H6" i="20" s="1"/>
  <c r="B5" i="20"/>
  <c r="H5" i="20" s="1"/>
  <c r="B4" i="20"/>
  <c r="H4" i="20" s="1"/>
  <c r="B3" i="20"/>
  <c r="H3" i="20" s="1"/>
  <c r="G11" i="20"/>
  <c r="G10" i="20"/>
  <c r="G9" i="20"/>
  <c r="G8" i="20"/>
  <c r="G7" i="20"/>
  <c r="G6" i="20"/>
  <c r="G5" i="20"/>
  <c r="G4" i="20"/>
  <c r="G3" i="20"/>
  <c r="E11" i="19"/>
  <c r="K11" i="19" s="1"/>
  <c r="E10" i="19"/>
  <c r="K10" i="19" s="1"/>
  <c r="E9" i="19"/>
  <c r="K9" i="19" s="1"/>
  <c r="E7" i="19"/>
  <c r="K7" i="19" s="1"/>
  <c r="E6" i="19"/>
  <c r="K6" i="19" s="1"/>
  <c r="E4" i="19"/>
  <c r="K4" i="19" s="1"/>
  <c r="E3" i="19"/>
  <c r="K3" i="19" s="1"/>
  <c r="D11" i="19"/>
  <c r="J11" i="19" s="1"/>
  <c r="D10" i="19"/>
  <c r="J10" i="19" s="1"/>
  <c r="D6" i="19"/>
  <c r="J6" i="19" s="1"/>
  <c r="D4" i="19"/>
  <c r="J4" i="19" s="1"/>
  <c r="C11" i="19"/>
  <c r="I11" i="19" s="1"/>
  <c r="C10" i="19"/>
  <c r="I10" i="19" s="1"/>
  <c r="C24" i="14"/>
  <c r="C7" i="19" s="1"/>
  <c r="I7" i="19" s="1"/>
  <c r="C19" i="14"/>
  <c r="C4" i="19"/>
  <c r="I4" i="19" s="1"/>
  <c r="B11" i="19"/>
  <c r="H11" i="19" s="1"/>
  <c r="B9" i="19"/>
  <c r="H9" i="19" s="1"/>
  <c r="C24" i="13"/>
  <c r="B7" i="19" s="1"/>
  <c r="H7" i="19" s="1"/>
  <c r="C19" i="13"/>
  <c r="B6" i="19" s="1"/>
  <c r="H6" i="19" s="1"/>
  <c r="G11" i="19"/>
  <c r="G10" i="19"/>
  <c r="G9" i="19"/>
  <c r="G8" i="19"/>
  <c r="G7" i="19"/>
  <c r="G6" i="19"/>
  <c r="G5" i="19"/>
  <c r="G4" i="19"/>
  <c r="G3" i="19"/>
  <c r="G2" i="19"/>
  <c r="G1" i="19"/>
  <c r="E38" i="8"/>
  <c r="F7" i="21"/>
  <c r="C2" i="17"/>
  <c r="C2" i="9"/>
  <c r="C5" i="9"/>
  <c r="D2" i="9"/>
  <c r="D5" i="9"/>
  <c r="B17" i="8" s="1"/>
  <c r="C5" i="18"/>
  <c r="C2" i="18"/>
  <c r="C5" i="17"/>
  <c r="D48" i="8"/>
  <c r="E7" i="21"/>
  <c r="D5" i="10"/>
  <c r="C17" i="8" s="1"/>
  <c r="C5" i="10"/>
  <c r="D2" i="10"/>
  <c r="C16" i="8" s="1"/>
  <c r="C2" i="10"/>
  <c r="J72" i="22"/>
  <c r="E51" i="8"/>
  <c r="E40" i="8"/>
  <c r="D39" i="8"/>
  <c r="B3" i="19"/>
  <c r="H3" i="19" s="1"/>
  <c r="E43" i="8"/>
  <c r="F9" i="21"/>
  <c r="D7" i="19"/>
  <c r="J7" i="19" s="1"/>
  <c r="E10" i="21"/>
  <c r="D9" i="19"/>
  <c r="J9" i="19" s="1"/>
  <c r="D3" i="19"/>
  <c r="E9" i="20"/>
  <c r="K9" i="20" s="1"/>
  <c r="D9" i="20"/>
  <c r="J9" i="20" s="1"/>
  <c r="H37" i="22"/>
  <c r="E4" i="21"/>
  <c r="D43" i="8"/>
  <c r="E5" i="21"/>
  <c r="H62" i="22"/>
  <c r="D55" i="8"/>
  <c r="E53" i="8"/>
  <c r="F8" i="21"/>
  <c r="E10" i="20"/>
  <c r="K10" i="20" s="1"/>
  <c r="E9" i="21"/>
  <c r="E8" i="21"/>
  <c r="D10" i="20"/>
  <c r="J10" i="20" s="1"/>
  <c r="J59" i="22"/>
  <c r="D22" i="18" l="1"/>
  <c r="D33" i="18" s="1"/>
  <c r="D39" i="18" s="1"/>
  <c r="E23" i="8"/>
  <c r="E49" i="8" s="1"/>
  <c r="D22" i="17"/>
  <c r="D33" i="17" s="1"/>
  <c r="D39" i="17" s="1"/>
  <c r="D23" i="8"/>
  <c r="E61" i="22"/>
  <c r="C13" i="8"/>
  <c r="C56" i="8" s="1"/>
  <c r="E73" i="22"/>
  <c r="C10" i="8"/>
  <c r="C27" i="8" s="1"/>
  <c r="E53" i="22"/>
  <c r="B16" i="8"/>
  <c r="B40" i="8" s="1"/>
  <c r="C73" i="22"/>
  <c r="B13" i="8"/>
  <c r="C61" i="22"/>
  <c r="C53" i="22"/>
  <c r="B10" i="8"/>
  <c r="B28" i="8" s="1"/>
  <c r="C36" i="22"/>
  <c r="B5" i="8"/>
  <c r="C24" i="22"/>
  <c r="C15" i="22"/>
  <c r="B4" i="8"/>
  <c r="D2" i="19"/>
  <c r="J2" i="19" s="1"/>
  <c r="J3" i="19"/>
  <c r="J33" i="22"/>
  <c r="J51" i="22"/>
  <c r="H68" i="22"/>
  <c r="E35" i="8"/>
  <c r="D38" i="8"/>
  <c r="E39" i="8"/>
  <c r="E48" i="8"/>
  <c r="E36" i="8"/>
  <c r="D40" i="8"/>
  <c r="C15" i="18"/>
  <c r="C18" i="18" s="1"/>
  <c r="C20" i="18" s="1"/>
  <c r="C22" i="18" s="1"/>
  <c r="C33" i="18" s="1"/>
  <c r="C39" i="18" s="1"/>
  <c r="J53" i="22"/>
  <c r="J62" i="22"/>
  <c r="J7" i="22"/>
  <c r="F5" i="21"/>
  <c r="H5" i="22"/>
  <c r="H35" i="22"/>
  <c r="H9" i="22"/>
  <c r="H17" i="22"/>
  <c r="D30" i="8"/>
  <c r="E6" i="21" s="1"/>
  <c r="C35" i="14"/>
  <c r="C25" i="14"/>
  <c r="C6" i="19"/>
  <c r="I6" i="19" s="1"/>
  <c r="C12" i="14"/>
  <c r="C25" i="8" s="1"/>
  <c r="C3" i="19"/>
  <c r="I3" i="19" s="1"/>
  <c r="C38" i="8"/>
  <c r="D7" i="21"/>
  <c r="C40" i="8"/>
  <c r="C37" i="8"/>
  <c r="C39" i="8"/>
  <c r="F23" i="22"/>
  <c r="D4" i="21"/>
  <c r="B8" i="19"/>
  <c r="H8" i="19" s="1"/>
  <c r="C25" i="13"/>
  <c r="B2" i="19"/>
  <c r="H2" i="19" s="1"/>
  <c r="J49" i="22"/>
  <c r="H44" i="22"/>
  <c r="H11" i="22"/>
  <c r="J8" i="22"/>
  <c r="J74" i="22"/>
  <c r="J55" i="22"/>
  <c r="H28" i="22"/>
  <c r="J41" i="22"/>
  <c r="J71" i="22"/>
  <c r="F20" i="22"/>
  <c r="F8" i="22"/>
  <c r="H19" i="22"/>
  <c r="H14" i="22"/>
  <c r="H10" i="22"/>
  <c r="J26" i="22"/>
  <c r="J22" i="22"/>
  <c r="J13" i="22"/>
  <c r="J9" i="22"/>
  <c r="J58" i="22"/>
  <c r="J54" i="22"/>
  <c r="J57" i="22"/>
  <c r="H12" i="22"/>
  <c r="J52" i="22"/>
  <c r="J61" i="22"/>
  <c r="J46" i="22"/>
  <c r="J42" i="22"/>
  <c r="F10" i="22"/>
  <c r="J35" i="22"/>
  <c r="B5" i="19"/>
  <c r="H5" i="19" s="1"/>
  <c r="C8" i="19"/>
  <c r="I8" i="19" s="1"/>
  <c r="D29" i="8"/>
  <c r="D44" i="8"/>
  <c r="C34" i="8"/>
  <c r="C48" i="8"/>
  <c r="H50" i="22"/>
  <c r="H42" i="22"/>
  <c r="H43" i="22"/>
  <c r="H36" i="22"/>
  <c r="H27" i="22"/>
  <c r="H22" i="22"/>
  <c r="J68" i="22"/>
  <c r="H46" i="22"/>
  <c r="F15" i="22"/>
  <c r="H51" i="22"/>
  <c r="F30" i="22"/>
  <c r="F26" i="22"/>
  <c r="F22" i="22"/>
  <c r="F6" i="22"/>
  <c r="J47" i="22"/>
  <c r="J43" i="22"/>
  <c r="H71" i="22"/>
  <c r="H55" i="22"/>
  <c r="H61" i="22"/>
  <c r="F36" i="22"/>
  <c r="H74" i="22"/>
  <c r="J6" i="22"/>
  <c r="J5" i="22"/>
  <c r="J50" i="22"/>
  <c r="D5" i="19"/>
  <c r="J5" i="19" s="1"/>
  <c r="E30" i="8"/>
  <c r="F6" i="21" s="1"/>
  <c r="D32" i="8"/>
  <c r="E55" i="8"/>
  <c r="D35" i="8"/>
  <c r="D45" i="8"/>
  <c r="D50" i="8"/>
  <c r="D31" i="8"/>
  <c r="C50" i="8"/>
  <c r="E50" i="8"/>
  <c r="D51" i="8"/>
  <c r="B34" i="8"/>
  <c r="E56" i="8"/>
  <c r="D58" i="8"/>
  <c r="C35" i="8"/>
  <c r="C36" i="8"/>
  <c r="C12" i="13"/>
  <c r="B25" i="8" s="1"/>
  <c r="C35" i="13"/>
  <c r="D15" i="9"/>
  <c r="B21" i="8" s="1"/>
  <c r="J20" i="22"/>
  <c r="J21" i="22"/>
  <c r="J11" i="22"/>
  <c r="F34" i="22"/>
  <c r="J75" i="22"/>
  <c r="J73" i="22"/>
  <c r="F13" i="22"/>
  <c r="H4" i="22"/>
  <c r="H33" i="22"/>
  <c r="H30" i="22"/>
  <c r="H26" i="22"/>
  <c r="J29" i="22"/>
  <c r="H41" i="22"/>
  <c r="H57" i="22"/>
  <c r="H54" i="22"/>
  <c r="H49" i="22"/>
  <c r="J66" i="22"/>
  <c r="J70" i="22"/>
  <c r="J67" i="22"/>
  <c r="J19" i="22"/>
  <c r="J30" i="22"/>
  <c r="H56" i="22"/>
  <c r="H47" i="22"/>
  <c r="J17" i="22"/>
  <c r="J12" i="22"/>
  <c r="J4" i="22"/>
  <c r="J31" i="22"/>
  <c r="J24" i="22"/>
  <c r="J36" i="22"/>
  <c r="H53" i="22"/>
  <c r="F4" i="22"/>
  <c r="F16" i="22"/>
  <c r="H20" i="22"/>
  <c r="H16" i="22"/>
  <c r="H8" i="22"/>
  <c r="J15" i="22"/>
  <c r="H60" i="22"/>
  <c r="J60" i="22"/>
  <c r="J56" i="22"/>
  <c r="J48" i="22"/>
  <c r="J45" i="22"/>
  <c r="H69" i="22"/>
  <c r="J34" i="22"/>
  <c r="J18" i="22"/>
  <c r="J25" i="22"/>
  <c r="J28" i="22"/>
  <c r="J37" i="22"/>
  <c r="J69" i="22"/>
  <c r="H73" i="22"/>
  <c r="H15" i="22"/>
  <c r="F27" i="22"/>
  <c r="F19" i="22"/>
  <c r="H23" i="22"/>
  <c r="J27" i="22"/>
  <c r="J23" i="22"/>
  <c r="J14" i="22"/>
  <c r="J10" i="22"/>
  <c r="J44" i="22"/>
  <c r="H72" i="22"/>
  <c r="E11" i="20"/>
  <c r="K11" i="20" s="1"/>
  <c r="E5" i="19"/>
  <c r="K5" i="19" s="1"/>
  <c r="D53" i="8"/>
  <c r="E34" i="8"/>
  <c r="E29" i="8"/>
  <c r="E32" i="8"/>
  <c r="D42" i="8"/>
  <c r="D52" i="8"/>
  <c r="D56" i="8"/>
  <c r="E31" i="8"/>
  <c r="D37" i="8"/>
  <c r="D27" i="8"/>
  <c r="E28" i="8"/>
  <c r="D28" i="8"/>
  <c r="C15" i="17"/>
  <c r="C18" i="17" s="1"/>
  <c r="C20" i="17" s="1"/>
  <c r="C22" i="17" s="1"/>
  <c r="C33" i="17" s="1"/>
  <c r="C39" i="17" s="1"/>
  <c r="C15" i="10"/>
  <c r="C18" i="10" s="1"/>
  <c r="C20" i="10" s="1"/>
  <c r="C22" i="10" s="1"/>
  <c r="C33" i="10" s="1"/>
  <c r="C39" i="10" s="1"/>
  <c r="D15" i="10"/>
  <c r="C21" i="8" s="1"/>
  <c r="C15" i="9"/>
  <c r="C18" i="9" s="1"/>
  <c r="C20" i="9" s="1"/>
  <c r="C22" i="9" s="1"/>
  <c r="C33" i="9" s="1"/>
  <c r="C39" i="9" s="1"/>
  <c r="F33" i="22"/>
  <c r="F12" i="22"/>
  <c r="F28" i="22"/>
  <c r="F25" i="22"/>
  <c r="H24" i="22"/>
  <c r="F5" i="22"/>
  <c r="H7" i="22"/>
  <c r="H66" i="22"/>
  <c r="H21" i="22"/>
  <c r="H13" i="22"/>
  <c r="H32" i="22"/>
  <c r="H6" i="22"/>
  <c r="H59" i="22"/>
  <c r="H75" i="22"/>
  <c r="J16" i="22"/>
  <c r="F21" i="22"/>
  <c r="H25" i="22"/>
  <c r="H48" i="22"/>
  <c r="H70" i="22"/>
  <c r="F9" i="22"/>
  <c r="F31" i="22"/>
  <c r="F29" i="22"/>
  <c r="H29" i="22"/>
  <c r="H52" i="22"/>
  <c r="F35" i="22"/>
  <c r="F11" i="22"/>
  <c r="F18" i="22"/>
  <c r="F7" i="22"/>
  <c r="F32" i="22"/>
  <c r="F37" i="22"/>
  <c r="F17" i="22"/>
  <c r="F24" i="22"/>
  <c r="H67" i="22"/>
  <c r="H18" i="22"/>
  <c r="H31" i="22"/>
  <c r="H34" i="22"/>
  <c r="H58" i="22"/>
  <c r="H45" i="22"/>
  <c r="F14" i="22"/>
  <c r="D11" i="20"/>
  <c r="J11" i="20" s="1"/>
  <c r="C2" i="19"/>
  <c r="I2" i="19" s="1"/>
  <c r="E2" i="19"/>
  <c r="K2" i="19" s="1"/>
  <c r="E8" i="19"/>
  <c r="K8" i="19" s="1"/>
  <c r="D8" i="19"/>
  <c r="J8" i="19" s="1"/>
  <c r="D36" i="8"/>
  <c r="E44" i="8"/>
  <c r="D34" i="8"/>
  <c r="E52" i="8"/>
  <c r="B39" i="8"/>
  <c r="E27" i="8"/>
  <c r="E37" i="8"/>
  <c r="B36" i="8"/>
  <c r="D46" i="8"/>
  <c r="D69" i="2"/>
  <c r="E42" i="8" l="1"/>
  <c r="E58" i="8"/>
  <c r="E45" i="8"/>
  <c r="D49" i="8"/>
  <c r="E46" i="8"/>
  <c r="C24" i="8"/>
  <c r="D10" i="21" s="1"/>
  <c r="C14" i="8"/>
  <c r="E62" i="22"/>
  <c r="C15" i="8"/>
  <c r="E75" i="22"/>
  <c r="B24" i="8"/>
  <c r="C10" i="21" s="1"/>
  <c r="B48" i="8"/>
  <c r="B38" i="8"/>
  <c r="C7" i="21"/>
  <c r="B37" i="8"/>
  <c r="B27" i="8"/>
  <c r="C75" i="22"/>
  <c r="D73" i="22" s="1"/>
  <c r="B15" i="8"/>
  <c r="B14" i="8"/>
  <c r="B31" i="8" s="1"/>
  <c r="C62" i="22"/>
  <c r="B7" i="8"/>
  <c r="C37" i="14"/>
  <c r="C39" i="14" s="1"/>
  <c r="C5" i="19"/>
  <c r="I5" i="19" s="1"/>
  <c r="D9" i="21"/>
  <c r="C9" i="20"/>
  <c r="I9" i="20" s="1"/>
  <c r="D18" i="10"/>
  <c r="C22" i="8" s="1"/>
  <c r="C28" i="8"/>
  <c r="C37" i="13"/>
  <c r="C39" i="13" s="1"/>
  <c r="C9" i="21"/>
  <c r="B9" i="20"/>
  <c r="H9" i="20" s="1"/>
  <c r="D18" i="9"/>
  <c r="B22" i="8" s="1"/>
  <c r="C69" i="2"/>
  <c r="D5" i="21" l="1"/>
  <c r="C29" i="8"/>
  <c r="C51" i="8"/>
  <c r="F69" i="22"/>
  <c r="F71" i="22"/>
  <c r="F72" i="22"/>
  <c r="F68" i="22"/>
  <c r="F66" i="22"/>
  <c r="F75" i="22"/>
  <c r="F67" i="22"/>
  <c r="F70" i="22"/>
  <c r="F74" i="22"/>
  <c r="F73" i="22"/>
  <c r="C37" i="22"/>
  <c r="D19" i="22" s="1"/>
  <c r="D67" i="22"/>
  <c r="C5" i="21"/>
  <c r="B51" i="8"/>
  <c r="D75" i="22"/>
  <c r="D72" i="22"/>
  <c r="D66" i="22"/>
  <c r="D74" i="22"/>
  <c r="D70" i="22"/>
  <c r="D69" i="22"/>
  <c r="D68" i="22"/>
  <c r="D71" i="22"/>
  <c r="C43" i="8"/>
  <c r="C52" i="8"/>
  <c r="D20" i="10"/>
  <c r="C23" i="8" s="1"/>
  <c r="F49" i="22"/>
  <c r="F46" i="22"/>
  <c r="F52" i="22"/>
  <c r="F44" i="22"/>
  <c r="F50" i="22"/>
  <c r="F62" i="22"/>
  <c r="F53" i="22"/>
  <c r="F56" i="22"/>
  <c r="F59" i="22"/>
  <c r="F42" i="22"/>
  <c r="F61" i="22"/>
  <c r="F55" i="22"/>
  <c r="F51" i="22"/>
  <c r="F48" i="22"/>
  <c r="F45" i="22"/>
  <c r="F47" i="22"/>
  <c r="F58" i="22"/>
  <c r="F54" i="22"/>
  <c r="F60" i="22"/>
  <c r="F57" i="22"/>
  <c r="F41" i="22"/>
  <c r="F43" i="22"/>
  <c r="C55" i="8"/>
  <c r="C30" i="8"/>
  <c r="D6" i="21" s="1"/>
  <c r="C31" i="8"/>
  <c r="D20" i="9"/>
  <c r="B23" i="8" s="1"/>
  <c r="B43" i="8"/>
  <c r="B52" i="8"/>
  <c r="D62" i="22"/>
  <c r="D54" i="22"/>
  <c r="D53" i="22"/>
  <c r="D47" i="22"/>
  <c r="D42" i="22"/>
  <c r="D46" i="22"/>
  <c r="D55" i="22"/>
  <c r="D61" i="22"/>
  <c r="D41" i="22"/>
  <c r="D57" i="22"/>
  <c r="D51" i="22"/>
  <c r="D58" i="22"/>
  <c r="D60" i="22"/>
  <c r="D50" i="22"/>
  <c r="D43" i="22"/>
  <c r="D48" i="22"/>
  <c r="D59" i="22"/>
  <c r="D49" i="22"/>
  <c r="D45" i="22"/>
  <c r="D52" i="22"/>
  <c r="D56" i="22"/>
  <c r="D44" i="22"/>
  <c r="D5" i="22"/>
  <c r="D13" i="22"/>
  <c r="D9" i="22"/>
  <c r="C4" i="21"/>
  <c r="B55" i="8"/>
  <c r="B56" i="8"/>
  <c r="B35" i="8"/>
  <c r="B29" i="8"/>
  <c r="B50" i="8"/>
  <c r="B30" i="8"/>
  <c r="C6" i="21" s="1"/>
  <c r="D37" i="22" l="1"/>
  <c r="D34" i="22"/>
  <c r="D24" i="22"/>
  <c r="D12" i="22"/>
  <c r="D8" i="22"/>
  <c r="D35" i="22"/>
  <c r="D14" i="22"/>
  <c r="D7" i="22"/>
  <c r="D33" i="22"/>
  <c r="D28" i="22"/>
  <c r="D15" i="22"/>
  <c r="D18" i="22"/>
  <c r="D31" i="22"/>
  <c r="D27" i="22"/>
  <c r="D11" i="22"/>
  <c r="D30" i="22"/>
  <c r="D29" i="22"/>
  <c r="D10" i="22"/>
  <c r="D25" i="22"/>
  <c r="D22" i="22"/>
  <c r="D6" i="22"/>
  <c r="D32" i="22"/>
  <c r="D17" i="22"/>
  <c r="D16" i="22"/>
  <c r="D21" i="22"/>
  <c r="D20" i="22"/>
  <c r="D23" i="22"/>
  <c r="D26" i="22"/>
  <c r="D36" i="22"/>
  <c r="D4" i="22"/>
  <c r="C53" i="8"/>
  <c r="D8" i="21"/>
  <c r="C32" i="8"/>
  <c r="C44" i="8"/>
  <c r="D22" i="10"/>
  <c r="D33" i="10" s="1"/>
  <c r="D39" i="10" s="1"/>
  <c r="C10" i="20"/>
  <c r="B32" i="8"/>
  <c r="C8" i="21"/>
  <c r="B53" i="8"/>
  <c r="B44" i="8"/>
  <c r="D22" i="9"/>
  <c r="D33" i="9" s="1"/>
  <c r="D39" i="9" s="1"/>
  <c r="B10" i="20"/>
  <c r="C42" i="8" l="1"/>
  <c r="C58" i="8"/>
  <c r="C45" i="8"/>
  <c r="C49" i="8"/>
  <c r="C46" i="8"/>
  <c r="I10" i="20"/>
  <c r="C11" i="20"/>
  <c r="I11" i="20" s="1"/>
  <c r="B58" i="8"/>
  <c r="B42" i="8"/>
  <c r="B49" i="8"/>
  <c r="B46" i="8"/>
  <c r="B45" i="8"/>
  <c r="H10" i="20"/>
  <c r="B11" i="20"/>
  <c r="H11" i="20" s="1"/>
</calcChain>
</file>

<file path=xl/sharedStrings.xml><?xml version="1.0" encoding="utf-8"?>
<sst xmlns="http://schemas.openxmlformats.org/spreadsheetml/2006/main" count="1402" uniqueCount="373">
  <si>
    <t>项目编号</t>
  </si>
  <si>
    <t>项目名称（元）</t>
  </si>
  <si>
    <t>年初数</t>
  </si>
  <si>
    <t>期末数</t>
  </si>
  <si>
    <t>40001</t>
  </si>
  <si>
    <t>货币资金</t>
  </si>
  <si>
    <t>40002</t>
  </si>
  <si>
    <t>交易性金融资产</t>
  </si>
  <si>
    <t>40003</t>
  </si>
  <si>
    <t>应收票据</t>
  </si>
  <si>
    <t>40004</t>
  </si>
  <si>
    <t>应收账款</t>
  </si>
  <si>
    <t>40005</t>
  </si>
  <si>
    <t>预付账款</t>
  </si>
  <si>
    <t>40006</t>
  </si>
  <si>
    <t>存货</t>
  </si>
  <si>
    <t>40007</t>
  </si>
  <si>
    <t>应收利息</t>
  </si>
  <si>
    <t>40008</t>
  </si>
  <si>
    <t>应收股利</t>
  </si>
  <si>
    <t>40009</t>
  </si>
  <si>
    <t>其他应收款</t>
  </si>
  <si>
    <t>40010</t>
  </si>
  <si>
    <t>一年内到期的非流动资产</t>
  </si>
  <si>
    <t>40011</t>
  </si>
  <si>
    <t>其他流动资产</t>
  </si>
  <si>
    <t>40012</t>
  </si>
  <si>
    <t>流动资产合计</t>
  </si>
  <si>
    <t>40013</t>
  </si>
  <si>
    <t>可供出售金融资产</t>
  </si>
  <si>
    <t>40014</t>
  </si>
  <si>
    <t>持有至到期投资</t>
  </si>
  <si>
    <t>40015</t>
  </si>
  <si>
    <t>长期应收款</t>
  </si>
  <si>
    <t>40016</t>
  </si>
  <si>
    <t>长期股权投资</t>
  </si>
  <si>
    <t>40017</t>
  </si>
  <si>
    <t>投资性房地产</t>
  </si>
  <si>
    <t>400171</t>
  </si>
  <si>
    <t>固定资产</t>
  </si>
  <si>
    <t>400172</t>
  </si>
  <si>
    <t>累计折旧</t>
  </si>
  <si>
    <t>400173</t>
  </si>
  <si>
    <t>固定资产减值准备</t>
  </si>
  <si>
    <t>40018</t>
  </si>
  <si>
    <t>固定资产净额</t>
  </si>
  <si>
    <t>40019</t>
  </si>
  <si>
    <t>工程物资</t>
  </si>
  <si>
    <t>40020</t>
  </si>
  <si>
    <t>在建工程</t>
  </si>
  <si>
    <t>40021</t>
  </si>
  <si>
    <t>固定资产清理</t>
  </si>
  <si>
    <t>40022</t>
  </si>
  <si>
    <t>生产性生物资产</t>
  </si>
  <si>
    <t>40023</t>
  </si>
  <si>
    <t>油气资产</t>
  </si>
  <si>
    <t>40024</t>
  </si>
  <si>
    <t>无形资产</t>
  </si>
  <si>
    <t>40025</t>
  </si>
  <si>
    <t>开发支出</t>
  </si>
  <si>
    <t>40026</t>
  </si>
  <si>
    <t>商誉</t>
  </si>
  <si>
    <t>40027</t>
  </si>
  <si>
    <t>长期待摊费用</t>
  </si>
  <si>
    <t>40028</t>
  </si>
  <si>
    <t>递延所得税资产</t>
  </si>
  <si>
    <t>40029</t>
  </si>
  <si>
    <t>其他非流动资产</t>
  </si>
  <si>
    <t>40030</t>
  </si>
  <si>
    <t>非流动资产合计</t>
  </si>
  <si>
    <t>40031</t>
  </si>
  <si>
    <t>资产总计</t>
  </si>
  <si>
    <t>40032</t>
  </si>
  <si>
    <t>短期借款</t>
  </si>
  <si>
    <t>40033</t>
  </si>
  <si>
    <t>交易性金融负债</t>
  </si>
  <si>
    <t>40034</t>
  </si>
  <si>
    <t>应付票据</t>
  </si>
  <si>
    <t>40035</t>
  </si>
  <si>
    <t>应付账款</t>
  </si>
  <si>
    <t>40036</t>
  </si>
  <si>
    <t>预收账款</t>
  </si>
  <si>
    <t>40037</t>
  </si>
  <si>
    <t>应付职工薪酬</t>
  </si>
  <si>
    <t>40038</t>
  </si>
  <si>
    <t>应交税费</t>
  </si>
  <si>
    <t>40039</t>
  </si>
  <si>
    <t>应付利息</t>
  </si>
  <si>
    <t>40040</t>
  </si>
  <si>
    <t>应付股利</t>
  </si>
  <si>
    <t>40041</t>
  </si>
  <si>
    <t>其他应付款</t>
  </si>
  <si>
    <t>预计负债</t>
  </si>
  <si>
    <t>40042</t>
  </si>
  <si>
    <t>一年内到期的非流动负债</t>
  </si>
  <si>
    <t>40043</t>
  </si>
  <si>
    <t>其他流动负债</t>
  </si>
  <si>
    <t>40044</t>
  </si>
  <si>
    <t>流动负债合计</t>
  </si>
  <si>
    <t>40045</t>
  </si>
  <si>
    <t>长期借款</t>
  </si>
  <si>
    <t>40046</t>
  </si>
  <si>
    <t>应付债券</t>
  </si>
  <si>
    <t>40047</t>
  </si>
  <si>
    <t>长期应付款</t>
  </si>
  <si>
    <t>40048</t>
  </si>
  <si>
    <t>专项应付款</t>
  </si>
  <si>
    <t>40049</t>
  </si>
  <si>
    <t>40050</t>
  </si>
  <si>
    <t>递延所得税负债</t>
  </si>
  <si>
    <t>40051</t>
  </si>
  <si>
    <t>其他非流动负债</t>
  </si>
  <si>
    <t>40052</t>
  </si>
  <si>
    <t>非流动负债合计</t>
  </si>
  <si>
    <t>40053</t>
  </si>
  <si>
    <t>负债合计</t>
  </si>
  <si>
    <t>40054</t>
  </si>
  <si>
    <t>实收资本（或股本）</t>
  </si>
  <si>
    <t>40055</t>
  </si>
  <si>
    <t>资本公积</t>
  </si>
  <si>
    <t>40056</t>
  </si>
  <si>
    <t>库存股</t>
  </si>
  <si>
    <t>40057</t>
  </si>
  <si>
    <t>盈余公积</t>
  </si>
  <si>
    <t>40058</t>
  </si>
  <si>
    <t>未分配利润</t>
  </si>
  <si>
    <t>40059</t>
  </si>
  <si>
    <t>外币报表折算差额</t>
  </si>
  <si>
    <t>40060</t>
  </si>
  <si>
    <t>归属母公司所有者权益合计</t>
  </si>
  <si>
    <t>40061</t>
  </si>
  <si>
    <t>40062</t>
  </si>
  <si>
    <t>所有者权益合计</t>
  </si>
  <si>
    <t>40063</t>
  </si>
  <si>
    <t>负债及股东权益总计</t>
  </si>
  <si>
    <t>少数股东权益</t>
    <phoneticPr fontId="4" type="noConversion"/>
  </si>
  <si>
    <t>流动资产</t>
  </si>
  <si>
    <t>存货净额</t>
  </si>
  <si>
    <t>应收账款净额</t>
  </si>
  <si>
    <t>总资产</t>
  </si>
  <si>
    <t>流动负债</t>
  </si>
  <si>
    <t>长期负债</t>
  </si>
  <si>
    <t>总负债</t>
  </si>
  <si>
    <t>股东权益</t>
  </si>
  <si>
    <t>主营业务收入</t>
  </si>
  <si>
    <t>主营业务成本</t>
  </si>
  <si>
    <t>营业费用</t>
  </si>
  <si>
    <t>管理费用</t>
  </si>
  <si>
    <t>财务费用</t>
  </si>
  <si>
    <t>营业利润</t>
  </si>
  <si>
    <t>利润总额</t>
  </si>
  <si>
    <t>净利润</t>
  </si>
  <si>
    <t>经营性现金流净流量</t>
  </si>
  <si>
    <t>偿债能力分析</t>
  </si>
  <si>
    <t>流动比率</t>
  </si>
  <si>
    <t>速动比率</t>
  </si>
  <si>
    <t>股东权益比(%)</t>
  </si>
  <si>
    <t>资产负债率(%)</t>
  </si>
  <si>
    <t>流动负债率(%)</t>
  </si>
  <si>
    <t>经营效率分析</t>
  </si>
  <si>
    <t>存货周转率(倍)</t>
  </si>
  <si>
    <t>总资产周转率(倍)</t>
  </si>
  <si>
    <t>应收帐款周转率(倍)</t>
  </si>
  <si>
    <t>主营成本比例(%)</t>
  </si>
  <si>
    <t>营业费用比例(%)</t>
  </si>
  <si>
    <t>管理费用比例(%)</t>
  </si>
  <si>
    <t>财务费用比例(%)</t>
  </si>
  <si>
    <t>盈利能力分析</t>
  </si>
  <si>
    <t>净利润率(%)</t>
  </si>
  <si>
    <t>经营毛利率(%)</t>
  </si>
  <si>
    <t>资产利润率(%)</t>
  </si>
  <si>
    <t>资产净利润率(%)</t>
  </si>
  <si>
    <t>净资产收益率(%)</t>
  </si>
  <si>
    <t>成长能力分析</t>
  </si>
  <si>
    <t>主营收入增长率(%)</t>
  </si>
  <si>
    <t>净利润增长率(%)</t>
  </si>
  <si>
    <t>总资产增长率(%)</t>
  </si>
  <si>
    <t>股东权益增长率(%)</t>
  </si>
  <si>
    <t>营业利润增长率(%)</t>
  </si>
  <si>
    <t>利润总额增长率(%)</t>
  </si>
  <si>
    <t>财务结构分析</t>
  </si>
  <si>
    <t>长期负债资产比(%)</t>
  </si>
  <si>
    <t>现金流量分析</t>
  </si>
  <si>
    <t>经营活动现金流量与净利润比例</t>
  </si>
  <si>
    <t>EBITDA利息倍数</t>
    <phoneticPr fontId="4" type="noConversion"/>
  </si>
  <si>
    <t>本月数</t>
  </si>
  <si>
    <t>本年累计</t>
  </si>
  <si>
    <t>40064</t>
  </si>
  <si>
    <t>营业收入</t>
  </si>
  <si>
    <t>400640</t>
  </si>
  <si>
    <t>400641</t>
  </si>
  <si>
    <t>其他业务收入</t>
  </si>
  <si>
    <t>40065</t>
  </si>
  <si>
    <t>营业成本</t>
  </si>
  <si>
    <t>400650</t>
  </si>
  <si>
    <t>400651</t>
  </si>
  <si>
    <t>其他业务成本</t>
  </si>
  <si>
    <t>40066</t>
  </si>
  <si>
    <t>营业税金及附加</t>
  </si>
  <si>
    <t>40067</t>
  </si>
  <si>
    <t>销售费用</t>
  </si>
  <si>
    <t>40068</t>
  </si>
  <si>
    <t>40069</t>
  </si>
  <si>
    <t>40070</t>
  </si>
  <si>
    <t>资产减值损失</t>
  </si>
  <si>
    <t>40071</t>
  </si>
  <si>
    <t>公允价值变动收益</t>
  </si>
  <si>
    <t>40072</t>
  </si>
  <si>
    <t>投资收益</t>
  </si>
  <si>
    <t>40073</t>
  </si>
  <si>
    <t>40074</t>
  </si>
  <si>
    <t>营业外收入</t>
  </si>
  <si>
    <t>40075</t>
  </si>
  <si>
    <t>营业外支出</t>
  </si>
  <si>
    <t>40076</t>
  </si>
  <si>
    <t>40077</t>
  </si>
  <si>
    <t>所得税费用</t>
  </si>
  <si>
    <t>40078</t>
  </si>
  <si>
    <t>40079</t>
  </si>
  <si>
    <t>少数股东权益损益</t>
  </si>
  <si>
    <t>40080</t>
  </si>
  <si>
    <t>归属于母公司所有者的净利润</t>
  </si>
  <si>
    <t>40081</t>
  </si>
  <si>
    <t>每股收益</t>
  </si>
  <si>
    <t>40082</t>
  </si>
  <si>
    <t>基本每股收益</t>
  </si>
  <si>
    <t>40083</t>
  </si>
  <si>
    <t>稀释每股收益</t>
  </si>
  <si>
    <t>40084</t>
  </si>
  <si>
    <t>年初未分配利润</t>
  </si>
  <si>
    <t>40085</t>
  </si>
  <si>
    <t>盈余公积补亏</t>
  </si>
  <si>
    <t>40086</t>
  </si>
  <si>
    <t>其他转入</t>
  </si>
  <si>
    <t>40087</t>
  </si>
  <si>
    <t>可供分配利润</t>
  </si>
  <si>
    <t>40088</t>
  </si>
  <si>
    <t>提取法定盈余公积</t>
  </si>
  <si>
    <t>40089</t>
  </si>
  <si>
    <t xml:space="preserve"> 提取一般风险准备</t>
  </si>
  <si>
    <t>40090</t>
  </si>
  <si>
    <t xml:space="preserve"> 其他</t>
  </si>
  <si>
    <t>40091</t>
  </si>
  <si>
    <t>可供投资者分配的利润</t>
  </si>
  <si>
    <t>40092</t>
  </si>
  <si>
    <t>应付优先股股利</t>
  </si>
  <si>
    <t>40093</t>
  </si>
  <si>
    <t>提取任意盈余公积</t>
  </si>
  <si>
    <t>40094</t>
  </si>
  <si>
    <t>应付普通股股利</t>
  </si>
  <si>
    <t>40095</t>
  </si>
  <si>
    <t>转作股本的普通股股利</t>
  </si>
  <si>
    <t>40096</t>
  </si>
  <si>
    <t>其他</t>
  </si>
  <si>
    <t>40097</t>
  </si>
  <si>
    <t>400831</t>
  </si>
  <si>
    <t>其他综合收益</t>
  </si>
  <si>
    <t>400832</t>
  </si>
  <si>
    <t>综合收益总额</t>
  </si>
  <si>
    <t>400833</t>
  </si>
  <si>
    <t>归属于母公司所有者的综合收益总额</t>
  </si>
  <si>
    <t>400834</t>
  </si>
  <si>
    <t>归属于少数股东的综合收益总额</t>
  </si>
  <si>
    <t>本年累计数</t>
  </si>
  <si>
    <t>40098</t>
  </si>
  <si>
    <t>一、经营活动产生的现金流量：</t>
  </si>
  <si>
    <t>40100</t>
  </si>
  <si>
    <t>销售商品、提供劳务收到的现金</t>
  </si>
  <si>
    <t>40101</t>
  </si>
  <si>
    <t>收到的税费返还</t>
  </si>
  <si>
    <t>40102</t>
  </si>
  <si>
    <t>收到其他与经营活动有关的现金</t>
  </si>
  <si>
    <t>40103</t>
  </si>
  <si>
    <t>经营活动现金流入小计</t>
  </si>
  <si>
    <t>40104</t>
  </si>
  <si>
    <t>购买商品、接受劳务支付的现金</t>
  </si>
  <si>
    <t>40105</t>
  </si>
  <si>
    <t>支付给职工以及为职工支付的现金</t>
  </si>
  <si>
    <t>40106</t>
  </si>
  <si>
    <t>支付的各项税费</t>
  </si>
  <si>
    <t>40107</t>
  </si>
  <si>
    <t>支付的其他与经营活动有关的现金</t>
  </si>
  <si>
    <t>40108</t>
  </si>
  <si>
    <t>经营活动现金流出小计</t>
  </si>
  <si>
    <t>40109</t>
  </si>
  <si>
    <t>经营活动产生的现金流量净额</t>
  </si>
  <si>
    <t>40110</t>
  </si>
  <si>
    <t>二、投资活动产生的现金流量：</t>
  </si>
  <si>
    <t>40111</t>
  </si>
  <si>
    <t>收回投资所收到的现金</t>
  </si>
  <si>
    <t>40112</t>
  </si>
  <si>
    <t>取得投资收益收到的现金</t>
  </si>
  <si>
    <t>40113</t>
  </si>
  <si>
    <t>处置固定资产、无形资产和其他长期资产所收回的现金净额</t>
  </si>
  <si>
    <t>40114</t>
  </si>
  <si>
    <t>处置子公司及其他营业单位收到的现金净额</t>
  </si>
  <si>
    <t>40115</t>
  </si>
  <si>
    <t>收到的其他与投资活动有关的现金</t>
  </si>
  <si>
    <t>40116</t>
  </si>
  <si>
    <t>投资活动现金流入小计</t>
  </si>
  <si>
    <t>40117</t>
  </si>
  <si>
    <t>购建固定资产、无形资产和其他长期资产所支付的现金</t>
  </si>
  <si>
    <t>40118</t>
  </si>
  <si>
    <t>投资支付的现金</t>
  </si>
  <si>
    <t>40119</t>
  </si>
  <si>
    <t>取得子公司及其他营业单位支付的现金净额</t>
  </si>
  <si>
    <t>40120</t>
  </si>
  <si>
    <t>支付其他与投资活动有关的现金</t>
  </si>
  <si>
    <t>40121</t>
  </si>
  <si>
    <t>投资活动现金流出小计</t>
  </si>
  <si>
    <t>40122</t>
  </si>
  <si>
    <t xml:space="preserve"> 投资活动产生的现金流量净额</t>
  </si>
  <si>
    <t>40123</t>
  </si>
  <si>
    <t>三、筹资活动产生的现金流量：</t>
  </si>
  <si>
    <t>40124</t>
  </si>
  <si>
    <t>吸收投资所收到的现金</t>
  </si>
  <si>
    <t>40125</t>
  </si>
  <si>
    <t>取得借款所收到的现金</t>
  </si>
  <si>
    <t>40126</t>
  </si>
  <si>
    <t>收到的其他与筹资活动有关的现金</t>
  </si>
  <si>
    <t>40127</t>
  </si>
  <si>
    <t>筹资活动现金流入小计</t>
  </si>
  <si>
    <t>40128</t>
  </si>
  <si>
    <t>偿还债务所支付的现金</t>
  </si>
  <si>
    <t>40129</t>
  </si>
  <si>
    <t>分配股利、利润或偿付利息支付的现金</t>
  </si>
  <si>
    <t>40130</t>
  </si>
  <si>
    <t>支付的其他与筹资活动有关的现金</t>
  </si>
  <si>
    <t>40131</t>
  </si>
  <si>
    <t>筹资活动现金流出小计</t>
  </si>
  <si>
    <t>40132</t>
  </si>
  <si>
    <t>筹资活动产生的现金流量净额</t>
  </si>
  <si>
    <t>40133</t>
  </si>
  <si>
    <t>四、汇率变动对现金及现金等价物的影响</t>
  </si>
  <si>
    <t>40134</t>
  </si>
  <si>
    <t>五、现金及现金等价物净增加额</t>
  </si>
  <si>
    <t>40135</t>
  </si>
  <si>
    <t>期初现金及现金等价物余额</t>
  </si>
  <si>
    <t>40136</t>
  </si>
  <si>
    <t>六、期末现金及现金等价物余额</t>
  </si>
  <si>
    <t>应付票据</t>
    <phoneticPr fontId="4" type="noConversion"/>
  </si>
  <si>
    <t>专项储备</t>
    <phoneticPr fontId="4" type="noConversion"/>
  </si>
  <si>
    <t>项目</t>
    <phoneticPr fontId="32" type="noConversion"/>
  </si>
  <si>
    <t>经营活动现金流量净额</t>
    <phoneticPr fontId="32" type="noConversion"/>
  </si>
  <si>
    <t>经营活动现金流入</t>
    <phoneticPr fontId="32" type="noConversion"/>
  </si>
  <si>
    <t>经营活动现金流出</t>
    <phoneticPr fontId="32" type="noConversion"/>
  </si>
  <si>
    <t>投资活动现金流量净额</t>
    <phoneticPr fontId="32" type="noConversion"/>
  </si>
  <si>
    <t>投资活动现金流入</t>
    <phoneticPr fontId="32" type="noConversion"/>
  </si>
  <si>
    <t>投资活动现金流出</t>
    <phoneticPr fontId="32" type="noConversion"/>
  </si>
  <si>
    <t>筹资活动现金流量净额</t>
    <phoneticPr fontId="32" type="noConversion"/>
  </si>
  <si>
    <t>筹资活动现金流入</t>
    <phoneticPr fontId="32" type="noConversion"/>
  </si>
  <si>
    <t>筹资活动现金流出</t>
    <phoneticPr fontId="32" type="noConversion"/>
  </si>
  <si>
    <t>分配股利、利润或偿付利息支付的现金</t>
    <phoneticPr fontId="32" type="noConversion"/>
  </si>
  <si>
    <t>项目</t>
    <phoneticPr fontId="32" type="noConversion"/>
  </si>
  <si>
    <t>金额</t>
    <phoneticPr fontId="32" type="noConversion"/>
  </si>
  <si>
    <t>销售商品收到的现金</t>
    <phoneticPr fontId="32" type="noConversion"/>
  </si>
  <si>
    <t>主营业务收入</t>
    <phoneticPr fontId="32" type="noConversion"/>
  </si>
  <si>
    <t>购买商品、接受劳务支付的现金</t>
    <phoneticPr fontId="32" type="noConversion"/>
  </si>
  <si>
    <t>主营业务成本</t>
    <phoneticPr fontId="32" type="noConversion"/>
  </si>
  <si>
    <t>财务费用</t>
    <phoneticPr fontId="32" type="noConversion"/>
  </si>
  <si>
    <t>经营性现金净流量</t>
    <phoneticPr fontId="32" type="noConversion"/>
  </si>
  <si>
    <t>净利润</t>
    <phoneticPr fontId="32" type="noConversion"/>
  </si>
  <si>
    <t>盈利现金比</t>
    <phoneticPr fontId="32" type="noConversion"/>
  </si>
  <si>
    <t>科目</t>
  </si>
  <si>
    <t>净资产</t>
  </si>
  <si>
    <t>资产负债率</t>
  </si>
  <si>
    <t>经营性现金净流量</t>
  </si>
  <si>
    <t>筹资性现金净流量</t>
  </si>
  <si>
    <t>筹资性现金流净流量</t>
    <phoneticPr fontId="4" type="noConversion"/>
  </si>
  <si>
    <t>金额</t>
    <phoneticPr fontId="34" type="noConversion"/>
  </si>
  <si>
    <t>占比</t>
    <phoneticPr fontId="34" type="noConversion"/>
  </si>
  <si>
    <t>项目</t>
    <phoneticPr fontId="34" type="noConversion"/>
  </si>
  <si>
    <t>单位：万元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</si>
</sst>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_(* #,##0.00_);_(* \(#,##0.00\);_(* &quot;-&quot;??_);_(@_)"/>
    <numFmt numFmtId="177" formatCode="_ * #,##0_ ;_ * \-#,##0_ ;_ * &quot;-&quot;??_ ;_ @_ "/>
    <numFmt numFmtId="178" formatCode="0.00_ "/>
    <numFmt numFmtId="179" formatCode="#,##0.00_ "/>
    <numFmt numFmtId="180" formatCode="#,##0.00_);[Red]\(#,##0.00\)"/>
    <numFmt numFmtId="181" formatCode="_(* #,##0_);_(* \(#,##0\);_(* &quot;-&quot;??_);_(@_)"/>
    <numFmt numFmtId="182" formatCode="###,##0.00_ "/>
  </numFmts>
  <fonts count="53">
    <font>
      <sz val="10"/>
      <name val="Arial"/>
      <family val="2"/>
    </font>
    <font>
      <sz val="10"/>
      <name val="Arial"/>
      <family val="2"/>
    </font>
    <font>
      <sz val="9"/>
      <color indexed="8"/>
      <name val="Dialog.plain"/>
      <family val="1"/>
    </font>
    <font>
      <b/>
      <sz val="9"/>
      <color indexed="8"/>
      <name val="Dialog.plai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0.5"/>
      <name val="仿宋_GB2312"/>
      <family val="3"/>
      <charset val="134"/>
    </font>
    <font>
      <b/>
      <sz val="10"/>
      <name val="仿宋"/>
      <family val="3"/>
      <charset val="134"/>
    </font>
    <font>
      <sz val="10"/>
      <color indexed="8"/>
      <name val="仿宋"/>
      <family val="3"/>
      <charset val="134"/>
    </font>
    <font>
      <sz val="10.5"/>
      <color indexed="8"/>
      <name val="仿宋_GB2312"/>
      <family val="3"/>
      <charset val="134"/>
    </font>
    <font>
      <sz val="10.5"/>
      <name val="仿宋_GB2312"/>
      <family val="3"/>
      <charset val="134"/>
    </font>
    <font>
      <b/>
      <sz val="10"/>
      <name val="Arial"/>
      <family val="2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仿宋_GB2312"/>
      <family val="3"/>
      <charset val="134"/>
    </font>
    <font>
      <sz val="11"/>
      <color theme="1"/>
      <name val="仿宋_GB2312"/>
      <family val="3"/>
      <charset val="134"/>
    </font>
    <font>
      <sz val="11"/>
      <color theme="1"/>
      <name val="Times New Roman"/>
      <family val="1"/>
    </font>
    <font>
      <sz val="10"/>
      <name val="仿宋_GB2312"/>
      <family val="3"/>
      <charset val="134"/>
    </font>
    <font>
      <sz val="10"/>
      <name val="Times New Roman"/>
      <family val="1"/>
    </font>
    <font>
      <b/>
      <sz val="12"/>
      <color theme="1"/>
      <name val="仿宋_GB2312"/>
      <family val="3"/>
      <charset val="134"/>
    </font>
    <font>
      <sz val="12"/>
      <name val="仿宋_GB2312"/>
      <family val="3"/>
      <charset val="134"/>
    </font>
    <font>
      <sz val="12"/>
      <name val="Times New Roman"/>
      <family val="1"/>
    </font>
    <font>
      <b/>
      <sz val="10"/>
      <name val="仿宋_GB2312"/>
      <family val="3"/>
      <charset val="134"/>
    </font>
    <font>
      <b/>
      <sz val="10"/>
      <name val="Times New Roman"/>
      <family val="1"/>
    </font>
    <font>
      <b/>
      <sz val="12"/>
      <name val="仿宋_GB2312"/>
      <family val="3"/>
      <charset val="13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9"/>
      <color indexed="8"/>
      <name val="仿宋_GB2312"/>
      <family val="3"/>
      <charset val="134"/>
    </font>
    <font>
      <b/>
      <sz val="9"/>
      <color indexed="8"/>
      <name val="仿宋_GB2312"/>
      <family val="3"/>
      <charset val="134"/>
    </font>
    <font>
      <sz val="10"/>
      <color rgb="FFFF0000"/>
      <name val="宋体"/>
      <family val="3"/>
      <charset val="134"/>
    </font>
    <font>
      <sz val="12"/>
      <color rgb="FFFF0000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96">
    <xf numFmtId="0" fontId="0" fillId="0" borderId="0" xfId="0"/>
    <xf numFmtId="0" fontId="2" fillId="9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4" fontId="2" fillId="10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vertical="center"/>
    </xf>
    <xf numFmtId="10" fontId="25" fillId="0" borderId="10" xfId="1" applyNumberFormat="1" applyFont="1" applyFill="1" applyBorder="1" applyAlignment="1">
      <alignment horizontal="center" wrapText="1"/>
    </xf>
    <xf numFmtId="0" fontId="21" fillId="0" borderId="10" xfId="8" applyFont="1" applyBorder="1" applyAlignment="1">
      <alignment horizontal="center" wrapText="1"/>
    </xf>
    <xf numFmtId="0" fontId="5" fillId="0" borderId="0" xfId="8">
      <alignment vertical="center"/>
    </xf>
    <xf numFmtId="3" fontId="23" fillId="0" borderId="10" xfId="8" applyNumberFormat="1" applyFont="1" applyBorder="1" applyAlignment="1">
      <alignment horizontal="center" wrapText="1"/>
    </xf>
    <xf numFmtId="0" fontId="24" fillId="0" borderId="0" xfId="8" applyFont="1" applyBorder="1" applyAlignment="1">
      <alignment horizontal="center" wrapText="1"/>
    </xf>
    <xf numFmtId="0" fontId="5" fillId="0" borderId="0" xfId="8" applyBorder="1">
      <alignment vertical="center"/>
    </xf>
    <xf numFmtId="178" fontId="25" fillId="0" borderId="10" xfId="8" applyNumberFormat="1" applyFont="1" applyBorder="1" applyAlignment="1">
      <alignment horizontal="center" wrapText="1"/>
    </xf>
    <xf numFmtId="10" fontId="25" fillId="0" borderId="10" xfId="1" applyNumberFormat="1" applyFont="1" applyBorder="1" applyAlignment="1">
      <alignment horizontal="center" wrapText="1"/>
    </xf>
    <xf numFmtId="10" fontId="25" fillId="0" borderId="10" xfId="8" applyNumberFormat="1" applyFont="1" applyBorder="1" applyAlignment="1">
      <alignment horizontal="center" wrapText="1"/>
    </xf>
    <xf numFmtId="10" fontId="25" fillId="0" borderId="10" xfId="8" applyNumberFormat="1" applyFont="1" applyFill="1" applyBorder="1" applyAlignment="1">
      <alignment horizontal="center" wrapText="1"/>
    </xf>
    <xf numFmtId="0" fontId="5" fillId="0" borderId="0" xfId="8" applyFont="1" applyAlignment="1">
      <alignment horizontal="center" vertical="center"/>
    </xf>
    <xf numFmtId="0" fontId="5" fillId="0" borderId="0" xfId="8" applyFill="1" applyAlignment="1">
      <alignment horizontal="center" vertical="center"/>
    </xf>
    <xf numFmtId="0" fontId="5" fillId="0" borderId="0" xfId="8" applyAlignment="1">
      <alignment horizontal="center" vertical="center"/>
    </xf>
    <xf numFmtId="4" fontId="2" fillId="0" borderId="0" xfId="0" applyNumberFormat="1" applyFont="1" applyAlignment="1" applyProtection="1">
      <alignment horizontal="right" vertical="center"/>
      <protection locked="0"/>
    </xf>
    <xf numFmtId="4" fontId="2" fillId="0" borderId="0" xfId="0" applyNumberFormat="1" applyFont="1" applyAlignment="1" applyProtection="1">
      <alignment horizontal="right" vertical="center"/>
    </xf>
    <xf numFmtId="0" fontId="26" fillId="0" borderId="0" xfId="0" applyFont="1"/>
    <xf numFmtId="14" fontId="22" fillId="11" borderId="10" xfId="8" applyNumberFormat="1" applyFont="1" applyFill="1" applyBorder="1" applyAlignment="1">
      <alignment horizontal="center" wrapText="1"/>
    </xf>
    <xf numFmtId="14" fontId="22" fillId="11" borderId="10" xfId="8" applyNumberFormat="1" applyFont="1" applyFill="1" applyBorder="1" applyAlignment="1">
      <alignment horizontal="center"/>
    </xf>
    <xf numFmtId="180" fontId="2" fillId="9" borderId="0" xfId="0" applyNumberFormat="1" applyFont="1" applyFill="1" applyAlignment="1" applyProtection="1">
      <alignment horizontal="center" vertical="center"/>
    </xf>
    <xf numFmtId="180" fontId="2" fillId="0" borderId="0" xfId="0" applyNumberFormat="1" applyFont="1" applyAlignment="1" applyProtection="1">
      <alignment horizontal="right" vertical="center"/>
      <protection locked="0"/>
    </xf>
    <xf numFmtId="180" fontId="0" fillId="0" borderId="0" xfId="0" applyNumberFormat="1"/>
    <xf numFmtId="0" fontId="27" fillId="0" borderId="0" xfId="0" applyFont="1" applyAlignment="1" applyProtection="1">
      <alignment horizontal="left" vertical="center"/>
    </xf>
    <xf numFmtId="4" fontId="3" fillId="12" borderId="0" xfId="0" applyNumberFormat="1" applyFont="1" applyFill="1" applyAlignment="1" applyProtection="1">
      <alignment horizontal="right" vertical="center"/>
      <protection locked="0"/>
    </xf>
    <xf numFmtId="4" fontId="2" fillId="12" borderId="0" xfId="0" applyNumberFormat="1" applyFont="1" applyFill="1" applyAlignment="1" applyProtection="1">
      <alignment horizontal="right" vertical="center"/>
      <protection locked="0"/>
    </xf>
    <xf numFmtId="4" fontId="2" fillId="13" borderId="0" xfId="0" applyNumberFormat="1" applyFont="1" applyFill="1" applyAlignment="1" applyProtection="1">
      <alignment horizontal="right" vertical="center"/>
      <protection locked="0"/>
    </xf>
    <xf numFmtId="180" fontId="2" fillId="13" borderId="0" xfId="0" applyNumberFormat="1" applyFont="1" applyFill="1" applyAlignment="1" applyProtection="1">
      <alignment horizontal="right" vertical="center"/>
      <protection locked="0"/>
    </xf>
    <xf numFmtId="0" fontId="28" fillId="0" borderId="0" xfId="0" applyFont="1" applyAlignment="1" applyProtection="1">
      <alignment horizontal="left" vertical="center"/>
    </xf>
    <xf numFmtId="0" fontId="29" fillId="0" borderId="0" xfId="0" applyFont="1"/>
    <xf numFmtId="0" fontId="30" fillId="0" borderId="0" xfId="0" applyFont="1"/>
    <xf numFmtId="179" fontId="0" fillId="0" borderId="0" xfId="0" applyNumberFormat="1"/>
    <xf numFmtId="0" fontId="35" fillId="0" borderId="0" xfId="0" applyFont="1" applyBorder="1" applyAlignment="1">
      <alignment horizontal="center"/>
    </xf>
    <xf numFmtId="57" fontId="0" fillId="0" borderId="0" xfId="0" applyNumberFormat="1" applyBorder="1"/>
    <xf numFmtId="176" fontId="33" fillId="13" borderId="0" xfId="16" applyFont="1" applyFill="1" applyBorder="1" applyAlignment="1"/>
    <xf numFmtId="0" fontId="0" fillId="0" borderId="0" xfId="0" applyBorder="1" applyAlignment="1">
      <alignment horizontal="center"/>
    </xf>
    <xf numFmtId="176" fontId="0" fillId="0" borderId="0" xfId="16" applyFont="1" applyBorder="1" applyAlignment="1"/>
    <xf numFmtId="57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57" fontId="36" fillId="15" borderId="10" xfId="0" applyNumberFormat="1" applyFont="1" applyFill="1" applyBorder="1" applyAlignment="1">
      <alignment horizontal="center"/>
    </xf>
    <xf numFmtId="0" fontId="36" fillId="15" borderId="1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37" fillId="0" borderId="10" xfId="0" applyFont="1" applyBorder="1" applyAlignment="1">
      <alignment horizontal="center" wrapText="1"/>
    </xf>
    <xf numFmtId="177" fontId="38" fillId="0" borderId="10" xfId="16" applyNumberFormat="1" applyFont="1" applyBorder="1" applyAlignment="1">
      <alignment horizontal="center"/>
    </xf>
    <xf numFmtId="0" fontId="37" fillId="0" borderId="10" xfId="0" applyFont="1" applyFill="1" applyBorder="1" applyAlignment="1">
      <alignment horizontal="center" wrapText="1"/>
    </xf>
    <xf numFmtId="43" fontId="38" fillId="0" borderId="10" xfId="16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9" fontId="26" fillId="0" borderId="0" xfId="0" applyNumberFormat="1" applyFont="1"/>
    <xf numFmtId="182" fontId="0" fillId="0" borderId="0" xfId="0" applyNumberFormat="1" applyAlignment="1">
      <alignment vertical="center"/>
    </xf>
    <xf numFmtId="0" fontId="21" fillId="17" borderId="10" xfId="8" applyFont="1" applyFill="1" applyBorder="1" applyAlignment="1">
      <alignment horizontal="center" wrapText="1"/>
    </xf>
    <xf numFmtId="0" fontId="41" fillId="17" borderId="10" xfId="0" applyFont="1" applyFill="1" applyBorder="1" applyAlignment="1">
      <alignment horizontal="center" vertical="center"/>
    </xf>
    <xf numFmtId="57" fontId="42" fillId="17" borderId="10" xfId="0" applyNumberFormat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177" fontId="43" fillId="0" borderId="10" xfId="16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14" fontId="47" fillId="0" borderId="12" xfId="0" applyNumberFormat="1" applyFont="1" applyBorder="1" applyAlignment="1">
      <alignment horizontal="center" vertical="center" wrapText="1"/>
    </xf>
    <xf numFmtId="0" fontId="42" fillId="0" borderId="13" xfId="0" applyFont="1" applyBorder="1" applyAlignment="1">
      <alignment horizontal="center" vertical="center" wrapText="1"/>
    </xf>
    <xf numFmtId="3" fontId="48" fillId="0" borderId="14" xfId="0" applyNumberFormat="1" applyFont="1" applyBorder="1" applyAlignment="1">
      <alignment horizontal="center" vertical="center" wrapText="1"/>
    </xf>
    <xf numFmtId="10" fontId="43" fillId="0" borderId="14" xfId="0" applyNumberFormat="1" applyFont="1" applyBorder="1" applyAlignment="1">
      <alignment horizontal="center" vertical="center" wrapText="1"/>
    </xf>
    <xf numFmtId="0" fontId="49" fillId="0" borderId="10" xfId="0" applyFont="1" applyBorder="1" applyAlignment="1" applyProtection="1">
      <alignment horizontal="center" vertical="center"/>
    </xf>
    <xf numFmtId="0" fontId="50" fillId="0" borderId="10" xfId="0" applyFont="1" applyBorder="1" applyAlignment="1" applyProtection="1">
      <alignment horizontal="center" vertical="center"/>
    </xf>
    <xf numFmtId="0" fontId="50" fillId="0" borderId="0" xfId="0" applyFont="1" applyBorder="1" applyAlignment="1" applyProtection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10" fontId="40" fillId="0" borderId="10" xfId="1" applyNumberFormat="1" applyFont="1" applyBorder="1" applyAlignment="1">
      <alignment horizontal="center" vertical="center"/>
    </xf>
    <xf numFmtId="181" fontId="40" fillId="0" borderId="10" xfId="16" applyNumberFormat="1" applyFont="1" applyBorder="1" applyAlignment="1">
      <alignment horizontal="center" vertical="center"/>
    </xf>
    <xf numFmtId="3" fontId="45" fillId="0" borderId="10" xfId="0" applyNumberFormat="1" applyFont="1" applyBorder="1" applyAlignment="1">
      <alignment horizontal="center" vertical="center"/>
    </xf>
    <xf numFmtId="10" fontId="45" fillId="0" borderId="10" xfId="1" applyNumberFormat="1" applyFont="1" applyBorder="1" applyAlignment="1">
      <alignment horizontal="center" vertical="center"/>
    </xf>
    <xf numFmtId="181" fontId="45" fillId="0" borderId="10" xfId="16" applyNumberFormat="1" applyFon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16" borderId="0" xfId="8" applyFont="1" applyFill="1">
      <alignment vertical="center"/>
    </xf>
    <xf numFmtId="0" fontId="21" fillId="0" borderId="15" xfId="8" applyFont="1" applyBorder="1" applyAlignment="1">
      <alignment horizontal="center" wrapText="1"/>
    </xf>
    <xf numFmtId="0" fontId="21" fillId="0" borderId="16" xfId="8" applyFont="1" applyBorder="1" applyAlignment="1">
      <alignment horizontal="center" wrapText="1"/>
    </xf>
    <xf numFmtId="0" fontId="21" fillId="0" borderId="17" xfId="8" applyFont="1" applyBorder="1" applyAlignment="1">
      <alignment horizontal="center"/>
    </xf>
    <xf numFmtId="0" fontId="21" fillId="0" borderId="18" xfId="8" applyFont="1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36" fillId="15" borderId="10" xfId="0" applyFont="1" applyFill="1" applyBorder="1" applyAlignment="1">
      <alignment horizontal="center" vertical="center" wrapText="1"/>
    </xf>
    <xf numFmtId="0" fontId="50" fillId="0" borderId="10" xfId="0" applyFont="1" applyBorder="1" applyAlignment="1" applyProtection="1">
      <alignment horizontal="center" vertical="center"/>
    </xf>
    <xf numFmtId="14" fontId="40" fillId="0" borderId="10" xfId="0" applyNumberFormat="1" applyFont="1" applyBorder="1" applyAlignment="1">
      <alignment horizontal="center" vertical="center"/>
    </xf>
    <xf numFmtId="0" fontId="40" fillId="0" borderId="10" xfId="0" applyNumberFormat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14" fontId="40" fillId="0" borderId="15" xfId="0" applyNumberFormat="1" applyFont="1" applyBorder="1" applyAlignment="1">
      <alignment horizontal="center" vertical="center"/>
    </xf>
    <xf numFmtId="14" fontId="40" fillId="0" borderId="19" xfId="0" applyNumberFormat="1" applyFont="1" applyBorder="1" applyAlignment="1">
      <alignment horizontal="center" vertical="center"/>
    </xf>
  </cellXfs>
  <cellStyles count="21"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7" builtinId="27" customBuiltin="1"/>
    <cellStyle name="常规" xfId="0" builtinId="0"/>
    <cellStyle name="常规_可行报告财务计算表-yingkougang" xfId="8" xr:uid="{00000000-0005-0000-0000-000008000000}"/>
    <cellStyle name="好" xfId="9" builtinId="26" customBuiltin="1"/>
    <cellStyle name="汇总" xfId="10" builtinId="25" customBuiltin="1"/>
    <cellStyle name="计算" xfId="11" builtinId="22" customBuiltin="1"/>
    <cellStyle name="检查单元格" xfId="12" builtinId="23" customBuiltin="1"/>
    <cellStyle name="解释性文本" xfId="13" builtinId="53" customBuiltin="1"/>
    <cellStyle name="警告文本" xfId="14" builtinId="11" customBuiltin="1"/>
    <cellStyle name="链接单元格" xfId="15" builtinId="24" customBuiltin="1"/>
    <cellStyle name="千位分隔" xfId="16" builtinId="3"/>
    <cellStyle name="适中" xfId="17" builtinId="28" customBuiltin="1"/>
    <cellStyle name="输出" xfId="18" builtinId="21" customBuiltin="1"/>
    <cellStyle name="输入" xfId="19" builtinId="20" customBuiltin="1"/>
    <cellStyle name="注释" xfId="20" builtinId="10" customBuiltin="1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</sheetPr>
  <dimension ref="A1:E69"/>
  <sheetViews>
    <sheetView zoomScale="115" workbookViewId="0">
      <pane xSplit="1" ySplit="1" topLeftCell="B2" activePane="bottomRight" state="frozen"/>
      <selection activeCell="B78" sqref="B78"/>
      <selection pane="topRight" activeCell="B78" sqref="B78"/>
      <selection pane="bottomLeft" activeCell="B78" sqref="B78"/>
      <selection pane="bottomRight" activeCell="C4" sqref="C4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</cols>
  <sheetData>
    <row r="1" spans="1:5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.1" customHeight="1">
      <c r="A2" s="2" t="s">
        <v>4</v>
      </c>
      <c r="B2" s="2" t="s">
        <v>5</v>
      </c>
      <c r="C2" s="3"/>
      <c r="D2" s="3"/>
      <c r="E2" s="32"/>
    </row>
    <row r="3" spans="1:5" ht="14.1" customHeight="1">
      <c r="A3" s="2" t="s">
        <v>6</v>
      </c>
      <c r="B3" s="2" t="s">
        <v>7</v>
      </c>
      <c r="C3" s="3"/>
      <c r="D3" s="3"/>
      <c r="E3" s="32"/>
    </row>
    <row r="4" spans="1:5" ht="14.1" customHeight="1">
      <c r="A4" s="2" t="s">
        <v>8</v>
      </c>
      <c r="B4" s="2" t="s">
        <v>9</v>
      </c>
      <c r="C4" s="3"/>
      <c r="D4" s="3"/>
      <c r="E4" s="32"/>
    </row>
    <row r="5" spans="1:5" ht="14.1" customHeight="1">
      <c r="A5" s="2" t="s">
        <v>10</v>
      </c>
      <c r="B5" s="2" t="s">
        <v>11</v>
      </c>
      <c r="C5" s="3"/>
      <c r="D5" s="3"/>
      <c r="E5" s="32"/>
    </row>
    <row r="6" spans="1:5" ht="14.1" customHeight="1">
      <c r="A6" s="2" t="s">
        <v>12</v>
      </c>
      <c r="B6" s="2" t="s">
        <v>13</v>
      </c>
      <c r="C6" s="3"/>
      <c r="D6" s="3"/>
      <c r="E6" s="32"/>
    </row>
    <row r="7" spans="1:5" ht="14.1" customHeight="1">
      <c r="A7" s="2" t="s">
        <v>14</v>
      </c>
      <c r="B7" s="2" t="s">
        <v>15</v>
      </c>
      <c r="C7" s="3"/>
      <c r="D7" s="3"/>
      <c r="E7" s="32"/>
    </row>
    <row r="8" spans="1:5" ht="14.1" customHeight="1">
      <c r="A8" s="2" t="s">
        <v>16</v>
      </c>
      <c r="B8" s="2" t="s">
        <v>17</v>
      </c>
      <c r="C8" s="3"/>
      <c r="D8" s="3"/>
      <c r="E8" s="32"/>
    </row>
    <row r="9" spans="1:5" ht="14.1" customHeight="1">
      <c r="A9" s="2" t="s">
        <v>18</v>
      </c>
      <c r="B9" s="2" t="s">
        <v>19</v>
      </c>
      <c r="C9" s="3"/>
      <c r="D9" s="3"/>
      <c r="E9" s="32"/>
    </row>
    <row r="10" spans="1:5" ht="14.1" customHeight="1">
      <c r="A10" s="2" t="s">
        <v>20</v>
      </c>
      <c r="B10" s="2" t="s">
        <v>21</v>
      </c>
      <c r="C10" s="3"/>
      <c r="D10" s="3"/>
      <c r="E10" s="32"/>
    </row>
    <row r="11" spans="1:5" ht="14.1" customHeight="1">
      <c r="A11" s="2" t="s">
        <v>22</v>
      </c>
      <c r="B11" s="2" t="s">
        <v>23</v>
      </c>
      <c r="C11" s="3"/>
      <c r="D11" s="3"/>
      <c r="E11" s="32"/>
    </row>
    <row r="12" spans="1:5" ht="14.1" customHeight="1">
      <c r="A12" s="2" t="s">
        <v>24</v>
      </c>
      <c r="B12" s="2" t="s">
        <v>25</v>
      </c>
      <c r="C12" s="3"/>
      <c r="D12" s="3"/>
      <c r="E12" s="32"/>
    </row>
    <row r="13" spans="1:5" s="20" customFormat="1" ht="14.1" customHeight="1">
      <c r="A13" s="4" t="s">
        <v>26</v>
      </c>
      <c r="B13" s="4" t="s">
        <v>27</v>
      </c>
      <c r="C13" s="27">
        <f>SUM(C2:C12)</f>
        <v>0</v>
      </c>
      <c r="D13" s="27">
        <f>SUM(D2:D12)</f>
        <v>0</v>
      </c>
      <c r="E13" s="33"/>
    </row>
    <row r="14" spans="1:5" ht="14.1" customHeight="1">
      <c r="A14" s="2" t="s">
        <v>28</v>
      </c>
      <c r="B14" s="2" t="s">
        <v>29</v>
      </c>
      <c r="C14" s="3"/>
      <c r="D14" s="3"/>
      <c r="E14" s="32"/>
    </row>
    <row r="15" spans="1:5" ht="14.1" customHeight="1">
      <c r="A15" s="2" t="s">
        <v>30</v>
      </c>
      <c r="B15" s="2" t="s">
        <v>31</v>
      </c>
      <c r="C15" s="3"/>
      <c r="D15" s="3"/>
      <c r="E15" s="32"/>
    </row>
    <row r="16" spans="1:5" ht="14.1" customHeight="1">
      <c r="A16" s="2" t="s">
        <v>32</v>
      </c>
      <c r="B16" s="2" t="s">
        <v>33</v>
      </c>
      <c r="C16" s="3"/>
      <c r="D16" s="3"/>
      <c r="E16" s="32"/>
    </row>
    <row r="17" spans="1:5" ht="14.1" customHeight="1">
      <c r="A17" s="2" t="s">
        <v>34</v>
      </c>
      <c r="B17" s="2" t="s">
        <v>35</v>
      </c>
      <c r="C17" s="3"/>
      <c r="D17" s="3"/>
      <c r="E17" s="32"/>
    </row>
    <row r="18" spans="1:5" ht="14.1" customHeight="1">
      <c r="A18" s="2" t="s">
        <v>36</v>
      </c>
      <c r="B18" s="2" t="s">
        <v>37</v>
      </c>
      <c r="C18" s="3"/>
      <c r="D18" s="3"/>
      <c r="E18" s="32"/>
    </row>
    <row r="19" spans="1:5" ht="14.1" customHeight="1">
      <c r="A19" s="2" t="s">
        <v>38</v>
      </c>
      <c r="B19" s="2" t="s">
        <v>39</v>
      </c>
      <c r="C19" s="3"/>
      <c r="D19" s="3"/>
      <c r="E19" s="32"/>
    </row>
    <row r="20" spans="1:5" ht="14.1" customHeight="1">
      <c r="A20" s="2" t="s">
        <v>40</v>
      </c>
      <c r="B20" s="2" t="s">
        <v>41</v>
      </c>
      <c r="C20" s="3"/>
      <c r="D20" s="3"/>
      <c r="E20" s="32"/>
    </row>
    <row r="21" spans="1:5" ht="14.1" customHeight="1">
      <c r="A21" s="2" t="s">
        <v>42</v>
      </c>
      <c r="B21" s="2" t="s">
        <v>43</v>
      </c>
      <c r="C21" s="3"/>
      <c r="D21" s="3"/>
      <c r="E21" s="32"/>
    </row>
    <row r="22" spans="1:5" ht="14.1" customHeight="1">
      <c r="A22" s="2" t="s">
        <v>44</v>
      </c>
      <c r="B22" s="2" t="s">
        <v>45</v>
      </c>
      <c r="C22" s="28">
        <f>C19-C20-C21</f>
        <v>0</v>
      </c>
      <c r="D22" s="28">
        <f>D19-D20-D21</f>
        <v>0</v>
      </c>
      <c r="E22" s="32"/>
    </row>
    <row r="23" spans="1:5" ht="14.1" customHeight="1">
      <c r="A23" s="2" t="s">
        <v>46</v>
      </c>
      <c r="B23" s="2" t="s">
        <v>47</v>
      </c>
      <c r="C23" s="3"/>
      <c r="D23" s="3"/>
      <c r="E23" s="32"/>
    </row>
    <row r="24" spans="1:5" ht="14.1" customHeight="1">
      <c r="A24" s="2" t="s">
        <v>48</v>
      </c>
      <c r="B24" s="2" t="s">
        <v>49</v>
      </c>
      <c r="C24" s="3"/>
      <c r="D24" s="3"/>
      <c r="E24" s="32"/>
    </row>
    <row r="25" spans="1:5" ht="14.1" customHeight="1">
      <c r="A25" s="2" t="s">
        <v>50</v>
      </c>
      <c r="B25" s="2" t="s">
        <v>51</v>
      </c>
      <c r="C25" s="3"/>
      <c r="D25" s="3"/>
      <c r="E25" s="32"/>
    </row>
    <row r="26" spans="1:5" ht="14.1" customHeight="1">
      <c r="A26" s="2" t="s">
        <v>52</v>
      </c>
      <c r="B26" s="2" t="s">
        <v>53</v>
      </c>
      <c r="C26" s="3"/>
      <c r="D26" s="3"/>
      <c r="E26" s="32"/>
    </row>
    <row r="27" spans="1:5" ht="14.1" customHeight="1">
      <c r="A27" s="2" t="s">
        <v>54</v>
      </c>
      <c r="B27" s="2" t="s">
        <v>55</v>
      </c>
      <c r="C27" s="3"/>
      <c r="D27" s="3"/>
      <c r="E27" s="32"/>
    </row>
    <row r="28" spans="1:5" ht="14.1" customHeight="1">
      <c r="A28" s="2" t="s">
        <v>56</v>
      </c>
      <c r="B28" s="2" t="s">
        <v>57</v>
      </c>
      <c r="C28" s="3"/>
      <c r="D28" s="3"/>
      <c r="E28" s="32"/>
    </row>
    <row r="29" spans="1:5" ht="14.1" customHeight="1">
      <c r="A29" s="2" t="s">
        <v>58</v>
      </c>
      <c r="B29" s="2" t="s">
        <v>59</v>
      </c>
      <c r="C29" s="3"/>
      <c r="D29" s="3"/>
      <c r="E29" s="32"/>
    </row>
    <row r="30" spans="1:5" ht="14.1" customHeight="1">
      <c r="A30" s="2" t="s">
        <v>60</v>
      </c>
      <c r="B30" s="2" t="s">
        <v>61</v>
      </c>
      <c r="C30" s="3"/>
      <c r="D30" s="3"/>
      <c r="E30" s="32"/>
    </row>
    <row r="31" spans="1:5" ht="14.1" customHeight="1">
      <c r="A31" s="2" t="s">
        <v>62</v>
      </c>
      <c r="B31" s="2" t="s">
        <v>63</v>
      </c>
      <c r="C31" s="3"/>
      <c r="D31" s="3"/>
      <c r="E31" s="32"/>
    </row>
    <row r="32" spans="1:5" ht="14.1" customHeight="1">
      <c r="A32" s="2" t="s">
        <v>64</v>
      </c>
      <c r="B32" s="2" t="s">
        <v>65</v>
      </c>
      <c r="C32" s="3"/>
      <c r="D32" s="3"/>
      <c r="E32" s="32"/>
    </row>
    <row r="33" spans="1:5" ht="14.1" customHeight="1">
      <c r="A33" s="2" t="s">
        <v>66</v>
      </c>
      <c r="B33" s="2" t="s">
        <v>67</v>
      </c>
      <c r="C33" s="3"/>
      <c r="D33" s="3"/>
      <c r="E33" s="32"/>
    </row>
    <row r="34" spans="1:5" s="20" customFormat="1" ht="14.1" customHeight="1">
      <c r="A34" s="4" t="s">
        <v>68</v>
      </c>
      <c r="B34" s="4" t="s">
        <v>69</v>
      </c>
      <c r="C34" s="27">
        <f>SUM(C14:C33)-C19-C20-C21</f>
        <v>0</v>
      </c>
      <c r="D34" s="27">
        <f>SUM(D14:D33)-D19-D20-D21</f>
        <v>0</v>
      </c>
      <c r="E34" s="33"/>
    </row>
    <row r="35" spans="1:5" s="20" customFormat="1" ht="14.1" customHeight="1">
      <c r="A35" s="4" t="s">
        <v>70</v>
      </c>
      <c r="B35" s="4" t="s">
        <v>71</v>
      </c>
      <c r="C35" s="27">
        <f>C34+C13</f>
        <v>0</v>
      </c>
      <c r="D35" s="27">
        <f>D34+D13</f>
        <v>0</v>
      </c>
      <c r="E35" s="33"/>
    </row>
    <row r="36" spans="1:5" ht="14.1" customHeight="1">
      <c r="A36" s="2" t="s">
        <v>72</v>
      </c>
      <c r="B36" s="2" t="s">
        <v>73</v>
      </c>
      <c r="C36" s="3"/>
      <c r="D36" s="3"/>
      <c r="E36" s="32"/>
    </row>
    <row r="37" spans="1:5" ht="14.1" customHeight="1">
      <c r="A37" s="2" t="s">
        <v>74</v>
      </c>
      <c r="B37" s="2" t="s">
        <v>75</v>
      </c>
      <c r="C37" s="3"/>
      <c r="D37" s="3"/>
      <c r="E37" s="32"/>
    </row>
    <row r="38" spans="1:5" ht="14.1" customHeight="1">
      <c r="A38" s="2" t="s">
        <v>76</v>
      </c>
      <c r="B38" s="2" t="s">
        <v>77</v>
      </c>
      <c r="C38" s="3"/>
      <c r="D38" s="3"/>
      <c r="E38" s="32"/>
    </row>
    <row r="39" spans="1:5" ht="14.1" customHeight="1">
      <c r="A39" s="2" t="s">
        <v>78</v>
      </c>
      <c r="B39" s="2" t="s">
        <v>79</v>
      </c>
      <c r="C39" s="3"/>
      <c r="D39" s="3"/>
      <c r="E39" s="32"/>
    </row>
    <row r="40" spans="1:5" ht="14.1" customHeight="1">
      <c r="A40" s="2" t="s">
        <v>80</v>
      </c>
      <c r="B40" s="2" t="s">
        <v>81</v>
      </c>
      <c r="C40" s="3"/>
      <c r="D40" s="3"/>
      <c r="E40" s="32"/>
    </row>
    <row r="41" spans="1:5" ht="14.1" customHeight="1">
      <c r="A41" s="2" t="s">
        <v>82</v>
      </c>
      <c r="B41" s="2" t="s">
        <v>83</v>
      </c>
      <c r="C41" s="3"/>
      <c r="D41" s="3"/>
      <c r="E41" s="32"/>
    </row>
    <row r="42" spans="1:5" ht="14.1" customHeight="1">
      <c r="A42" s="2" t="s">
        <v>84</v>
      </c>
      <c r="B42" s="2" t="s">
        <v>85</v>
      </c>
      <c r="C42" s="3"/>
      <c r="D42" s="3"/>
      <c r="E42" s="32"/>
    </row>
    <row r="43" spans="1:5" ht="14.1" customHeight="1">
      <c r="A43" s="2" t="s">
        <v>86</v>
      </c>
      <c r="B43" s="2" t="s">
        <v>87</v>
      </c>
      <c r="C43" s="3"/>
      <c r="D43" s="3"/>
      <c r="E43" s="32"/>
    </row>
    <row r="44" spans="1:5" ht="14.1" customHeight="1">
      <c r="A44" s="2" t="s">
        <v>88</v>
      </c>
      <c r="B44" s="2" t="s">
        <v>89</v>
      </c>
      <c r="C44" s="3"/>
      <c r="D44" s="3"/>
      <c r="E44" s="32"/>
    </row>
    <row r="45" spans="1:5" ht="14.1" customHeight="1">
      <c r="A45" s="2" t="s">
        <v>90</v>
      </c>
      <c r="B45" s="2" t="s">
        <v>91</v>
      </c>
      <c r="C45" s="3"/>
      <c r="D45" s="3"/>
      <c r="E45" s="32"/>
    </row>
    <row r="46" spans="1:5" ht="14.1" customHeight="1">
      <c r="A46" s="2" t="s">
        <v>93</v>
      </c>
      <c r="B46" s="2" t="s">
        <v>94</v>
      </c>
      <c r="C46" s="3"/>
      <c r="D46" s="3"/>
      <c r="E46" s="32"/>
    </row>
    <row r="47" spans="1:5" ht="14.1" customHeight="1">
      <c r="A47" s="2" t="s">
        <v>95</v>
      </c>
      <c r="B47" s="2" t="s">
        <v>96</v>
      </c>
      <c r="C47" s="3"/>
      <c r="D47" s="3"/>
      <c r="E47" s="32"/>
    </row>
    <row r="48" spans="1:5" s="20" customFormat="1" ht="14.1" customHeight="1">
      <c r="A48" s="4" t="s">
        <v>97</v>
      </c>
      <c r="B48" s="4" t="s">
        <v>98</v>
      </c>
      <c r="C48" s="27">
        <f>SUM(C36:C47)</f>
        <v>0</v>
      </c>
      <c r="D48" s="27">
        <f>SUM(D36:D47)</f>
        <v>0</v>
      </c>
      <c r="E48" s="33"/>
    </row>
    <row r="49" spans="1:5" ht="14.1" customHeight="1">
      <c r="A49" s="2" t="s">
        <v>99</v>
      </c>
      <c r="B49" s="2" t="s">
        <v>100</v>
      </c>
      <c r="C49" s="3"/>
      <c r="D49" s="3"/>
      <c r="E49" s="32"/>
    </row>
    <row r="50" spans="1:5" ht="14.1" customHeight="1">
      <c r="A50" s="2" t="s">
        <v>101</v>
      </c>
      <c r="B50" s="2" t="s">
        <v>102</v>
      </c>
      <c r="C50" s="3"/>
      <c r="D50" s="3"/>
      <c r="E50" s="32"/>
    </row>
    <row r="51" spans="1:5" ht="14.1" customHeight="1">
      <c r="A51" s="2" t="s">
        <v>103</v>
      </c>
      <c r="B51" s="2" t="s">
        <v>104</v>
      </c>
      <c r="C51" s="3"/>
      <c r="D51" s="3"/>
      <c r="E51" s="32"/>
    </row>
    <row r="52" spans="1:5" ht="14.1" customHeight="1">
      <c r="A52" s="2" t="s">
        <v>105</v>
      </c>
      <c r="B52" s="2" t="s">
        <v>106</v>
      </c>
      <c r="C52" s="3"/>
      <c r="D52" s="3"/>
      <c r="E52" s="32"/>
    </row>
    <row r="53" spans="1:5" ht="14.1" customHeight="1">
      <c r="A53" s="2" t="s">
        <v>107</v>
      </c>
      <c r="B53" s="2" t="s">
        <v>92</v>
      </c>
      <c r="C53" s="3"/>
      <c r="D53" s="3"/>
      <c r="E53" s="32"/>
    </row>
    <row r="54" spans="1:5" ht="14.1" customHeight="1">
      <c r="A54" s="2" t="s">
        <v>108</v>
      </c>
      <c r="B54" s="2" t="s">
        <v>109</v>
      </c>
      <c r="C54" s="3"/>
      <c r="D54" s="3"/>
      <c r="E54" s="32"/>
    </row>
    <row r="55" spans="1:5" ht="14.1" customHeight="1">
      <c r="A55" s="2" t="s">
        <v>110</v>
      </c>
      <c r="B55" s="2" t="s">
        <v>111</v>
      </c>
      <c r="C55" s="3"/>
      <c r="D55" s="3"/>
      <c r="E55" s="32"/>
    </row>
    <row r="56" spans="1:5" s="20" customFormat="1" ht="14.1" customHeight="1">
      <c r="A56" s="4" t="s">
        <v>112</v>
      </c>
      <c r="B56" s="4" t="s">
        <v>113</v>
      </c>
      <c r="C56" s="27">
        <f>SUM(C49:C55)</f>
        <v>0</v>
      </c>
      <c r="D56" s="27">
        <f>SUM(D49:D55)</f>
        <v>0</v>
      </c>
      <c r="E56" s="33"/>
    </row>
    <row r="57" spans="1:5" s="20" customFormat="1" ht="14.1" customHeight="1">
      <c r="A57" s="4" t="s">
        <v>114</v>
      </c>
      <c r="B57" s="4" t="s">
        <v>115</v>
      </c>
      <c r="C57" s="27">
        <f>C48+C56</f>
        <v>0</v>
      </c>
      <c r="D57" s="27">
        <f>D48+D56</f>
        <v>0</v>
      </c>
      <c r="E57" s="33"/>
    </row>
    <row r="58" spans="1:5" ht="14.1" customHeight="1">
      <c r="A58" s="2" t="s">
        <v>116</v>
      </c>
      <c r="B58" s="2" t="s">
        <v>117</v>
      </c>
      <c r="C58" s="3"/>
      <c r="D58" s="3"/>
      <c r="E58" s="32"/>
    </row>
    <row r="59" spans="1:5" ht="14.1" customHeight="1">
      <c r="A59" s="2" t="s">
        <v>118</v>
      </c>
      <c r="B59" s="2" t="s">
        <v>119</v>
      </c>
      <c r="C59" s="3"/>
      <c r="D59" s="3"/>
      <c r="E59" s="32"/>
    </row>
    <row r="60" spans="1:5" ht="14.1" customHeight="1">
      <c r="A60" s="2" t="s">
        <v>120</v>
      </c>
      <c r="B60" s="2" t="s">
        <v>121</v>
      </c>
      <c r="C60" s="3"/>
      <c r="D60" s="3"/>
      <c r="E60" s="32"/>
    </row>
    <row r="61" spans="1:5" ht="14.1" customHeight="1">
      <c r="A61" s="2"/>
      <c r="B61" s="31" t="s">
        <v>341</v>
      </c>
      <c r="C61" s="3"/>
      <c r="D61" s="3"/>
      <c r="E61" s="32"/>
    </row>
    <row r="62" spans="1:5" ht="14.1" customHeight="1">
      <c r="A62" s="2" t="s">
        <v>122</v>
      </c>
      <c r="B62" s="2" t="s">
        <v>123</v>
      </c>
      <c r="C62" s="3"/>
      <c r="D62" s="3"/>
      <c r="E62" s="32"/>
    </row>
    <row r="63" spans="1:5" ht="14.1" customHeight="1">
      <c r="A63" s="2" t="s">
        <v>124</v>
      </c>
      <c r="B63" s="2" t="s">
        <v>125</v>
      </c>
      <c r="C63" s="3"/>
      <c r="D63" s="3"/>
      <c r="E63" s="32"/>
    </row>
    <row r="64" spans="1:5" ht="14.1" customHeight="1">
      <c r="A64" s="2" t="s">
        <v>126</v>
      </c>
      <c r="B64" s="2" t="s">
        <v>127</v>
      </c>
      <c r="C64" s="3"/>
      <c r="D64" s="3"/>
      <c r="E64" s="32"/>
    </row>
    <row r="65" spans="1:5" s="20" customFormat="1" ht="14.1" customHeight="1">
      <c r="A65" s="4" t="s">
        <v>128</v>
      </c>
      <c r="B65" s="4" t="s">
        <v>129</v>
      </c>
      <c r="C65" s="27">
        <f>SUM(C58:C64)</f>
        <v>0</v>
      </c>
      <c r="D65" s="27">
        <f>SUM(D58:D64)</f>
        <v>0</v>
      </c>
      <c r="E65" s="33"/>
    </row>
    <row r="66" spans="1:5" ht="14.1" customHeight="1">
      <c r="A66" s="2" t="s">
        <v>130</v>
      </c>
      <c r="B66" s="2" t="s">
        <v>135</v>
      </c>
      <c r="C66" s="3"/>
      <c r="D66" s="3"/>
      <c r="E66" s="32"/>
    </row>
    <row r="67" spans="1:5" s="20" customFormat="1" ht="14.1" customHeight="1">
      <c r="A67" s="4" t="s">
        <v>131</v>
      </c>
      <c r="B67" s="4" t="s">
        <v>132</v>
      </c>
      <c r="C67" s="27">
        <f>C65+C66</f>
        <v>0</v>
      </c>
      <c r="D67" s="27">
        <f>D65+D66</f>
        <v>0</v>
      </c>
      <c r="E67" s="33"/>
    </row>
    <row r="68" spans="1:5" s="20" customFormat="1" ht="14.1" customHeight="1">
      <c r="A68" s="4" t="s">
        <v>133</v>
      </c>
      <c r="B68" s="4" t="s">
        <v>134</v>
      </c>
      <c r="C68" s="27">
        <f>C67+C57</f>
        <v>0</v>
      </c>
      <c r="D68" s="27">
        <f>D67+D57</f>
        <v>0</v>
      </c>
      <c r="E68" s="33"/>
    </row>
    <row r="69" spans="1:5">
      <c r="C69" s="34">
        <f>C68-C35</f>
        <v>0</v>
      </c>
      <c r="D69" s="34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A1:D43"/>
  <sheetViews>
    <sheetView zoomScale="115" zoomScaleNormal="115" workbookViewId="0">
      <pane xSplit="1" ySplit="1" topLeftCell="B32" activePane="bottomRight" state="frozen"/>
      <selection activeCell="B78" sqref="B78"/>
      <selection pane="topRight" activeCell="B78" sqref="B78"/>
      <selection pane="bottomLeft" activeCell="B78" sqref="B78"/>
      <selection pane="bottomRight" activeCell="D14" sqref="D14"/>
    </sheetView>
  </sheetViews>
  <sheetFormatPr defaultRowHeight="12.75"/>
  <cols>
    <col min="1" max="1" width="8.5703125" bestFit="1" customWidth="1"/>
    <col min="2" max="2" width="31.5703125" bestFit="1" customWidth="1"/>
    <col min="3" max="3" width="12.85546875" bestFit="1" customWidth="1"/>
    <col min="4" max="4" width="14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1" t="s">
        <v>186</v>
      </c>
    </row>
    <row r="2" spans="1:4" ht="14.1" customHeight="1">
      <c r="A2" s="2" t="s">
        <v>187</v>
      </c>
      <c r="B2" s="2" t="s">
        <v>188</v>
      </c>
      <c r="C2" s="29">
        <f>C3+C4</f>
        <v>0</v>
      </c>
      <c r="D2" s="29">
        <f>D3+D4</f>
        <v>0</v>
      </c>
    </row>
    <row r="3" spans="1:4" ht="14.1" customHeight="1">
      <c r="A3" s="2" t="s">
        <v>189</v>
      </c>
      <c r="B3" s="2" t="s">
        <v>144</v>
      </c>
      <c r="C3" s="18"/>
      <c r="D3" s="18"/>
    </row>
    <row r="4" spans="1:4" ht="14.1" customHeight="1">
      <c r="A4" s="2" t="s">
        <v>190</v>
      </c>
      <c r="B4" s="2" t="s">
        <v>191</v>
      </c>
      <c r="C4" s="18"/>
      <c r="D4" s="18"/>
    </row>
    <row r="5" spans="1:4" ht="14.1" customHeight="1">
      <c r="A5" s="2" t="s">
        <v>192</v>
      </c>
      <c r="B5" s="2" t="s">
        <v>193</v>
      </c>
      <c r="C5" s="29">
        <f>C6+C7</f>
        <v>0</v>
      </c>
      <c r="D5" s="29">
        <f>D6+D7</f>
        <v>0</v>
      </c>
    </row>
    <row r="6" spans="1:4" ht="14.1" customHeight="1">
      <c r="A6" s="2" t="s">
        <v>194</v>
      </c>
      <c r="B6" s="2" t="s">
        <v>145</v>
      </c>
      <c r="C6" s="18"/>
      <c r="D6" s="18"/>
    </row>
    <row r="7" spans="1:4" ht="14.1" customHeight="1">
      <c r="A7" s="2" t="s">
        <v>195</v>
      </c>
      <c r="B7" s="2" t="s">
        <v>196</v>
      </c>
      <c r="C7" s="18"/>
      <c r="D7" s="18"/>
    </row>
    <row r="8" spans="1:4" ht="14.1" customHeight="1">
      <c r="A8" s="2" t="s">
        <v>197</v>
      </c>
      <c r="B8" s="2" t="s">
        <v>198</v>
      </c>
      <c r="C8" s="18"/>
      <c r="D8" s="18"/>
    </row>
    <row r="9" spans="1:4" ht="14.1" customHeight="1">
      <c r="A9" s="2" t="s">
        <v>199</v>
      </c>
      <c r="B9" s="2" t="s">
        <v>200</v>
      </c>
      <c r="C9" s="18"/>
      <c r="D9" s="18"/>
    </row>
    <row r="10" spans="1:4" ht="14.1" customHeight="1">
      <c r="A10" s="2" t="s">
        <v>201</v>
      </c>
      <c r="B10" s="2" t="s">
        <v>147</v>
      </c>
      <c r="C10" s="18"/>
      <c r="D10" s="18"/>
    </row>
    <row r="11" spans="1:4" ht="13.5" customHeight="1">
      <c r="A11" s="2" t="s">
        <v>202</v>
      </c>
      <c r="B11" s="2" t="s">
        <v>148</v>
      </c>
      <c r="C11" s="18"/>
      <c r="D11" s="18"/>
    </row>
    <row r="12" spans="1:4" ht="13.5" customHeight="1">
      <c r="A12" s="2" t="s">
        <v>203</v>
      </c>
      <c r="B12" s="2" t="s">
        <v>204</v>
      </c>
      <c r="C12" s="18"/>
      <c r="D12" s="18"/>
    </row>
    <row r="13" spans="1:4" ht="14.1" customHeight="1">
      <c r="A13" s="2" t="s">
        <v>205</v>
      </c>
      <c r="B13" s="2" t="s">
        <v>206</v>
      </c>
      <c r="C13" s="18"/>
      <c r="D13" s="18"/>
    </row>
    <row r="14" spans="1:4" ht="14.1" customHeight="1">
      <c r="A14" s="2" t="s">
        <v>207</v>
      </c>
      <c r="B14" s="2" t="s">
        <v>208</v>
      </c>
      <c r="C14" s="18"/>
      <c r="D14" s="18"/>
    </row>
    <row r="15" spans="1:4" ht="14.1" customHeight="1">
      <c r="A15" s="2" t="s">
        <v>209</v>
      </c>
      <c r="B15" s="2" t="s">
        <v>149</v>
      </c>
      <c r="C15" s="29">
        <f>C2-C5-C8-C9-C10-C11-C12+C13+C14</f>
        <v>0</v>
      </c>
      <c r="D15" s="29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  <c r="D16" s="18"/>
    </row>
    <row r="17" spans="1:4" ht="14.1" customHeight="1">
      <c r="A17" s="2" t="s">
        <v>212</v>
      </c>
      <c r="B17" s="2" t="s">
        <v>213</v>
      </c>
      <c r="C17" s="18"/>
      <c r="D17" s="18"/>
    </row>
    <row r="18" spans="1:4" ht="14.1" customHeight="1">
      <c r="A18" s="2" t="s">
        <v>214</v>
      </c>
      <c r="B18" s="2" t="s">
        <v>150</v>
      </c>
      <c r="C18" s="29">
        <f>C15+C16-C17</f>
        <v>0</v>
      </c>
      <c r="D18" s="29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18"/>
    </row>
    <row r="20" spans="1:4" ht="14.1" customHeight="1">
      <c r="A20" s="2" t="s">
        <v>217</v>
      </c>
      <c r="B20" s="2" t="s">
        <v>151</v>
      </c>
      <c r="C20" s="29">
        <f>C18-C19</f>
        <v>0</v>
      </c>
      <c r="D20" s="29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18"/>
    </row>
    <row r="22" spans="1:4" ht="14.1" customHeight="1">
      <c r="A22" s="2" t="s">
        <v>220</v>
      </c>
      <c r="B22" s="2" t="s">
        <v>221</v>
      </c>
      <c r="C22" s="29">
        <f>C20-C21</f>
        <v>0</v>
      </c>
      <c r="D22" s="29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18"/>
    </row>
    <row r="24" spans="1:4" ht="14.1" customHeight="1">
      <c r="A24" s="2" t="s">
        <v>224</v>
      </c>
      <c r="B24" s="2" t="s">
        <v>225</v>
      </c>
      <c r="C24" s="18"/>
      <c r="D24" s="18"/>
    </row>
    <row r="25" spans="1:4" ht="14.1" customHeight="1">
      <c r="A25" s="2" t="s">
        <v>226</v>
      </c>
      <c r="B25" s="2" t="s">
        <v>227</v>
      </c>
      <c r="C25" s="18"/>
      <c r="D25" s="18"/>
    </row>
    <row r="26" spans="1:4" ht="14.1" customHeight="1">
      <c r="A26" s="2" t="s">
        <v>228</v>
      </c>
      <c r="B26" s="2" t="s">
        <v>229</v>
      </c>
      <c r="C26" s="18"/>
    </row>
    <row r="27" spans="1:4" ht="14.1" customHeight="1">
      <c r="A27" s="2" t="s">
        <v>230</v>
      </c>
      <c r="B27" s="2" t="s">
        <v>231</v>
      </c>
      <c r="C27" s="18"/>
      <c r="D27" s="18"/>
    </row>
    <row r="28" spans="1:4" ht="14.1" customHeight="1">
      <c r="A28" s="2" t="s">
        <v>232</v>
      </c>
      <c r="B28" s="2" t="s">
        <v>233</v>
      </c>
      <c r="C28" s="18"/>
    </row>
    <row r="29" spans="1:4" ht="14.1" customHeight="1">
      <c r="A29" s="2" t="s">
        <v>234</v>
      </c>
      <c r="B29" s="2" t="s">
        <v>235</v>
      </c>
      <c r="C29" s="18"/>
      <c r="D29" s="18"/>
    </row>
    <row r="30" spans="1:4" ht="14.1" customHeight="1">
      <c r="A30" s="2" t="s">
        <v>236</v>
      </c>
      <c r="B30" s="2" t="s">
        <v>237</v>
      </c>
      <c r="C30" s="18"/>
      <c r="D30" s="18"/>
    </row>
    <row r="31" spans="1:4" ht="14.1" customHeight="1">
      <c r="A31" s="2" t="s">
        <v>238</v>
      </c>
      <c r="B31" s="2" t="s">
        <v>239</v>
      </c>
      <c r="C31" s="18"/>
      <c r="D31" s="18"/>
    </row>
    <row r="32" spans="1:4" ht="14.1" customHeight="1">
      <c r="A32" s="2" t="s">
        <v>240</v>
      </c>
      <c r="B32" s="2" t="s">
        <v>241</v>
      </c>
      <c r="C32" s="18"/>
      <c r="D32" s="18"/>
    </row>
    <row r="33" spans="1:4" ht="14.1" customHeight="1">
      <c r="A33" s="2" t="s">
        <v>242</v>
      </c>
      <c r="B33" s="2" t="s">
        <v>243</v>
      </c>
      <c r="C33" s="29">
        <f>C22+C26+C32</f>
        <v>0</v>
      </c>
      <c r="D33" s="29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18"/>
    </row>
    <row r="35" spans="1:4" ht="14.1" customHeight="1">
      <c r="A35" s="2" t="s">
        <v>246</v>
      </c>
      <c r="B35" s="2" t="s">
        <v>247</v>
      </c>
      <c r="C35" s="18"/>
      <c r="D35" s="18"/>
    </row>
    <row r="36" spans="1:4" ht="14.1" customHeight="1">
      <c r="A36" s="2" t="s">
        <v>248</v>
      </c>
      <c r="B36" s="2" t="s">
        <v>249</v>
      </c>
      <c r="C36" s="18"/>
      <c r="D36" s="18"/>
    </row>
    <row r="37" spans="1:4" ht="14.1" customHeight="1">
      <c r="A37" s="2" t="s">
        <v>250</v>
      </c>
      <c r="B37" s="2" t="s">
        <v>251</v>
      </c>
      <c r="C37" s="18"/>
      <c r="D37" s="18"/>
    </row>
    <row r="38" spans="1:4" ht="14.1" customHeight="1">
      <c r="A38" s="2" t="s">
        <v>252</v>
      </c>
      <c r="B38" s="2" t="s">
        <v>253</v>
      </c>
      <c r="C38" s="18"/>
      <c r="D38" s="18"/>
    </row>
    <row r="39" spans="1:4" ht="14.1" customHeight="1">
      <c r="A39" s="2" t="s">
        <v>254</v>
      </c>
      <c r="B39" s="2" t="s">
        <v>125</v>
      </c>
      <c r="C39" s="29">
        <f>C33-C36</f>
        <v>0</v>
      </c>
      <c r="D39" s="29">
        <f>D33-D36-D38</f>
        <v>0</v>
      </c>
    </row>
    <row r="40" spans="1:4" ht="14.1" customHeight="1">
      <c r="A40" s="2" t="s">
        <v>255</v>
      </c>
      <c r="B40" s="2" t="s">
        <v>256</v>
      </c>
      <c r="C40" s="18"/>
      <c r="D40" s="18"/>
    </row>
    <row r="41" spans="1:4" ht="14.1" customHeight="1">
      <c r="A41" s="2" t="s">
        <v>257</v>
      </c>
      <c r="B41" s="2" t="s">
        <v>258</v>
      </c>
      <c r="C41" s="18"/>
      <c r="D41" s="18"/>
    </row>
    <row r="42" spans="1:4" ht="14.1" customHeight="1">
      <c r="A42" s="2" t="s">
        <v>259</v>
      </c>
      <c r="B42" s="2" t="s">
        <v>260</v>
      </c>
      <c r="C42" s="18"/>
      <c r="D42" s="18"/>
    </row>
    <row r="43" spans="1:4" ht="14.1" customHeight="1">
      <c r="A43" s="2" t="s">
        <v>261</v>
      </c>
      <c r="B43" s="2" t="s">
        <v>262</v>
      </c>
      <c r="C43" s="18"/>
      <c r="D43" s="18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3"/>
  </sheetPr>
  <dimension ref="A1:C39"/>
  <sheetViews>
    <sheetView zoomScale="130" zoomScaleNormal="130" workbookViewId="0">
      <pane xSplit="1" ySplit="1" topLeftCell="B35" activePane="bottomRight" state="frozen"/>
      <selection activeCell="B78" sqref="B78"/>
      <selection pane="topRight" activeCell="B78" sqref="B78"/>
      <selection pane="bottomLeft" activeCell="B78" sqref="B78"/>
      <selection pane="bottomRight" activeCell="C1" sqref="C1 C3 C5 C7:C10 C14 C16 C18 C20 C28:C29 C31:C33 C38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/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29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29">
        <f>SUM(C7:C10)</f>
        <v>0</v>
      </c>
    </row>
    <row r="12" spans="1:3" ht="14.1" customHeight="1">
      <c r="A12" s="2" t="s">
        <v>284</v>
      </c>
      <c r="B12" s="2" t="s">
        <v>285</v>
      </c>
      <c r="C12" s="29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29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29">
        <f>SUM(C20:C23)</f>
        <v>0</v>
      </c>
    </row>
    <row r="25" spans="1:3" ht="14.1" customHeight="1">
      <c r="A25" s="2" t="s">
        <v>310</v>
      </c>
      <c r="B25" s="2" t="s">
        <v>311</v>
      </c>
      <c r="C25" s="29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29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29">
        <f>SUM(C31:C33)</f>
        <v>0</v>
      </c>
    </row>
    <row r="35" spans="1:3" ht="14.1" customHeight="1">
      <c r="A35" s="2" t="s">
        <v>330</v>
      </c>
      <c r="B35" s="2" t="s">
        <v>331</v>
      </c>
      <c r="C35" s="29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29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29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0"/>
  </sheetPr>
  <dimension ref="A1:G69"/>
  <sheetViews>
    <sheetView zoomScale="115" workbookViewId="0">
      <pane xSplit="1" ySplit="1" topLeftCell="B14" activePane="bottomRight" state="frozen"/>
      <selection activeCell="F29" sqref="F29"/>
      <selection pane="topRight" activeCell="F29" sqref="F29"/>
      <selection pane="bottomLeft" activeCell="F29" sqref="F29"/>
      <selection pane="bottomRight" activeCell="D19" sqref="D19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  <col min="5" max="5" width="13.7109375" style="34" bestFit="1" customWidth="1"/>
    <col min="6" max="6" width="17.5703125" style="34" bestFit="1" customWidth="1"/>
    <col min="7" max="7" width="20.5703125" customWidth="1"/>
  </cols>
  <sheetData>
    <row r="1" spans="1:7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7" ht="14.1" customHeight="1">
      <c r="A2" s="2" t="s">
        <v>4</v>
      </c>
      <c r="B2" s="2" t="s">
        <v>5</v>
      </c>
      <c r="C2" s="3"/>
      <c r="D2" s="3"/>
      <c r="G2" s="34"/>
    </row>
    <row r="3" spans="1:7" ht="14.1" customHeight="1">
      <c r="A3" s="2" t="s">
        <v>6</v>
      </c>
      <c r="B3" s="2" t="s">
        <v>7</v>
      </c>
      <c r="C3" s="3"/>
      <c r="D3" s="3"/>
      <c r="G3" s="34"/>
    </row>
    <row r="4" spans="1:7" ht="14.1" customHeight="1">
      <c r="A4" s="2" t="s">
        <v>8</v>
      </c>
      <c r="B4" s="2" t="s">
        <v>9</v>
      </c>
      <c r="C4" s="3"/>
      <c r="D4" s="3"/>
      <c r="G4" s="34"/>
    </row>
    <row r="5" spans="1:7" ht="14.1" customHeight="1">
      <c r="A5" s="2" t="s">
        <v>10</v>
      </c>
      <c r="B5" s="2" t="s">
        <v>11</v>
      </c>
      <c r="C5" s="3"/>
      <c r="D5" s="3"/>
      <c r="G5" s="34"/>
    </row>
    <row r="6" spans="1:7" ht="14.1" customHeight="1">
      <c r="A6" s="2" t="s">
        <v>12</v>
      </c>
      <c r="B6" s="2" t="s">
        <v>13</v>
      </c>
      <c r="C6" s="3"/>
      <c r="D6" s="3"/>
      <c r="G6" s="34"/>
    </row>
    <row r="7" spans="1:7" ht="14.1" customHeight="1">
      <c r="A7" s="2" t="s">
        <v>14</v>
      </c>
      <c r="B7" s="2" t="s">
        <v>15</v>
      </c>
      <c r="C7" s="3"/>
      <c r="D7" s="3"/>
      <c r="G7" s="34"/>
    </row>
    <row r="8" spans="1:7" ht="14.1" customHeight="1">
      <c r="A8" s="2" t="s">
        <v>16</v>
      </c>
      <c r="B8" s="2" t="s">
        <v>17</v>
      </c>
      <c r="C8" s="3"/>
      <c r="D8" s="3"/>
      <c r="G8" s="34"/>
    </row>
    <row r="9" spans="1:7" ht="14.1" customHeight="1">
      <c r="A9" s="2" t="s">
        <v>18</v>
      </c>
      <c r="B9" s="2" t="s">
        <v>19</v>
      </c>
      <c r="C9" s="3"/>
      <c r="D9" s="3"/>
      <c r="G9" s="34"/>
    </row>
    <row r="10" spans="1:7" ht="14.1" customHeight="1">
      <c r="A10" s="2" t="s">
        <v>20</v>
      </c>
      <c r="B10" s="2" t="s">
        <v>21</v>
      </c>
      <c r="C10" s="3"/>
      <c r="D10" s="3"/>
      <c r="G10" s="34"/>
    </row>
    <row r="11" spans="1:7" ht="14.1" customHeight="1">
      <c r="A11" s="2" t="s">
        <v>22</v>
      </c>
      <c r="B11" s="2" t="s">
        <v>23</v>
      </c>
      <c r="C11" s="3"/>
      <c r="D11" s="3"/>
      <c r="G11" s="34"/>
    </row>
    <row r="12" spans="1:7" ht="14.1" customHeight="1">
      <c r="A12" s="2" t="s">
        <v>24</v>
      </c>
      <c r="B12" s="2" t="s">
        <v>25</v>
      </c>
      <c r="C12" s="3"/>
      <c r="D12" s="3"/>
      <c r="G12" s="34"/>
    </row>
    <row r="13" spans="1:7" s="20" customFormat="1" ht="14.1" customHeight="1">
      <c r="A13" s="4" t="s">
        <v>26</v>
      </c>
      <c r="B13" s="4" t="s">
        <v>27</v>
      </c>
      <c r="C13" s="27">
        <f>SUM(C2:C12)</f>
        <v>0</v>
      </c>
      <c r="D13" s="27">
        <f>SUM(D2:D12)</f>
        <v>0</v>
      </c>
      <c r="E13" s="52"/>
      <c r="F13" s="34"/>
      <c r="G13" s="52"/>
    </row>
    <row r="14" spans="1:7" ht="14.1" customHeight="1">
      <c r="A14" s="2" t="s">
        <v>28</v>
      </c>
      <c r="B14" s="2" t="s">
        <v>29</v>
      </c>
      <c r="C14" s="3"/>
      <c r="D14" s="3"/>
      <c r="G14" s="34"/>
    </row>
    <row r="15" spans="1:7" ht="14.1" customHeight="1">
      <c r="A15" s="2" t="s">
        <v>30</v>
      </c>
      <c r="B15" s="2" t="s">
        <v>31</v>
      </c>
      <c r="C15" s="3"/>
      <c r="D15" s="3"/>
      <c r="G15" s="34"/>
    </row>
    <row r="16" spans="1:7" ht="14.1" customHeight="1">
      <c r="A16" s="2" t="s">
        <v>32</v>
      </c>
      <c r="B16" s="2" t="s">
        <v>33</v>
      </c>
      <c r="C16" s="3"/>
      <c r="D16" s="3"/>
      <c r="G16" s="34"/>
    </row>
    <row r="17" spans="1:7" ht="14.1" customHeight="1">
      <c r="A17" s="2" t="s">
        <v>34</v>
      </c>
      <c r="B17" s="2" t="s">
        <v>35</v>
      </c>
      <c r="C17" s="3"/>
      <c r="D17" s="3"/>
      <c r="G17" s="34"/>
    </row>
    <row r="18" spans="1:7" ht="14.1" customHeight="1">
      <c r="A18" s="2" t="s">
        <v>36</v>
      </c>
      <c r="B18" s="2" t="s">
        <v>37</v>
      </c>
      <c r="C18" s="3"/>
      <c r="D18" s="3"/>
      <c r="G18" s="34"/>
    </row>
    <row r="19" spans="1:7" ht="14.1" customHeight="1">
      <c r="A19" s="2" t="s">
        <v>38</v>
      </c>
      <c r="B19" s="2" t="s">
        <v>39</v>
      </c>
      <c r="C19" s="3"/>
      <c r="D19" s="3"/>
      <c r="G19" s="34"/>
    </row>
    <row r="20" spans="1:7" ht="14.1" customHeight="1">
      <c r="A20" s="2" t="s">
        <v>40</v>
      </c>
      <c r="B20" s="2" t="s">
        <v>41</v>
      </c>
      <c r="C20" s="3"/>
      <c r="D20" s="3"/>
      <c r="G20" s="34"/>
    </row>
    <row r="21" spans="1:7" ht="14.1" customHeight="1">
      <c r="A21" s="2" t="s">
        <v>42</v>
      </c>
      <c r="B21" s="2" t="s">
        <v>43</v>
      </c>
      <c r="C21" s="3"/>
      <c r="D21" s="3"/>
      <c r="G21" s="34"/>
    </row>
    <row r="22" spans="1:7" ht="14.1" customHeight="1">
      <c r="A22" s="2" t="s">
        <v>44</v>
      </c>
      <c r="B22" s="2" t="s">
        <v>45</v>
      </c>
      <c r="C22" s="28">
        <f>C19-C20-C21</f>
        <v>0</v>
      </c>
      <c r="D22" s="28">
        <f>D19-D20-D21</f>
        <v>0</v>
      </c>
      <c r="G22" s="34"/>
    </row>
    <row r="23" spans="1:7" ht="14.1" customHeight="1">
      <c r="A23" s="2" t="s">
        <v>46</v>
      </c>
      <c r="B23" s="2" t="s">
        <v>47</v>
      </c>
      <c r="C23" s="3"/>
      <c r="D23" s="3"/>
      <c r="G23" s="34"/>
    </row>
    <row r="24" spans="1:7" ht="14.1" customHeight="1">
      <c r="A24" s="2" t="s">
        <v>48</v>
      </c>
      <c r="B24" s="2" t="s">
        <v>49</v>
      </c>
      <c r="C24" s="3"/>
      <c r="D24" s="3"/>
      <c r="G24" s="34"/>
    </row>
    <row r="25" spans="1:7" ht="14.1" customHeight="1">
      <c r="A25" s="2" t="s">
        <v>50</v>
      </c>
      <c r="B25" s="2" t="s">
        <v>51</v>
      </c>
      <c r="C25" s="3"/>
      <c r="D25" s="3"/>
      <c r="G25" s="34"/>
    </row>
    <row r="26" spans="1:7" ht="14.1" customHeight="1">
      <c r="A26" s="2" t="s">
        <v>52</v>
      </c>
      <c r="B26" s="2" t="s">
        <v>53</v>
      </c>
      <c r="C26" s="3"/>
      <c r="D26" s="3"/>
      <c r="G26" s="34"/>
    </row>
    <row r="27" spans="1:7" ht="14.1" customHeight="1">
      <c r="A27" s="2" t="s">
        <v>54</v>
      </c>
      <c r="B27" s="2" t="s">
        <v>55</v>
      </c>
      <c r="C27" s="3"/>
      <c r="D27" s="3"/>
      <c r="G27" s="34"/>
    </row>
    <row r="28" spans="1:7" ht="14.1" customHeight="1">
      <c r="A28" s="2" t="s">
        <v>56</v>
      </c>
      <c r="B28" s="2" t="s">
        <v>57</v>
      </c>
      <c r="C28" s="3"/>
      <c r="D28" s="3"/>
      <c r="G28" s="34"/>
    </row>
    <row r="29" spans="1:7" ht="14.1" customHeight="1">
      <c r="A29" s="2" t="s">
        <v>58</v>
      </c>
      <c r="B29" s="2" t="s">
        <v>59</v>
      </c>
      <c r="C29" s="3"/>
      <c r="D29" s="3"/>
      <c r="G29" s="34"/>
    </row>
    <row r="30" spans="1:7" ht="14.1" customHeight="1">
      <c r="A30" s="2" t="s">
        <v>60</v>
      </c>
      <c r="B30" s="2" t="s">
        <v>61</v>
      </c>
      <c r="C30" s="3"/>
      <c r="D30" s="3"/>
      <c r="G30" s="34"/>
    </row>
    <row r="31" spans="1:7" ht="14.1" customHeight="1">
      <c r="A31" s="2" t="s">
        <v>62</v>
      </c>
      <c r="B31" s="2" t="s">
        <v>63</v>
      </c>
      <c r="C31" s="3"/>
      <c r="D31" s="3"/>
      <c r="G31" s="34"/>
    </row>
    <row r="32" spans="1:7" ht="14.1" customHeight="1">
      <c r="A32" s="2" t="s">
        <v>64</v>
      </c>
      <c r="B32" s="2" t="s">
        <v>65</v>
      </c>
      <c r="C32" s="3"/>
      <c r="D32" s="3"/>
      <c r="G32" s="34"/>
    </row>
    <row r="33" spans="1:7" ht="14.1" customHeight="1">
      <c r="A33" s="2" t="s">
        <v>66</v>
      </c>
      <c r="B33" s="2" t="s">
        <v>67</v>
      </c>
      <c r="C33" s="3"/>
      <c r="D33" s="3"/>
      <c r="G33" s="34"/>
    </row>
    <row r="34" spans="1:7" s="20" customFormat="1" ht="14.1" customHeight="1">
      <c r="A34" s="4" t="s">
        <v>68</v>
      </c>
      <c r="B34" s="4" t="s">
        <v>69</v>
      </c>
      <c r="C34" s="27">
        <f>SUM(C14:C33)-C19-C20-C21</f>
        <v>0</v>
      </c>
      <c r="D34" s="27">
        <f>SUM(D14:D33)-D19-D20-D21</f>
        <v>0</v>
      </c>
      <c r="E34" s="52"/>
      <c r="F34" s="34"/>
      <c r="G34" s="52"/>
    </row>
    <row r="35" spans="1:7" s="20" customFormat="1" ht="14.1" customHeight="1">
      <c r="A35" s="4" t="s">
        <v>70</v>
      </c>
      <c r="B35" s="4" t="s">
        <v>71</v>
      </c>
      <c r="C35" s="27">
        <f>C34+C13</f>
        <v>0</v>
      </c>
      <c r="D35" s="27">
        <f>D34+D13</f>
        <v>0</v>
      </c>
      <c r="E35" s="52"/>
      <c r="F35" s="34"/>
      <c r="G35" s="52"/>
    </row>
    <row r="36" spans="1:7" ht="14.1" customHeight="1">
      <c r="A36" s="2" t="s">
        <v>72</v>
      </c>
      <c r="B36" s="2" t="s">
        <v>73</v>
      </c>
      <c r="C36" s="3"/>
      <c r="D36" s="3"/>
      <c r="G36" s="34"/>
    </row>
    <row r="37" spans="1:7" ht="14.1" customHeight="1">
      <c r="A37" s="2" t="s">
        <v>74</v>
      </c>
      <c r="B37" s="2" t="s">
        <v>75</v>
      </c>
      <c r="C37" s="3"/>
      <c r="D37" s="3"/>
      <c r="G37" s="34"/>
    </row>
    <row r="38" spans="1:7" ht="14.1" customHeight="1">
      <c r="A38" s="2" t="s">
        <v>76</v>
      </c>
      <c r="B38" s="2" t="s">
        <v>77</v>
      </c>
      <c r="C38" s="3"/>
      <c r="D38" s="3"/>
      <c r="G38" s="34"/>
    </row>
    <row r="39" spans="1:7" ht="14.1" customHeight="1">
      <c r="A39" s="2" t="s">
        <v>78</v>
      </c>
      <c r="B39" s="2" t="s">
        <v>79</v>
      </c>
      <c r="C39" s="3"/>
      <c r="D39" s="3"/>
      <c r="G39" s="34"/>
    </row>
    <row r="40" spans="1:7" ht="14.1" customHeight="1">
      <c r="A40" s="2" t="s">
        <v>80</v>
      </c>
      <c r="B40" s="2" t="s">
        <v>81</v>
      </c>
      <c r="C40" s="3"/>
      <c r="D40" s="3"/>
      <c r="G40" s="34"/>
    </row>
    <row r="41" spans="1:7" ht="14.1" customHeight="1">
      <c r="A41" s="2" t="s">
        <v>82</v>
      </c>
      <c r="B41" s="2" t="s">
        <v>83</v>
      </c>
      <c r="C41" s="3"/>
      <c r="D41" s="3"/>
      <c r="G41" s="34"/>
    </row>
    <row r="42" spans="1:7" ht="14.1" customHeight="1">
      <c r="A42" s="2" t="s">
        <v>84</v>
      </c>
      <c r="B42" s="2" t="s">
        <v>85</v>
      </c>
      <c r="C42" s="3"/>
      <c r="D42" s="3"/>
      <c r="G42" s="34"/>
    </row>
    <row r="43" spans="1:7" ht="14.1" customHeight="1">
      <c r="A43" s="2" t="s">
        <v>86</v>
      </c>
      <c r="B43" s="2" t="s">
        <v>87</v>
      </c>
      <c r="C43" s="3"/>
      <c r="D43" s="3"/>
      <c r="G43" s="34"/>
    </row>
    <row r="44" spans="1:7" ht="14.1" customHeight="1">
      <c r="A44" s="2" t="s">
        <v>88</v>
      </c>
      <c r="B44" s="2" t="s">
        <v>89</v>
      </c>
      <c r="C44" s="3"/>
      <c r="D44" s="3"/>
      <c r="G44" s="34"/>
    </row>
    <row r="45" spans="1:7" ht="14.1" customHeight="1">
      <c r="A45" s="2" t="s">
        <v>90</v>
      </c>
      <c r="B45" s="2" t="s">
        <v>91</v>
      </c>
      <c r="C45" s="3"/>
      <c r="D45" s="3"/>
      <c r="G45" s="34"/>
    </row>
    <row r="46" spans="1:7" ht="14.1" customHeight="1">
      <c r="A46" s="2" t="s">
        <v>93</v>
      </c>
      <c r="B46" s="2" t="s">
        <v>94</v>
      </c>
      <c r="C46" s="3"/>
      <c r="D46" s="3"/>
      <c r="G46" s="34"/>
    </row>
    <row r="47" spans="1:7" ht="14.1" customHeight="1">
      <c r="A47" s="2" t="s">
        <v>95</v>
      </c>
      <c r="B47" s="2" t="s">
        <v>96</v>
      </c>
      <c r="C47" s="3"/>
      <c r="D47" s="3"/>
      <c r="G47" s="34"/>
    </row>
    <row r="48" spans="1:7" s="20" customFormat="1" ht="14.1" customHeight="1">
      <c r="A48" s="4" t="s">
        <v>97</v>
      </c>
      <c r="B48" s="4" t="s">
        <v>98</v>
      </c>
      <c r="C48" s="27">
        <f>SUM(C36:C47)</f>
        <v>0</v>
      </c>
      <c r="D48" s="27">
        <f>SUM(D36:D47)</f>
        <v>0</v>
      </c>
      <c r="E48" s="52"/>
      <c r="F48" s="34"/>
      <c r="G48" s="52"/>
    </row>
    <row r="49" spans="1:7" ht="14.1" customHeight="1">
      <c r="A49" s="2" t="s">
        <v>99</v>
      </c>
      <c r="B49" s="2" t="s">
        <v>100</v>
      </c>
      <c r="C49" s="3"/>
      <c r="D49" s="3"/>
      <c r="G49" s="34"/>
    </row>
    <row r="50" spans="1:7" ht="14.1" customHeight="1">
      <c r="A50" s="2" t="s">
        <v>101</v>
      </c>
      <c r="B50" s="2" t="s">
        <v>102</v>
      </c>
      <c r="C50" s="3"/>
      <c r="D50" s="3"/>
      <c r="G50" s="34"/>
    </row>
    <row r="51" spans="1:7" ht="14.1" customHeight="1">
      <c r="A51" s="2" t="s">
        <v>103</v>
      </c>
      <c r="B51" s="2" t="s">
        <v>104</v>
      </c>
      <c r="C51" s="3"/>
      <c r="D51" s="3"/>
      <c r="G51" s="34"/>
    </row>
    <row r="52" spans="1:7" ht="14.1" customHeight="1">
      <c r="A52" s="2" t="s">
        <v>105</v>
      </c>
      <c r="B52" s="2" t="s">
        <v>106</v>
      </c>
      <c r="C52" s="3"/>
      <c r="D52" s="3"/>
      <c r="G52" s="34"/>
    </row>
    <row r="53" spans="1:7" ht="14.1" customHeight="1">
      <c r="A53" s="2" t="s">
        <v>107</v>
      </c>
      <c r="B53" s="2" t="s">
        <v>92</v>
      </c>
      <c r="C53" s="3"/>
      <c r="D53" s="3"/>
      <c r="G53" s="34"/>
    </row>
    <row r="54" spans="1:7" ht="14.1" customHeight="1">
      <c r="A54" s="2" t="s">
        <v>108</v>
      </c>
      <c r="B54" s="2" t="s">
        <v>109</v>
      </c>
      <c r="C54" s="3"/>
      <c r="D54" s="3"/>
      <c r="G54" s="34"/>
    </row>
    <row r="55" spans="1:7" ht="14.1" customHeight="1">
      <c r="A55" s="2" t="s">
        <v>110</v>
      </c>
      <c r="B55" s="2" t="s">
        <v>111</v>
      </c>
      <c r="C55" s="3"/>
      <c r="D55" s="3"/>
      <c r="G55" s="34"/>
    </row>
    <row r="56" spans="1:7" s="20" customFormat="1" ht="14.1" customHeight="1">
      <c r="A56" s="4" t="s">
        <v>112</v>
      </c>
      <c r="B56" s="4" t="s">
        <v>113</v>
      </c>
      <c r="C56" s="27">
        <f>SUM(C49:C55)</f>
        <v>0</v>
      </c>
      <c r="D56" s="27">
        <f>SUM(D49:D55)</f>
        <v>0</v>
      </c>
      <c r="E56" s="52"/>
      <c r="F56" s="34"/>
      <c r="G56" s="52"/>
    </row>
    <row r="57" spans="1:7" s="20" customFormat="1" ht="14.1" customHeight="1">
      <c r="A57" s="4" t="s">
        <v>114</v>
      </c>
      <c r="B57" s="4" t="s">
        <v>115</v>
      </c>
      <c r="C57" s="27">
        <f>C48+C56</f>
        <v>0</v>
      </c>
      <c r="D57" s="27">
        <f>D48+D56</f>
        <v>0</v>
      </c>
      <c r="E57" s="52"/>
      <c r="F57" s="34"/>
      <c r="G57" s="52"/>
    </row>
    <row r="58" spans="1:7" ht="14.1" customHeight="1">
      <c r="A58" s="2" t="s">
        <v>116</v>
      </c>
      <c r="B58" s="2" t="s">
        <v>117</v>
      </c>
      <c r="C58" s="3"/>
      <c r="D58" s="3"/>
      <c r="G58" s="34"/>
    </row>
    <row r="59" spans="1:7" ht="14.1" customHeight="1">
      <c r="A59" s="2" t="s">
        <v>118</v>
      </c>
      <c r="B59" s="2" t="s">
        <v>119</v>
      </c>
      <c r="C59" s="3"/>
      <c r="D59" s="3"/>
      <c r="G59" s="34"/>
    </row>
    <row r="60" spans="1:7" ht="14.1" customHeight="1">
      <c r="A60" s="2" t="s">
        <v>120</v>
      </c>
      <c r="B60" s="2" t="s">
        <v>121</v>
      </c>
      <c r="C60" s="3"/>
      <c r="D60" s="3"/>
      <c r="G60" s="34"/>
    </row>
    <row r="61" spans="1:7" ht="14.1" customHeight="1">
      <c r="A61" s="2"/>
      <c r="B61" s="31" t="s">
        <v>341</v>
      </c>
      <c r="C61" s="3"/>
      <c r="D61" s="3"/>
      <c r="G61" s="34"/>
    </row>
    <row r="62" spans="1:7" ht="14.1" customHeight="1">
      <c r="A62" s="2" t="s">
        <v>122</v>
      </c>
      <c r="B62" s="2" t="s">
        <v>123</v>
      </c>
      <c r="C62" s="3"/>
      <c r="D62" s="3"/>
      <c r="G62" s="34"/>
    </row>
    <row r="63" spans="1:7" ht="14.1" customHeight="1">
      <c r="A63" s="2" t="s">
        <v>124</v>
      </c>
      <c r="B63" s="2" t="s">
        <v>125</v>
      </c>
      <c r="C63" s="3"/>
      <c r="D63" s="3"/>
      <c r="G63" s="34"/>
    </row>
    <row r="64" spans="1:7" ht="14.1" customHeight="1">
      <c r="A64" s="2" t="s">
        <v>126</v>
      </c>
      <c r="B64" s="2" t="s">
        <v>127</v>
      </c>
      <c r="C64" s="3"/>
      <c r="D64" s="3"/>
      <c r="G64" s="34"/>
    </row>
    <row r="65" spans="1:7" s="20" customFormat="1" ht="14.1" customHeight="1">
      <c r="A65" s="4" t="s">
        <v>128</v>
      </c>
      <c r="B65" s="4" t="s">
        <v>129</v>
      </c>
      <c r="C65" s="27">
        <f>SUM(C58:C64)</f>
        <v>0</v>
      </c>
      <c r="D65" s="27">
        <f>SUM(D58:D64)</f>
        <v>0</v>
      </c>
      <c r="E65" s="52"/>
      <c r="F65" s="34"/>
      <c r="G65" s="52"/>
    </row>
    <row r="66" spans="1:7" ht="14.1" customHeight="1">
      <c r="A66" s="2" t="s">
        <v>130</v>
      </c>
      <c r="B66" s="2" t="s">
        <v>135</v>
      </c>
      <c r="C66" s="3"/>
      <c r="D66" s="3"/>
      <c r="G66" s="34"/>
    </row>
    <row r="67" spans="1:7" s="20" customFormat="1" ht="14.1" customHeight="1">
      <c r="A67" s="4" t="s">
        <v>131</v>
      </c>
      <c r="B67" s="4" t="s">
        <v>132</v>
      </c>
      <c r="C67" s="27">
        <f>C65+C66</f>
        <v>0</v>
      </c>
      <c r="D67" s="27">
        <f>D65+D66</f>
        <v>0</v>
      </c>
      <c r="E67" s="52"/>
      <c r="F67" s="52"/>
    </row>
    <row r="68" spans="1:7" s="20" customFormat="1" ht="14.1" customHeight="1">
      <c r="A68" s="4" t="s">
        <v>133</v>
      </c>
      <c r="B68" s="4" t="s">
        <v>134</v>
      </c>
      <c r="C68" s="27">
        <f>C67+C57</f>
        <v>0</v>
      </c>
      <c r="D68" s="27">
        <f>D67+D57</f>
        <v>0</v>
      </c>
      <c r="E68" s="52"/>
      <c r="F68" s="52"/>
    </row>
    <row r="69" spans="1:7">
      <c r="C69" s="34">
        <f>C68-C35</f>
        <v>0</v>
      </c>
      <c r="D69" s="34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0"/>
  </sheetPr>
  <dimension ref="A1:D43"/>
  <sheetViews>
    <sheetView zoomScale="115" zoomScaleNormal="115" workbookViewId="0">
      <pane xSplit="1" ySplit="1" topLeftCell="B17" activePane="bottomRight" state="frozen"/>
      <selection activeCell="F29" sqref="F29"/>
      <selection pane="topRight" activeCell="F29" sqref="F29"/>
      <selection pane="bottomLeft" activeCell="F29" sqref="F29"/>
      <selection pane="bottomRight" activeCell="D14" sqref="D14"/>
    </sheetView>
  </sheetViews>
  <sheetFormatPr defaultRowHeight="12.75"/>
  <cols>
    <col min="1" max="1" width="8.5703125" bestFit="1" customWidth="1"/>
    <col min="2" max="2" width="31.5703125" bestFit="1" customWidth="1"/>
    <col min="3" max="3" width="14.28515625" bestFit="1" customWidth="1"/>
    <col min="4" max="4" width="17.5703125" style="25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23"/>
    </row>
    <row r="2" spans="1:4" ht="14.1" customHeight="1">
      <c r="A2" s="2" t="s">
        <v>187</v>
      </c>
      <c r="B2" s="2" t="s">
        <v>188</v>
      </c>
      <c r="C2" s="29">
        <f>C3+C4</f>
        <v>0</v>
      </c>
      <c r="D2" s="30">
        <f>D3+D4</f>
        <v>0</v>
      </c>
    </row>
    <row r="3" spans="1:4" ht="14.1" customHeight="1">
      <c r="A3" s="2" t="s">
        <v>189</v>
      </c>
      <c r="B3" s="2" t="s">
        <v>144</v>
      </c>
      <c r="C3" s="18"/>
      <c r="D3" s="24"/>
    </row>
    <row r="4" spans="1:4" ht="14.1" customHeight="1">
      <c r="A4" s="2" t="s">
        <v>190</v>
      </c>
      <c r="B4" s="2" t="s">
        <v>191</v>
      </c>
      <c r="C4" s="18"/>
      <c r="D4" s="24"/>
    </row>
    <row r="5" spans="1:4" ht="14.1" customHeight="1">
      <c r="A5" s="2" t="s">
        <v>192</v>
      </c>
      <c r="B5" s="2" t="s">
        <v>193</v>
      </c>
      <c r="C5" s="29">
        <f>C6+C7</f>
        <v>0</v>
      </c>
      <c r="D5" s="30">
        <f>D6+D7</f>
        <v>0</v>
      </c>
    </row>
    <row r="6" spans="1:4" ht="14.1" customHeight="1">
      <c r="A6" s="2" t="s">
        <v>194</v>
      </c>
      <c r="B6" s="2" t="s">
        <v>145</v>
      </c>
      <c r="C6" s="18"/>
    </row>
    <row r="7" spans="1:4" ht="14.1" customHeight="1">
      <c r="A7" s="2" t="s">
        <v>195</v>
      </c>
      <c r="B7" s="2" t="s">
        <v>196</v>
      </c>
      <c r="C7" s="18"/>
    </row>
    <row r="8" spans="1:4" ht="14.1" customHeight="1">
      <c r="A8" s="2" t="s">
        <v>197</v>
      </c>
      <c r="B8" s="2" t="s">
        <v>198</v>
      </c>
      <c r="C8" s="18"/>
    </row>
    <row r="9" spans="1:4" ht="14.1" customHeight="1">
      <c r="A9" s="2" t="s">
        <v>199</v>
      </c>
      <c r="B9" s="2" t="s">
        <v>200</v>
      </c>
      <c r="C9" s="18"/>
    </row>
    <row r="10" spans="1:4" ht="14.1" customHeight="1">
      <c r="A10" s="2" t="s">
        <v>201</v>
      </c>
      <c r="B10" s="2" t="s">
        <v>147</v>
      </c>
      <c r="C10" s="18"/>
    </row>
    <row r="11" spans="1:4" ht="13.5" customHeight="1">
      <c r="A11" s="2" t="s">
        <v>202</v>
      </c>
      <c r="B11" s="2" t="s">
        <v>148</v>
      </c>
      <c r="C11" s="18"/>
    </row>
    <row r="12" spans="1:4" ht="13.5" customHeight="1">
      <c r="A12" s="2" t="s">
        <v>203</v>
      </c>
      <c r="B12" s="2" t="s">
        <v>204</v>
      </c>
      <c r="C12" s="18"/>
    </row>
    <row r="13" spans="1:4" ht="14.1" customHeight="1">
      <c r="A13" s="2" t="s">
        <v>205</v>
      </c>
      <c r="B13" s="2" t="s">
        <v>206</v>
      </c>
      <c r="C13" s="18"/>
      <c r="D13" s="24"/>
    </row>
    <row r="14" spans="1:4" ht="14.1" customHeight="1">
      <c r="A14" s="2" t="s">
        <v>207</v>
      </c>
      <c r="B14" s="2" t="s">
        <v>208</v>
      </c>
      <c r="C14" s="18"/>
    </row>
    <row r="15" spans="1:4" ht="14.1" customHeight="1">
      <c r="A15" s="2" t="s">
        <v>209</v>
      </c>
      <c r="B15" s="2" t="s">
        <v>149</v>
      </c>
      <c r="C15" s="29">
        <f>C2-C5-C8-C9-C10-C11-C12+C13+C14</f>
        <v>0</v>
      </c>
      <c r="D15" s="30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</row>
    <row r="17" spans="1:4" ht="14.1" customHeight="1">
      <c r="A17" s="2" t="s">
        <v>212</v>
      </c>
      <c r="B17" s="2" t="s">
        <v>213</v>
      </c>
      <c r="C17" s="18"/>
    </row>
    <row r="18" spans="1:4" ht="14.1" customHeight="1">
      <c r="A18" s="2" t="s">
        <v>214</v>
      </c>
      <c r="B18" s="2" t="s">
        <v>150</v>
      </c>
      <c r="C18" s="29">
        <f>C15+C16-C17</f>
        <v>0</v>
      </c>
      <c r="D18" s="30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24"/>
    </row>
    <row r="20" spans="1:4" ht="14.1" customHeight="1">
      <c r="A20" s="2" t="s">
        <v>217</v>
      </c>
      <c r="B20" s="2" t="s">
        <v>151</v>
      </c>
      <c r="C20" s="29">
        <f>C18-C19</f>
        <v>0</v>
      </c>
      <c r="D20" s="30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24"/>
    </row>
    <row r="22" spans="1:4" ht="14.1" customHeight="1">
      <c r="A22" s="2" t="s">
        <v>220</v>
      </c>
      <c r="B22" s="2" t="s">
        <v>221</v>
      </c>
      <c r="C22" s="29">
        <f>C20-C21</f>
        <v>0</v>
      </c>
      <c r="D22" s="30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24"/>
    </row>
    <row r="24" spans="1:4" ht="14.1" customHeight="1">
      <c r="A24" s="2" t="s">
        <v>224</v>
      </c>
      <c r="B24" s="2" t="s">
        <v>225</v>
      </c>
      <c r="C24" s="18"/>
      <c r="D24" s="24"/>
    </row>
    <row r="25" spans="1:4" ht="14.1" customHeight="1">
      <c r="A25" s="2" t="s">
        <v>226</v>
      </c>
      <c r="B25" s="2" t="s">
        <v>227</v>
      </c>
      <c r="C25" s="18"/>
      <c r="D25" s="24"/>
    </row>
    <row r="26" spans="1:4" ht="14.1" customHeight="1">
      <c r="A26" s="2" t="s">
        <v>228</v>
      </c>
      <c r="B26" s="2" t="s">
        <v>229</v>
      </c>
      <c r="C26" s="18"/>
    </row>
    <row r="27" spans="1:4" ht="14.1" customHeight="1">
      <c r="A27" s="2" t="s">
        <v>230</v>
      </c>
      <c r="B27" s="2" t="s">
        <v>231</v>
      </c>
      <c r="C27" s="18"/>
      <c r="D27" s="24"/>
    </row>
    <row r="28" spans="1:4" ht="14.1" customHeight="1">
      <c r="A28" s="2" t="s">
        <v>232</v>
      </c>
      <c r="B28" s="2" t="s">
        <v>233</v>
      </c>
      <c r="C28" s="18"/>
    </row>
    <row r="29" spans="1:4" ht="14.1" customHeight="1">
      <c r="A29" s="2" t="s">
        <v>234</v>
      </c>
      <c r="B29" s="2" t="s">
        <v>235</v>
      </c>
      <c r="C29" s="18"/>
      <c r="D29" s="24"/>
    </row>
    <row r="30" spans="1:4" ht="14.1" customHeight="1">
      <c r="A30" s="2" t="s">
        <v>236</v>
      </c>
      <c r="B30" s="2" t="s">
        <v>237</v>
      </c>
      <c r="C30" s="18"/>
      <c r="D30" s="24"/>
    </row>
    <row r="31" spans="1:4" ht="14.1" customHeight="1">
      <c r="A31" s="2" t="s">
        <v>238</v>
      </c>
      <c r="B31" s="2" t="s">
        <v>239</v>
      </c>
      <c r="C31" s="18"/>
      <c r="D31" s="24"/>
    </row>
    <row r="32" spans="1:4" ht="14.1" customHeight="1">
      <c r="A32" s="2" t="s">
        <v>240</v>
      </c>
      <c r="B32" s="2" t="s">
        <v>241</v>
      </c>
      <c r="C32" s="18"/>
      <c r="D32" s="24"/>
    </row>
    <row r="33" spans="1:4" ht="14.1" customHeight="1">
      <c r="A33" s="2" t="s">
        <v>242</v>
      </c>
      <c r="B33" s="2" t="s">
        <v>243</v>
      </c>
      <c r="C33" s="29">
        <f>C22+C26+C32</f>
        <v>0</v>
      </c>
      <c r="D33" s="30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24"/>
    </row>
    <row r="35" spans="1:4" ht="14.1" customHeight="1">
      <c r="A35" s="2" t="s">
        <v>246</v>
      </c>
      <c r="B35" s="2" t="s">
        <v>247</v>
      </c>
      <c r="C35" s="18"/>
      <c r="D35" s="24"/>
    </row>
    <row r="36" spans="1:4" ht="14.1" customHeight="1">
      <c r="A36" s="2" t="s">
        <v>248</v>
      </c>
      <c r="B36" s="2" t="s">
        <v>249</v>
      </c>
      <c r="C36" s="18"/>
      <c r="D36" s="24"/>
    </row>
    <row r="37" spans="1:4" ht="14.1" customHeight="1">
      <c r="A37" s="2" t="s">
        <v>250</v>
      </c>
      <c r="B37" s="2" t="s">
        <v>251</v>
      </c>
      <c r="C37" s="18"/>
      <c r="D37" s="24"/>
    </row>
    <row r="38" spans="1:4" ht="14.1" customHeight="1">
      <c r="A38" s="2" t="s">
        <v>252</v>
      </c>
      <c r="B38" s="2" t="s">
        <v>253</v>
      </c>
      <c r="C38" s="18"/>
      <c r="D38" s="24"/>
    </row>
    <row r="39" spans="1:4" ht="14.1" customHeight="1">
      <c r="A39" s="2" t="s">
        <v>254</v>
      </c>
      <c r="B39" s="2" t="s">
        <v>125</v>
      </c>
      <c r="C39" s="29">
        <f>C33-C36</f>
        <v>0</v>
      </c>
      <c r="D39" s="30">
        <f>D33-D36</f>
        <v>0</v>
      </c>
    </row>
    <row r="40" spans="1:4" ht="14.1" customHeight="1">
      <c r="A40" s="2" t="s">
        <v>255</v>
      </c>
      <c r="B40" s="2" t="s">
        <v>256</v>
      </c>
      <c r="C40" s="18"/>
      <c r="D40" s="24"/>
    </row>
    <row r="41" spans="1:4" ht="14.1" customHeight="1">
      <c r="A41" s="2" t="s">
        <v>257</v>
      </c>
      <c r="B41" s="2" t="s">
        <v>258</v>
      </c>
      <c r="C41" s="18"/>
      <c r="D41" s="24"/>
    </row>
    <row r="42" spans="1:4" ht="14.1" customHeight="1">
      <c r="A42" s="2" t="s">
        <v>259</v>
      </c>
      <c r="B42" s="2" t="s">
        <v>260</v>
      </c>
      <c r="C42" s="18"/>
      <c r="D42" s="24"/>
    </row>
    <row r="43" spans="1:4" ht="14.1" customHeight="1">
      <c r="A43" s="2" t="s">
        <v>261</v>
      </c>
      <c r="B43" s="2" t="s">
        <v>262</v>
      </c>
      <c r="C43" s="18"/>
      <c r="D43" s="24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0"/>
  </sheetPr>
  <dimension ref="A1:C39"/>
  <sheetViews>
    <sheetView zoomScale="115" workbookViewId="0">
      <pane xSplit="1" ySplit="1" topLeftCell="B23" activePane="bottomRight" state="frozen"/>
      <selection activeCell="F29" sqref="F29"/>
      <selection pane="topRight" activeCell="F29" sqref="F29"/>
      <selection pane="bottomLeft" activeCell="F29" sqref="F29"/>
      <selection pane="bottomRight" activeCell="C33" sqref="C33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/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29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29">
        <f>SUM(C7:C10)</f>
        <v>0</v>
      </c>
    </row>
    <row r="12" spans="1:3" ht="14.1" customHeight="1">
      <c r="A12" s="2" t="s">
        <v>284</v>
      </c>
      <c r="B12" s="2" t="s">
        <v>285</v>
      </c>
      <c r="C12" s="29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29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29">
        <f>SUM(C20:C23)</f>
        <v>0</v>
      </c>
    </row>
    <row r="25" spans="1:3" ht="14.1" customHeight="1">
      <c r="A25" s="2" t="s">
        <v>310</v>
      </c>
      <c r="B25" s="2" t="s">
        <v>311</v>
      </c>
      <c r="C25" s="29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29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29">
        <f>SUM(C31:C33)</f>
        <v>0</v>
      </c>
    </row>
    <row r="35" spans="1:3" ht="14.1" customHeight="1">
      <c r="A35" s="2" t="s">
        <v>330</v>
      </c>
      <c r="B35" s="2" t="s">
        <v>331</v>
      </c>
      <c r="C35" s="29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29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29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6"/>
  </sheetPr>
  <dimension ref="A1:D69"/>
  <sheetViews>
    <sheetView zoomScale="115" workbookViewId="0">
      <pane xSplit="1" ySplit="1" topLeftCell="B23" activePane="bottomRight" state="frozen"/>
      <selection activeCell="E35" sqref="E35"/>
      <selection pane="topRight" activeCell="E35" sqref="E35"/>
      <selection pane="bottomLeft" activeCell="E35" sqref="E35"/>
      <selection pane="bottomRight" activeCell="C1" sqref="C1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1" customHeight="1">
      <c r="A2" s="2" t="s">
        <v>4</v>
      </c>
      <c r="B2" s="2" t="s">
        <v>5</v>
      </c>
      <c r="C2" s="3"/>
      <c r="D2" s="3"/>
    </row>
    <row r="3" spans="1:4" ht="14.1" customHeight="1">
      <c r="A3" s="2" t="s">
        <v>6</v>
      </c>
      <c r="B3" s="2" t="s">
        <v>7</v>
      </c>
      <c r="C3" s="3"/>
      <c r="D3" s="3"/>
    </row>
    <row r="4" spans="1:4" ht="14.1" customHeight="1">
      <c r="A4" s="2" t="s">
        <v>8</v>
      </c>
      <c r="B4" s="2" t="s">
        <v>9</v>
      </c>
      <c r="C4" s="3"/>
      <c r="D4" s="3"/>
    </row>
    <row r="5" spans="1:4" ht="14.1" customHeight="1">
      <c r="A5" s="2" t="s">
        <v>10</v>
      </c>
      <c r="B5" s="2" t="s">
        <v>11</v>
      </c>
      <c r="C5" s="3"/>
      <c r="D5" s="3"/>
    </row>
    <row r="6" spans="1:4" ht="14.1" customHeight="1">
      <c r="A6" s="2" t="s">
        <v>12</v>
      </c>
      <c r="B6" s="2" t="s">
        <v>13</v>
      </c>
      <c r="C6" s="3"/>
      <c r="D6" s="3"/>
    </row>
    <row r="7" spans="1:4" ht="14.1" customHeight="1">
      <c r="A7" s="2" t="s">
        <v>14</v>
      </c>
      <c r="B7" s="2" t="s">
        <v>15</v>
      </c>
      <c r="C7" s="3"/>
      <c r="D7" s="3"/>
    </row>
    <row r="8" spans="1:4" ht="14.1" customHeight="1">
      <c r="A8" s="2" t="s">
        <v>16</v>
      </c>
      <c r="B8" s="2" t="s">
        <v>17</v>
      </c>
      <c r="C8" s="3"/>
      <c r="D8" s="3"/>
    </row>
    <row r="9" spans="1:4" ht="14.1" customHeight="1">
      <c r="A9" s="2" t="s">
        <v>18</v>
      </c>
      <c r="B9" s="2" t="s">
        <v>19</v>
      </c>
      <c r="C9" s="3"/>
      <c r="D9" s="3"/>
    </row>
    <row r="10" spans="1:4" ht="14.1" customHeight="1">
      <c r="A10" s="2" t="s">
        <v>20</v>
      </c>
      <c r="B10" s="2" t="s">
        <v>21</v>
      </c>
      <c r="C10" s="3"/>
      <c r="D10" s="3"/>
    </row>
    <row r="11" spans="1:4" ht="14.1" customHeight="1">
      <c r="A11" s="2" t="s">
        <v>22</v>
      </c>
      <c r="B11" s="2" t="s">
        <v>23</v>
      </c>
      <c r="C11" s="3"/>
      <c r="D11" s="3"/>
    </row>
    <row r="12" spans="1:4" ht="14.1" customHeight="1">
      <c r="A12" s="2" t="s">
        <v>24</v>
      </c>
      <c r="B12" s="2" t="s">
        <v>25</v>
      </c>
      <c r="C12" s="3"/>
      <c r="D12" s="3"/>
    </row>
    <row r="13" spans="1:4" s="20" customFormat="1" ht="14.1" customHeight="1">
      <c r="A13" s="4" t="s">
        <v>26</v>
      </c>
      <c r="B13" s="4" t="s">
        <v>27</v>
      </c>
      <c r="C13" s="27">
        <f>SUM(C2:C12)</f>
        <v>0</v>
      </c>
      <c r="D13" s="27">
        <f>SUM(D2:D12)</f>
        <v>0</v>
      </c>
    </row>
    <row r="14" spans="1:4" ht="14.1" customHeight="1">
      <c r="A14" s="2" t="s">
        <v>28</v>
      </c>
      <c r="B14" s="2" t="s">
        <v>29</v>
      </c>
      <c r="C14" s="3"/>
      <c r="D14" s="3"/>
    </row>
    <row r="15" spans="1:4" ht="14.1" customHeight="1">
      <c r="A15" s="2" t="s">
        <v>30</v>
      </c>
      <c r="B15" s="2" t="s">
        <v>31</v>
      </c>
      <c r="C15" s="3"/>
      <c r="D15" s="3"/>
    </row>
    <row r="16" spans="1:4" ht="14.1" customHeight="1">
      <c r="A16" s="2" t="s">
        <v>32</v>
      </c>
      <c r="B16" s="2" t="s">
        <v>33</v>
      </c>
      <c r="C16" s="3"/>
      <c r="D16" s="3"/>
    </row>
    <row r="17" spans="1:4" ht="14.1" customHeight="1">
      <c r="A17" s="2" t="s">
        <v>34</v>
      </c>
      <c r="B17" s="2" t="s">
        <v>35</v>
      </c>
      <c r="C17" s="3"/>
      <c r="D17" s="3"/>
    </row>
    <row r="18" spans="1:4" ht="14.1" customHeight="1">
      <c r="A18" s="2" t="s">
        <v>36</v>
      </c>
      <c r="B18" s="2" t="s">
        <v>37</v>
      </c>
      <c r="C18" s="3"/>
      <c r="D18" s="3"/>
    </row>
    <row r="19" spans="1:4" ht="14.1" customHeight="1">
      <c r="A19" s="2" t="s">
        <v>38</v>
      </c>
      <c r="B19" s="2" t="s">
        <v>39</v>
      </c>
      <c r="C19" s="3"/>
      <c r="D19" s="3"/>
    </row>
    <row r="20" spans="1:4" ht="14.1" customHeight="1">
      <c r="A20" s="2" t="s">
        <v>40</v>
      </c>
      <c r="B20" s="2" t="s">
        <v>41</v>
      </c>
      <c r="C20" s="3"/>
      <c r="D20" s="3"/>
    </row>
    <row r="21" spans="1:4" ht="14.1" customHeight="1">
      <c r="A21" s="2" t="s">
        <v>42</v>
      </c>
      <c r="B21" s="2" t="s">
        <v>43</v>
      </c>
      <c r="C21" s="3"/>
      <c r="D21" s="3"/>
    </row>
    <row r="22" spans="1:4" ht="14.1" customHeight="1">
      <c r="A22" s="2" t="s">
        <v>44</v>
      </c>
      <c r="B22" s="2" t="s">
        <v>45</v>
      </c>
      <c r="C22" s="28">
        <f>C19-C20-C21</f>
        <v>0</v>
      </c>
      <c r="D22" s="28">
        <f>D19-D20-D21</f>
        <v>0</v>
      </c>
    </row>
    <row r="23" spans="1:4" ht="14.1" customHeight="1">
      <c r="A23" s="2" t="s">
        <v>46</v>
      </c>
      <c r="B23" s="2" t="s">
        <v>47</v>
      </c>
      <c r="C23" s="3"/>
      <c r="D23" s="3"/>
    </row>
    <row r="24" spans="1:4" ht="14.1" customHeight="1">
      <c r="A24" s="2" t="s">
        <v>48</v>
      </c>
      <c r="B24" s="2" t="s">
        <v>49</v>
      </c>
      <c r="C24" s="3"/>
      <c r="D24" s="3"/>
    </row>
    <row r="25" spans="1:4" ht="14.1" customHeight="1">
      <c r="A25" s="2" t="s">
        <v>50</v>
      </c>
      <c r="B25" s="2" t="s">
        <v>51</v>
      </c>
      <c r="C25" s="3"/>
      <c r="D25" s="3"/>
    </row>
    <row r="26" spans="1:4" ht="14.1" customHeight="1">
      <c r="A26" s="2" t="s">
        <v>52</v>
      </c>
      <c r="B26" s="2" t="s">
        <v>53</v>
      </c>
      <c r="C26" s="3"/>
      <c r="D26" s="3"/>
    </row>
    <row r="27" spans="1:4" ht="14.1" customHeight="1">
      <c r="A27" s="2" t="s">
        <v>54</v>
      </c>
      <c r="B27" s="2" t="s">
        <v>55</v>
      </c>
      <c r="C27" s="3"/>
      <c r="D27" s="3"/>
    </row>
    <row r="28" spans="1:4" ht="14.1" customHeight="1">
      <c r="A28" s="2" t="s">
        <v>56</v>
      </c>
      <c r="B28" s="2" t="s">
        <v>57</v>
      </c>
      <c r="C28" s="3"/>
      <c r="D28" s="3"/>
    </row>
    <row r="29" spans="1:4" ht="14.1" customHeight="1">
      <c r="A29" s="2" t="s">
        <v>58</v>
      </c>
      <c r="B29" s="2" t="s">
        <v>59</v>
      </c>
      <c r="C29" s="3"/>
      <c r="D29" s="3"/>
    </row>
    <row r="30" spans="1:4" ht="14.1" customHeight="1">
      <c r="A30" s="2" t="s">
        <v>60</v>
      </c>
      <c r="B30" s="2" t="s">
        <v>61</v>
      </c>
      <c r="C30" s="3"/>
      <c r="D30" s="3"/>
    </row>
    <row r="31" spans="1:4" ht="14.1" customHeight="1">
      <c r="A31" s="2" t="s">
        <v>62</v>
      </c>
      <c r="B31" s="2" t="s">
        <v>63</v>
      </c>
      <c r="C31" s="3"/>
      <c r="D31" s="3"/>
    </row>
    <row r="32" spans="1:4" ht="14.1" customHeight="1">
      <c r="A32" s="2" t="s">
        <v>64</v>
      </c>
      <c r="B32" s="2" t="s">
        <v>65</v>
      </c>
      <c r="C32" s="3"/>
      <c r="D32" s="3"/>
    </row>
    <row r="33" spans="1:4" ht="14.1" customHeight="1">
      <c r="A33" s="2" t="s">
        <v>66</v>
      </c>
      <c r="B33" s="2" t="s">
        <v>67</v>
      </c>
      <c r="C33" s="3"/>
      <c r="D33" s="3"/>
    </row>
    <row r="34" spans="1:4" s="20" customFormat="1" ht="14.1" customHeight="1">
      <c r="A34" s="4" t="s">
        <v>68</v>
      </c>
      <c r="B34" s="4" t="s">
        <v>69</v>
      </c>
      <c r="C34" s="27">
        <f>SUM(C14:C33)-C19-C20-C21</f>
        <v>0</v>
      </c>
      <c r="D34" s="27">
        <f>SUM(D14:D33)-D19-D20-D21</f>
        <v>0</v>
      </c>
    </row>
    <row r="35" spans="1:4" s="20" customFormat="1" ht="14.1" customHeight="1">
      <c r="A35" s="4" t="s">
        <v>70</v>
      </c>
      <c r="B35" s="4" t="s">
        <v>71</v>
      </c>
      <c r="C35" s="27">
        <f>C34+C13</f>
        <v>0</v>
      </c>
      <c r="D35" s="27">
        <f>D34+D13</f>
        <v>0</v>
      </c>
    </row>
    <row r="36" spans="1:4" ht="14.1" customHeight="1">
      <c r="A36" s="2" t="s">
        <v>72</v>
      </c>
      <c r="B36" s="2" t="s">
        <v>73</v>
      </c>
      <c r="C36" s="3"/>
      <c r="D36" s="3"/>
    </row>
    <row r="37" spans="1:4" ht="14.1" customHeight="1">
      <c r="A37" s="2" t="s">
        <v>74</v>
      </c>
      <c r="B37" s="2" t="s">
        <v>75</v>
      </c>
      <c r="C37" s="3"/>
      <c r="D37" s="3"/>
    </row>
    <row r="38" spans="1:4" ht="14.1" customHeight="1">
      <c r="A38" s="2" t="s">
        <v>76</v>
      </c>
      <c r="B38" s="26" t="s">
        <v>340</v>
      </c>
      <c r="C38" s="3"/>
      <c r="D38" s="3"/>
    </row>
    <row r="39" spans="1:4" ht="14.1" customHeight="1">
      <c r="A39" s="2" t="s">
        <v>78</v>
      </c>
      <c r="B39" s="2" t="s">
        <v>79</v>
      </c>
      <c r="C39" s="3"/>
      <c r="D39" s="3"/>
    </row>
    <row r="40" spans="1:4" ht="14.1" customHeight="1">
      <c r="A40" s="2" t="s">
        <v>80</v>
      </c>
      <c r="B40" s="2" t="s">
        <v>81</v>
      </c>
      <c r="C40" s="3"/>
      <c r="D40" s="3"/>
    </row>
    <row r="41" spans="1:4" ht="14.1" customHeight="1">
      <c r="A41" s="2" t="s">
        <v>82</v>
      </c>
      <c r="B41" s="2" t="s">
        <v>83</v>
      </c>
      <c r="C41" s="3"/>
      <c r="D41" s="3"/>
    </row>
    <row r="42" spans="1:4" ht="14.1" customHeight="1">
      <c r="A42" s="2" t="s">
        <v>84</v>
      </c>
      <c r="B42" s="2" t="s">
        <v>85</v>
      </c>
      <c r="C42" s="3"/>
      <c r="D42" s="3"/>
    </row>
    <row r="43" spans="1:4" ht="14.1" customHeight="1">
      <c r="A43" s="2" t="s">
        <v>86</v>
      </c>
      <c r="B43" s="2" t="s">
        <v>87</v>
      </c>
      <c r="C43" s="3"/>
      <c r="D43" s="3"/>
    </row>
    <row r="44" spans="1:4" ht="14.1" customHeight="1">
      <c r="A44" s="2" t="s">
        <v>88</v>
      </c>
      <c r="B44" s="2" t="s">
        <v>89</v>
      </c>
      <c r="C44" s="3"/>
      <c r="D44" s="3"/>
    </row>
    <row r="45" spans="1:4" ht="14.1" customHeight="1">
      <c r="A45" s="2" t="s">
        <v>90</v>
      </c>
      <c r="B45" s="2" t="s">
        <v>91</v>
      </c>
      <c r="C45" s="3"/>
      <c r="D45" s="3"/>
    </row>
    <row r="46" spans="1:4" ht="14.1" customHeight="1">
      <c r="A46" s="2" t="s">
        <v>93</v>
      </c>
      <c r="B46" s="2" t="s">
        <v>94</v>
      </c>
      <c r="C46" s="3"/>
      <c r="D46" s="3"/>
    </row>
    <row r="47" spans="1:4" ht="14.1" customHeight="1">
      <c r="A47" s="2" t="s">
        <v>95</v>
      </c>
      <c r="B47" s="2" t="s">
        <v>96</v>
      </c>
      <c r="C47" s="3"/>
      <c r="D47" s="3"/>
    </row>
    <row r="48" spans="1:4" s="20" customFormat="1" ht="14.1" customHeight="1">
      <c r="A48" s="4" t="s">
        <v>97</v>
      </c>
      <c r="B48" s="4" t="s">
        <v>98</v>
      </c>
      <c r="C48" s="27">
        <f>SUM(C36:C47)</f>
        <v>0</v>
      </c>
      <c r="D48" s="27">
        <f>SUM(D36:D47)</f>
        <v>0</v>
      </c>
    </row>
    <row r="49" spans="1:4" ht="14.1" customHeight="1">
      <c r="A49" s="2" t="s">
        <v>99</v>
      </c>
      <c r="B49" s="2" t="s">
        <v>100</v>
      </c>
      <c r="C49" s="3"/>
      <c r="D49" s="3"/>
    </row>
    <row r="50" spans="1:4" ht="14.1" customHeight="1">
      <c r="A50" s="2" t="s">
        <v>101</v>
      </c>
      <c r="B50" s="2" t="s">
        <v>102</v>
      </c>
      <c r="C50" s="3"/>
      <c r="D50" s="3"/>
    </row>
    <row r="51" spans="1:4" ht="14.1" customHeight="1">
      <c r="A51" s="2" t="s">
        <v>103</v>
      </c>
      <c r="B51" s="2" t="s">
        <v>104</v>
      </c>
      <c r="C51" s="3"/>
      <c r="D51" s="3"/>
    </row>
    <row r="52" spans="1:4" ht="14.1" customHeight="1">
      <c r="A52" s="2" t="s">
        <v>105</v>
      </c>
      <c r="B52" s="2" t="s">
        <v>106</v>
      </c>
      <c r="C52" s="3"/>
      <c r="D52" s="3"/>
    </row>
    <row r="53" spans="1:4" ht="14.1" customHeight="1">
      <c r="A53" s="2" t="s">
        <v>107</v>
      </c>
      <c r="B53" s="2" t="s">
        <v>92</v>
      </c>
      <c r="C53" s="3"/>
      <c r="D53" s="3"/>
    </row>
    <row r="54" spans="1:4" ht="14.1" customHeight="1">
      <c r="A54" s="2" t="s">
        <v>108</v>
      </c>
      <c r="B54" s="2" t="s">
        <v>109</v>
      </c>
      <c r="C54" s="3"/>
      <c r="D54" s="3"/>
    </row>
    <row r="55" spans="1:4" ht="14.1" customHeight="1">
      <c r="A55" s="2" t="s">
        <v>110</v>
      </c>
      <c r="B55" s="2" t="s">
        <v>111</v>
      </c>
      <c r="C55" s="3"/>
      <c r="D55" s="3"/>
    </row>
    <row r="56" spans="1:4" s="20" customFormat="1" ht="14.1" customHeight="1">
      <c r="A56" s="4" t="s">
        <v>112</v>
      </c>
      <c r="B56" s="4" t="s">
        <v>113</v>
      </c>
      <c r="C56" s="27">
        <f>SUM(C49:C55)</f>
        <v>0</v>
      </c>
      <c r="D56" s="27">
        <f>SUM(D49:D55)</f>
        <v>0</v>
      </c>
    </row>
    <row r="57" spans="1:4" s="20" customFormat="1" ht="14.1" customHeight="1">
      <c r="A57" s="4" t="s">
        <v>114</v>
      </c>
      <c r="B57" s="4" t="s">
        <v>115</v>
      </c>
      <c r="C57" s="27">
        <f>C48+C56</f>
        <v>0</v>
      </c>
      <c r="D57" s="27">
        <f>D48+D56</f>
        <v>0</v>
      </c>
    </row>
    <row r="58" spans="1:4" ht="14.1" customHeight="1">
      <c r="A58" s="2" t="s">
        <v>116</v>
      </c>
      <c r="B58" s="2" t="s">
        <v>117</v>
      </c>
      <c r="C58" s="3"/>
      <c r="D58" s="3"/>
    </row>
    <row r="59" spans="1:4" ht="14.1" customHeight="1">
      <c r="A59" s="2" t="s">
        <v>118</v>
      </c>
      <c r="B59" s="2" t="s">
        <v>119</v>
      </c>
      <c r="C59" s="3"/>
      <c r="D59" s="3"/>
    </row>
    <row r="60" spans="1:4" ht="14.1" customHeight="1">
      <c r="A60" s="2" t="s">
        <v>120</v>
      </c>
      <c r="B60" s="2" t="s">
        <v>121</v>
      </c>
      <c r="C60" s="3"/>
      <c r="D60" s="3"/>
    </row>
    <row r="61" spans="1:4" ht="14.1" customHeight="1">
      <c r="A61" s="2"/>
      <c r="B61" s="31" t="s">
        <v>341</v>
      </c>
      <c r="C61" s="3"/>
      <c r="D61" s="3"/>
    </row>
    <row r="62" spans="1:4" ht="14.1" customHeight="1">
      <c r="A62" s="2" t="s">
        <v>122</v>
      </c>
      <c r="B62" s="2" t="s">
        <v>123</v>
      </c>
      <c r="C62" s="3"/>
      <c r="D62" s="3"/>
    </row>
    <row r="63" spans="1:4" ht="14.1" customHeight="1">
      <c r="A63" s="2" t="s">
        <v>124</v>
      </c>
      <c r="B63" s="2" t="s">
        <v>125</v>
      </c>
      <c r="C63" s="3"/>
      <c r="D63" s="3"/>
    </row>
    <row r="64" spans="1:4" ht="14.1" customHeight="1">
      <c r="A64" s="2" t="s">
        <v>126</v>
      </c>
      <c r="B64" s="2" t="s">
        <v>127</v>
      </c>
      <c r="C64" s="3"/>
      <c r="D64" s="3"/>
    </row>
    <row r="65" spans="1:4" s="20" customFormat="1" ht="14.1" customHeight="1">
      <c r="A65" s="4" t="s">
        <v>128</v>
      </c>
      <c r="B65" s="4" t="s">
        <v>129</v>
      </c>
      <c r="C65" s="27">
        <f>SUM(C58:C64)</f>
        <v>0</v>
      </c>
      <c r="D65" s="27">
        <f>SUM(D58:D64)</f>
        <v>0</v>
      </c>
    </row>
    <row r="66" spans="1:4" ht="14.1" customHeight="1">
      <c r="A66" s="2" t="s">
        <v>130</v>
      </c>
      <c r="B66" s="2" t="s">
        <v>135</v>
      </c>
      <c r="C66" s="3"/>
      <c r="D66" s="3"/>
    </row>
    <row r="67" spans="1:4" s="20" customFormat="1" ht="14.1" customHeight="1">
      <c r="A67" s="4" t="s">
        <v>131</v>
      </c>
      <c r="B67" s="4" t="s">
        <v>132</v>
      </c>
      <c r="C67" s="27">
        <f>C65+C66</f>
        <v>0</v>
      </c>
      <c r="D67" s="27">
        <f>D65+D66</f>
        <v>0</v>
      </c>
    </row>
    <row r="68" spans="1:4" s="20" customFormat="1" ht="14.1" customHeight="1">
      <c r="A68" s="4" t="s">
        <v>133</v>
      </c>
      <c r="B68" s="4" t="s">
        <v>134</v>
      </c>
      <c r="C68" s="27">
        <f>C67+C57</f>
        <v>0</v>
      </c>
      <c r="D68" s="27">
        <f>D67+D57</f>
        <v>0</v>
      </c>
    </row>
    <row r="69" spans="1:4">
      <c r="C69" s="34">
        <f>C68-C35</f>
        <v>0</v>
      </c>
      <c r="D69" s="34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6"/>
  </sheetPr>
  <dimension ref="A1:D43"/>
  <sheetViews>
    <sheetView zoomScale="145" workbookViewId="0">
      <pane xSplit="1" ySplit="1" topLeftCell="B2" activePane="bottomRight" state="frozen"/>
      <selection activeCell="E35" sqref="E35"/>
      <selection pane="topRight" activeCell="E35" sqref="E35"/>
      <selection pane="bottomLeft" activeCell="E35" sqref="E35"/>
      <selection pane="bottomRight" activeCell="D3" sqref="D3 D6 D8:D14 D16:D17 D19 D21 D40:D43"/>
    </sheetView>
  </sheetViews>
  <sheetFormatPr defaultRowHeight="12.75"/>
  <cols>
    <col min="1" max="1" width="8.5703125" bestFit="1" customWidth="1"/>
    <col min="2" max="2" width="31.5703125" bestFit="1" customWidth="1"/>
    <col min="3" max="3" width="7.28515625" customWidth="1"/>
    <col min="4" max="4" width="16.85546875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1" t="s">
        <v>186</v>
      </c>
    </row>
    <row r="2" spans="1:4" ht="14.1" customHeight="1">
      <c r="A2" s="2" t="s">
        <v>187</v>
      </c>
      <c r="B2" s="2" t="s">
        <v>188</v>
      </c>
      <c r="C2" s="29">
        <f>C3+C4</f>
        <v>0</v>
      </c>
      <c r="D2" s="29">
        <f>D3+D4</f>
        <v>0</v>
      </c>
    </row>
    <row r="3" spans="1:4" ht="14.1" customHeight="1">
      <c r="A3" s="2" t="s">
        <v>189</v>
      </c>
      <c r="B3" s="2" t="s">
        <v>144</v>
      </c>
      <c r="C3" s="18"/>
    </row>
    <row r="4" spans="1:4" ht="14.1" customHeight="1">
      <c r="A4" s="2" t="s">
        <v>190</v>
      </c>
      <c r="B4" s="2" t="s">
        <v>191</v>
      </c>
      <c r="C4" s="18"/>
      <c r="D4" s="18"/>
    </row>
    <row r="5" spans="1:4" ht="14.1" customHeight="1">
      <c r="A5" s="2" t="s">
        <v>192</v>
      </c>
      <c r="B5" s="2" t="s">
        <v>193</v>
      </c>
      <c r="C5" s="29">
        <f>C6+C7</f>
        <v>0</v>
      </c>
      <c r="D5" s="29">
        <f>D6+D7</f>
        <v>0</v>
      </c>
    </row>
    <row r="6" spans="1:4" ht="14.1" customHeight="1">
      <c r="A6" s="2" t="s">
        <v>194</v>
      </c>
      <c r="B6" s="2" t="s">
        <v>145</v>
      </c>
      <c r="C6" s="18"/>
    </row>
    <row r="7" spans="1:4" ht="14.1" customHeight="1">
      <c r="A7" s="2" t="s">
        <v>195</v>
      </c>
      <c r="B7" s="2" t="s">
        <v>196</v>
      </c>
      <c r="C7" s="18"/>
      <c r="D7" s="18"/>
    </row>
    <row r="8" spans="1:4" ht="14.1" customHeight="1">
      <c r="A8" s="2" t="s">
        <v>197</v>
      </c>
      <c r="B8" s="2" t="s">
        <v>198</v>
      </c>
      <c r="C8" s="18"/>
      <c r="D8" s="18"/>
    </row>
    <row r="9" spans="1:4" ht="14.1" customHeight="1">
      <c r="A9" s="2" t="s">
        <v>199</v>
      </c>
      <c r="B9" s="2" t="s">
        <v>200</v>
      </c>
      <c r="C9" s="18"/>
      <c r="D9" s="18"/>
    </row>
    <row r="10" spans="1:4" ht="14.1" customHeight="1">
      <c r="A10" s="2" t="s">
        <v>201</v>
      </c>
      <c r="B10" s="2" t="s">
        <v>147</v>
      </c>
      <c r="C10" s="18"/>
      <c r="D10" s="18"/>
    </row>
    <row r="11" spans="1:4" ht="13.5" customHeight="1">
      <c r="A11" s="2" t="s">
        <v>202</v>
      </c>
      <c r="B11" s="2" t="s">
        <v>148</v>
      </c>
      <c r="C11" s="18"/>
      <c r="D11" s="18"/>
    </row>
    <row r="12" spans="1:4" ht="13.5" customHeight="1">
      <c r="A12" s="2" t="s">
        <v>203</v>
      </c>
      <c r="B12" s="2" t="s">
        <v>204</v>
      </c>
      <c r="C12" s="18"/>
      <c r="D12" s="18"/>
    </row>
    <row r="13" spans="1:4" ht="14.1" customHeight="1">
      <c r="A13" s="2" t="s">
        <v>205</v>
      </c>
      <c r="B13" s="2" t="s">
        <v>206</v>
      </c>
      <c r="C13" s="18"/>
      <c r="D13" s="18"/>
    </row>
    <row r="14" spans="1:4" ht="14.1" customHeight="1">
      <c r="A14" s="2" t="s">
        <v>207</v>
      </c>
      <c r="B14" s="2" t="s">
        <v>208</v>
      </c>
      <c r="C14" s="18"/>
      <c r="D14" s="18"/>
    </row>
    <row r="15" spans="1:4" ht="14.1" customHeight="1">
      <c r="A15" s="2" t="s">
        <v>209</v>
      </c>
      <c r="B15" s="2" t="s">
        <v>149</v>
      </c>
      <c r="C15" s="29">
        <f>C2-C5-C8-C9-C10-C11-C12+C13+C14</f>
        <v>0</v>
      </c>
      <c r="D15" s="29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  <c r="D16" s="18"/>
    </row>
    <row r="17" spans="1:4" ht="14.1" customHeight="1">
      <c r="A17" s="2" t="s">
        <v>212</v>
      </c>
      <c r="B17" s="2" t="s">
        <v>213</v>
      </c>
      <c r="C17" s="18"/>
      <c r="D17" s="18"/>
    </row>
    <row r="18" spans="1:4" ht="14.1" customHeight="1">
      <c r="A18" s="2" t="s">
        <v>214</v>
      </c>
      <c r="B18" s="2" t="s">
        <v>150</v>
      </c>
      <c r="C18" s="29">
        <f>C15+C16-C17</f>
        <v>0</v>
      </c>
      <c r="D18" s="29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18"/>
    </row>
    <row r="20" spans="1:4" ht="14.1" customHeight="1">
      <c r="A20" s="2" t="s">
        <v>217</v>
      </c>
      <c r="B20" s="2" t="s">
        <v>151</v>
      </c>
      <c r="C20" s="29">
        <f>C18-C19</f>
        <v>0</v>
      </c>
      <c r="D20" s="29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18"/>
    </row>
    <row r="22" spans="1:4" ht="14.1" customHeight="1">
      <c r="A22" s="2" t="s">
        <v>220</v>
      </c>
      <c r="B22" s="2" t="s">
        <v>221</v>
      </c>
      <c r="C22" s="29">
        <f>C20-C21</f>
        <v>0</v>
      </c>
      <c r="D22" s="29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18"/>
    </row>
    <row r="24" spans="1:4" ht="14.1" customHeight="1">
      <c r="A24" s="2" t="s">
        <v>224</v>
      </c>
      <c r="B24" s="2" t="s">
        <v>225</v>
      </c>
      <c r="C24" s="18"/>
      <c r="D24" s="18"/>
    </row>
    <row r="25" spans="1:4" ht="14.1" customHeight="1">
      <c r="A25" s="2" t="s">
        <v>226</v>
      </c>
      <c r="B25" s="2" t="s">
        <v>227</v>
      </c>
      <c r="C25" s="18"/>
      <c r="D25" s="18"/>
    </row>
    <row r="26" spans="1:4" ht="14.1" customHeight="1">
      <c r="A26" s="2" t="s">
        <v>228</v>
      </c>
      <c r="B26" s="2" t="s">
        <v>229</v>
      </c>
      <c r="C26" s="18"/>
    </row>
    <row r="27" spans="1:4" ht="14.1" customHeight="1">
      <c r="A27" s="2" t="s">
        <v>230</v>
      </c>
      <c r="B27" s="2" t="s">
        <v>231</v>
      </c>
      <c r="C27" s="18"/>
      <c r="D27" s="18"/>
    </row>
    <row r="28" spans="1:4" ht="14.1" customHeight="1">
      <c r="A28" s="2" t="s">
        <v>232</v>
      </c>
      <c r="B28" s="2" t="s">
        <v>233</v>
      </c>
      <c r="C28" s="18"/>
    </row>
    <row r="29" spans="1:4" ht="14.1" customHeight="1">
      <c r="A29" s="2" t="s">
        <v>234</v>
      </c>
      <c r="B29" s="2" t="s">
        <v>235</v>
      </c>
      <c r="C29" s="18"/>
      <c r="D29" s="18"/>
    </row>
    <row r="30" spans="1:4" ht="14.1" customHeight="1">
      <c r="A30" s="2" t="s">
        <v>236</v>
      </c>
      <c r="B30" s="2" t="s">
        <v>237</v>
      </c>
      <c r="C30" s="18"/>
      <c r="D30" s="18"/>
    </row>
    <row r="31" spans="1:4" ht="14.1" customHeight="1">
      <c r="A31" s="2" t="s">
        <v>238</v>
      </c>
      <c r="B31" s="2" t="s">
        <v>239</v>
      </c>
      <c r="C31" s="18"/>
      <c r="D31" s="18"/>
    </row>
    <row r="32" spans="1:4" ht="14.1" customHeight="1">
      <c r="A32" s="2" t="s">
        <v>240</v>
      </c>
      <c r="B32" s="2" t="s">
        <v>241</v>
      </c>
      <c r="C32" s="18"/>
      <c r="D32" s="18"/>
    </row>
    <row r="33" spans="1:4" ht="14.1" customHeight="1">
      <c r="A33" s="2" t="s">
        <v>242</v>
      </c>
      <c r="B33" s="2" t="s">
        <v>243</v>
      </c>
      <c r="C33" s="29">
        <f>C22+C26+C32</f>
        <v>0</v>
      </c>
      <c r="D33" s="29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18"/>
    </row>
    <row r="35" spans="1:4" ht="14.1" customHeight="1">
      <c r="A35" s="2" t="s">
        <v>246</v>
      </c>
      <c r="B35" s="2" t="s">
        <v>247</v>
      </c>
      <c r="C35" s="18"/>
      <c r="D35" s="18"/>
    </row>
    <row r="36" spans="1:4" ht="14.1" customHeight="1">
      <c r="A36" s="2" t="s">
        <v>248</v>
      </c>
      <c r="B36" s="2" t="s">
        <v>249</v>
      </c>
      <c r="C36" s="18"/>
      <c r="D36" s="18"/>
    </row>
    <row r="37" spans="1:4" ht="14.1" customHeight="1">
      <c r="A37" s="2" t="s">
        <v>250</v>
      </c>
      <c r="B37" s="2" t="s">
        <v>251</v>
      </c>
      <c r="C37" s="18"/>
      <c r="D37" s="18"/>
    </row>
    <row r="38" spans="1:4" ht="14.1" customHeight="1">
      <c r="A38" s="2" t="s">
        <v>252</v>
      </c>
      <c r="B38" s="2" t="s">
        <v>253</v>
      </c>
      <c r="C38" s="18"/>
      <c r="D38" s="18"/>
    </row>
    <row r="39" spans="1:4" ht="14.1" customHeight="1">
      <c r="A39" s="2" t="s">
        <v>254</v>
      </c>
      <c r="B39" s="2" t="s">
        <v>125</v>
      </c>
      <c r="C39" s="29">
        <f>C33-C36</f>
        <v>0</v>
      </c>
      <c r="D39" s="29">
        <f>D33-D36-D38</f>
        <v>0</v>
      </c>
    </row>
    <row r="40" spans="1:4" ht="14.1" customHeight="1">
      <c r="A40" s="2" t="s">
        <v>255</v>
      </c>
      <c r="B40" s="2" t="s">
        <v>256</v>
      </c>
      <c r="C40" s="18"/>
      <c r="D40" s="18"/>
    </row>
    <row r="41" spans="1:4" ht="14.1" customHeight="1">
      <c r="A41" s="2" t="s">
        <v>257</v>
      </c>
      <c r="B41" s="2" t="s">
        <v>258</v>
      </c>
      <c r="C41" s="18"/>
      <c r="D41" s="18"/>
    </row>
    <row r="42" spans="1:4" ht="14.1" customHeight="1">
      <c r="A42" s="2" t="s">
        <v>259</v>
      </c>
      <c r="B42" s="2" t="s">
        <v>260</v>
      </c>
      <c r="C42" s="18"/>
      <c r="D42" s="53"/>
    </row>
    <row r="43" spans="1:4" ht="14.1" customHeight="1">
      <c r="A43" s="2" t="s">
        <v>261</v>
      </c>
      <c r="B43" s="2" t="s">
        <v>262</v>
      </c>
      <c r="C43" s="18"/>
      <c r="D43" s="53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6"/>
  </sheetPr>
  <dimension ref="A1:C39"/>
  <sheetViews>
    <sheetView workbookViewId="0">
      <pane xSplit="1" ySplit="1" topLeftCell="B14" activePane="bottomRight" state="frozen"/>
      <selection activeCell="F29" sqref="F29"/>
      <selection pane="topRight" activeCell="F29" sqref="F29"/>
      <selection pane="bottomLeft" activeCell="F29" sqref="F29"/>
      <selection pane="bottomRight" activeCell="C3" sqref="C3 C5 C7:C10 C14:C16 C18 C20:C23 C27:C29 C31:C33 C36 C38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 t="s">
        <v>263</v>
      </c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29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29">
        <f>SUM(C7:C10)</f>
        <v>0</v>
      </c>
    </row>
    <row r="12" spans="1:3" ht="14.1" customHeight="1">
      <c r="A12" s="2" t="s">
        <v>284</v>
      </c>
      <c r="B12" s="2" t="s">
        <v>285</v>
      </c>
      <c r="C12" s="29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29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29">
        <f>SUM(C20:C23)</f>
        <v>0</v>
      </c>
    </row>
    <row r="25" spans="1:3" ht="14.1" customHeight="1">
      <c r="A25" s="2" t="s">
        <v>310</v>
      </c>
      <c r="B25" s="2" t="s">
        <v>311</v>
      </c>
      <c r="C25" s="29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29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29">
        <f>SUM(C31:C33)</f>
        <v>0</v>
      </c>
    </row>
    <row r="35" spans="1:3" ht="14.1" customHeight="1">
      <c r="A35" s="2" t="s">
        <v>330</v>
      </c>
      <c r="B35" s="2" t="s">
        <v>331</v>
      </c>
      <c r="C35" s="29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29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29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62"/>
  </sheetPr>
  <dimension ref="A1:D69"/>
  <sheetViews>
    <sheetView zoomScale="115" workbookViewId="0">
      <pane xSplit="1" ySplit="1" topLeftCell="B47" activePane="bottomRight" state="frozen"/>
      <selection activeCell="I34" sqref="I34"/>
      <selection pane="topRight" activeCell="I34" sqref="I34"/>
      <selection pane="bottomLeft" activeCell="I34" sqref="I34"/>
      <selection pane="bottomRight" activeCell="D67" sqref="D67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1" customHeight="1">
      <c r="A2" s="2" t="s">
        <v>4</v>
      </c>
      <c r="B2" s="2" t="s">
        <v>5</v>
      </c>
      <c r="C2" s="3"/>
      <c r="D2" s="3"/>
    </row>
    <row r="3" spans="1:4" ht="14.1" customHeight="1">
      <c r="A3" s="2" t="s">
        <v>6</v>
      </c>
      <c r="B3" s="2" t="s">
        <v>7</v>
      </c>
      <c r="C3" s="3"/>
      <c r="D3" s="3"/>
    </row>
    <row r="4" spans="1:4" ht="14.1" customHeight="1">
      <c r="A4" s="2" t="s">
        <v>8</v>
      </c>
      <c r="B4" s="2" t="s">
        <v>9</v>
      </c>
      <c r="C4" s="3"/>
      <c r="D4" s="3"/>
    </row>
    <row r="5" spans="1:4" ht="14.1" customHeight="1">
      <c r="A5" s="2" t="s">
        <v>10</v>
      </c>
      <c r="B5" s="2" t="s">
        <v>11</v>
      </c>
      <c r="C5" s="3"/>
      <c r="D5" s="3"/>
    </row>
    <row r="6" spans="1:4" ht="14.1" customHeight="1">
      <c r="A6" s="2" t="s">
        <v>12</v>
      </c>
      <c r="B6" s="2" t="s">
        <v>13</v>
      </c>
      <c r="C6" s="3"/>
      <c r="D6" s="3"/>
    </row>
    <row r="7" spans="1:4" ht="14.1" customHeight="1">
      <c r="A7" s="2" t="s">
        <v>14</v>
      </c>
      <c r="B7" s="2" t="s">
        <v>15</v>
      </c>
      <c r="C7" s="3"/>
      <c r="D7" s="3"/>
    </row>
    <row r="8" spans="1:4" ht="14.1" customHeight="1">
      <c r="A8" s="2" t="s">
        <v>16</v>
      </c>
      <c r="B8" s="2" t="s">
        <v>17</v>
      </c>
      <c r="C8" s="3"/>
      <c r="D8" s="3"/>
    </row>
    <row r="9" spans="1:4" ht="14.1" customHeight="1">
      <c r="A9" s="2" t="s">
        <v>18</v>
      </c>
      <c r="B9" s="2" t="s">
        <v>19</v>
      </c>
      <c r="C9" s="3"/>
      <c r="D9" s="3"/>
    </row>
    <row r="10" spans="1:4" ht="14.1" customHeight="1">
      <c r="A10" s="2" t="s">
        <v>20</v>
      </c>
      <c r="B10" s="2" t="s">
        <v>21</v>
      </c>
      <c r="C10" s="3"/>
      <c r="D10" s="3"/>
    </row>
    <row r="11" spans="1:4" ht="14.1" customHeight="1">
      <c r="A11" s="2" t="s">
        <v>22</v>
      </c>
      <c r="B11" s="2" t="s">
        <v>23</v>
      </c>
      <c r="C11" s="3"/>
      <c r="D11" s="3"/>
    </row>
    <row r="12" spans="1:4" ht="14.1" customHeight="1">
      <c r="A12" s="2" t="s">
        <v>24</v>
      </c>
      <c r="B12" s="2" t="s">
        <v>25</v>
      </c>
      <c r="C12" s="3"/>
      <c r="D12" s="3"/>
    </row>
    <row r="13" spans="1:4" s="20" customFormat="1" ht="14.1" customHeight="1">
      <c r="A13" s="4" t="s">
        <v>26</v>
      </c>
      <c r="B13" s="4" t="s">
        <v>27</v>
      </c>
      <c r="C13" s="27">
        <f>SUM(C2:C12)</f>
        <v>0</v>
      </c>
      <c r="D13" s="27">
        <f>SUM(D2:D12)</f>
        <v>0</v>
      </c>
    </row>
    <row r="14" spans="1:4" ht="14.1" customHeight="1">
      <c r="A14" s="2" t="s">
        <v>28</v>
      </c>
      <c r="B14" s="2" t="s">
        <v>29</v>
      </c>
      <c r="C14" s="3"/>
      <c r="D14" s="3"/>
    </row>
    <row r="15" spans="1:4" ht="14.1" customHeight="1">
      <c r="A15" s="2" t="s">
        <v>30</v>
      </c>
      <c r="B15" s="2" t="s">
        <v>31</v>
      </c>
      <c r="C15" s="3"/>
      <c r="D15" s="3"/>
    </row>
    <row r="16" spans="1:4" ht="14.1" customHeight="1">
      <c r="A16" s="2" t="s">
        <v>32</v>
      </c>
      <c r="B16" s="2" t="s">
        <v>33</v>
      </c>
      <c r="C16" s="3"/>
      <c r="D16" s="3"/>
    </row>
    <row r="17" spans="1:4" ht="14.1" customHeight="1">
      <c r="A17" s="2" t="s">
        <v>34</v>
      </c>
      <c r="B17" s="2" t="s">
        <v>35</v>
      </c>
      <c r="C17" s="3"/>
      <c r="D17" s="3"/>
    </row>
    <row r="18" spans="1:4" ht="14.1" customHeight="1">
      <c r="A18" s="2" t="s">
        <v>36</v>
      </c>
      <c r="B18" s="2" t="s">
        <v>37</v>
      </c>
      <c r="C18" s="3"/>
      <c r="D18" s="3"/>
    </row>
    <row r="19" spans="1:4" ht="14.1" customHeight="1">
      <c r="A19" s="2" t="s">
        <v>38</v>
      </c>
      <c r="B19" s="2" t="s">
        <v>39</v>
      </c>
      <c r="C19" s="3"/>
      <c r="D19" s="3"/>
    </row>
    <row r="20" spans="1:4" ht="14.1" customHeight="1">
      <c r="A20" s="2" t="s">
        <v>40</v>
      </c>
      <c r="B20" s="2" t="s">
        <v>41</v>
      </c>
      <c r="C20" s="3"/>
      <c r="D20" s="3"/>
    </row>
    <row r="21" spans="1:4" ht="14.1" customHeight="1">
      <c r="A21" s="2" t="s">
        <v>42</v>
      </c>
      <c r="B21" s="2" t="s">
        <v>43</v>
      </c>
      <c r="C21" s="3"/>
      <c r="D21" s="3"/>
    </row>
    <row r="22" spans="1:4" ht="14.1" customHeight="1">
      <c r="A22" s="2" t="s">
        <v>44</v>
      </c>
      <c r="B22" s="2" t="s">
        <v>45</v>
      </c>
      <c r="C22" s="28">
        <f>C19-C20-C21</f>
        <v>0</v>
      </c>
      <c r="D22" s="28">
        <f>D19-D20-D21</f>
        <v>0</v>
      </c>
    </row>
    <row r="23" spans="1:4" ht="14.1" customHeight="1">
      <c r="A23" s="2" t="s">
        <v>46</v>
      </c>
      <c r="B23" s="2" t="s">
        <v>47</v>
      </c>
      <c r="C23" s="3"/>
      <c r="D23" s="3"/>
    </row>
    <row r="24" spans="1:4" ht="14.1" customHeight="1">
      <c r="A24" s="2" t="s">
        <v>48</v>
      </c>
      <c r="B24" s="2" t="s">
        <v>49</v>
      </c>
      <c r="C24" s="3"/>
      <c r="D24" s="3"/>
    </row>
    <row r="25" spans="1:4" ht="14.1" customHeight="1">
      <c r="A25" s="2" t="s">
        <v>50</v>
      </c>
      <c r="B25" s="2" t="s">
        <v>51</v>
      </c>
      <c r="C25" s="3"/>
      <c r="D25" s="3"/>
    </row>
    <row r="26" spans="1:4" ht="14.1" customHeight="1">
      <c r="A26" s="2" t="s">
        <v>52</v>
      </c>
      <c r="B26" s="2" t="s">
        <v>53</v>
      </c>
      <c r="C26" s="3"/>
      <c r="D26" s="3"/>
    </row>
    <row r="27" spans="1:4" ht="14.1" customHeight="1">
      <c r="A27" s="2" t="s">
        <v>54</v>
      </c>
      <c r="B27" s="2" t="s">
        <v>55</v>
      </c>
      <c r="C27" s="3"/>
      <c r="D27" s="3"/>
    </row>
    <row r="28" spans="1:4" ht="14.1" customHeight="1">
      <c r="A28" s="2" t="s">
        <v>56</v>
      </c>
      <c r="B28" s="2" t="s">
        <v>57</v>
      </c>
      <c r="C28" s="3"/>
      <c r="D28" s="3"/>
    </row>
    <row r="29" spans="1:4" ht="14.1" customHeight="1">
      <c r="A29" s="2" t="s">
        <v>58</v>
      </c>
      <c r="B29" s="2" t="s">
        <v>59</v>
      </c>
      <c r="C29" s="3"/>
      <c r="D29" s="3"/>
    </row>
    <row r="30" spans="1:4" ht="14.1" customHeight="1">
      <c r="A30" s="2" t="s">
        <v>60</v>
      </c>
      <c r="B30" s="2" t="s">
        <v>61</v>
      </c>
      <c r="C30" s="3"/>
      <c r="D30" s="3"/>
    </row>
    <row r="31" spans="1:4" ht="14.1" customHeight="1">
      <c r="A31" s="2" t="s">
        <v>62</v>
      </c>
      <c r="B31" s="2" t="s">
        <v>63</v>
      </c>
      <c r="C31" s="3"/>
      <c r="D31" s="3"/>
    </row>
    <row r="32" spans="1:4" ht="14.1" customHeight="1">
      <c r="A32" s="2" t="s">
        <v>64</v>
      </c>
      <c r="B32" s="2" t="s">
        <v>65</v>
      </c>
      <c r="C32" s="3"/>
      <c r="D32" s="3"/>
    </row>
    <row r="33" spans="1:4" ht="14.1" customHeight="1">
      <c r="A33" s="2" t="s">
        <v>66</v>
      </c>
      <c r="B33" s="2" t="s">
        <v>67</v>
      </c>
      <c r="C33" s="3"/>
      <c r="D33" s="3"/>
    </row>
    <row r="34" spans="1:4" s="20" customFormat="1" ht="14.1" customHeight="1">
      <c r="A34" s="4" t="s">
        <v>68</v>
      </c>
      <c r="B34" s="4" t="s">
        <v>69</v>
      </c>
      <c r="C34" s="27">
        <f>SUM(C14:C33)-C19-C20-C21</f>
        <v>0</v>
      </c>
      <c r="D34" s="27">
        <f>SUM(D14:D33)-D19-D20-D21</f>
        <v>0</v>
      </c>
    </row>
    <row r="35" spans="1:4" s="20" customFormat="1" ht="14.1" customHeight="1">
      <c r="A35" s="4" t="s">
        <v>70</v>
      </c>
      <c r="B35" s="4" t="s">
        <v>71</v>
      </c>
      <c r="C35" s="27">
        <f>C34+C13</f>
        <v>0</v>
      </c>
      <c r="D35" s="27">
        <f>D34+D13</f>
        <v>0</v>
      </c>
    </row>
    <row r="36" spans="1:4" ht="14.1" customHeight="1">
      <c r="A36" s="2" t="s">
        <v>72</v>
      </c>
      <c r="B36" s="2" t="s">
        <v>73</v>
      </c>
      <c r="C36" s="3"/>
      <c r="D36" s="3"/>
    </row>
    <row r="37" spans="1:4" ht="14.1" customHeight="1">
      <c r="A37" s="2" t="s">
        <v>74</v>
      </c>
      <c r="B37" s="2" t="s">
        <v>75</v>
      </c>
      <c r="C37" s="3"/>
      <c r="D37" s="3"/>
    </row>
    <row r="38" spans="1:4" ht="14.1" customHeight="1">
      <c r="A38" s="2" t="s">
        <v>76</v>
      </c>
      <c r="B38" s="2" t="s">
        <v>77</v>
      </c>
      <c r="C38" s="3"/>
      <c r="D38" s="3"/>
    </row>
    <row r="39" spans="1:4" ht="14.1" customHeight="1">
      <c r="A39" s="2" t="s">
        <v>78</v>
      </c>
      <c r="B39" s="2" t="s">
        <v>79</v>
      </c>
      <c r="C39" s="3"/>
      <c r="D39" s="3"/>
    </row>
    <row r="40" spans="1:4" ht="14.1" customHeight="1">
      <c r="A40" s="2" t="s">
        <v>80</v>
      </c>
      <c r="B40" s="2" t="s">
        <v>81</v>
      </c>
      <c r="C40" s="3"/>
      <c r="D40" s="3"/>
    </row>
    <row r="41" spans="1:4" ht="14.1" customHeight="1">
      <c r="A41" s="2" t="s">
        <v>82</v>
      </c>
      <c r="B41" s="2" t="s">
        <v>83</v>
      </c>
      <c r="C41" s="3"/>
      <c r="D41" s="3"/>
    </row>
    <row r="42" spans="1:4" ht="14.1" customHeight="1">
      <c r="A42" s="2" t="s">
        <v>84</v>
      </c>
      <c r="B42" s="2" t="s">
        <v>85</v>
      </c>
      <c r="C42" s="3"/>
      <c r="D42" s="3"/>
    </row>
    <row r="43" spans="1:4" ht="14.1" customHeight="1">
      <c r="A43" s="2" t="s">
        <v>86</v>
      </c>
      <c r="B43" s="2" t="s">
        <v>87</v>
      </c>
      <c r="C43" s="3"/>
      <c r="D43" s="3"/>
    </row>
    <row r="44" spans="1:4" ht="14.1" customHeight="1">
      <c r="A44" s="2" t="s">
        <v>88</v>
      </c>
      <c r="B44" s="2" t="s">
        <v>89</v>
      </c>
      <c r="C44" s="3"/>
      <c r="D44" s="3"/>
    </row>
    <row r="45" spans="1:4" ht="14.1" customHeight="1">
      <c r="A45" s="2" t="s">
        <v>90</v>
      </c>
      <c r="B45" s="2" t="s">
        <v>91</v>
      </c>
      <c r="C45" s="3"/>
      <c r="D45" s="3"/>
    </row>
    <row r="46" spans="1:4" ht="14.1" customHeight="1">
      <c r="A46" s="2" t="s">
        <v>93</v>
      </c>
      <c r="B46" s="2" t="s">
        <v>94</v>
      </c>
      <c r="C46" s="3"/>
      <c r="D46" s="3"/>
    </row>
    <row r="47" spans="1:4" ht="14.1" customHeight="1">
      <c r="A47" s="2" t="s">
        <v>95</v>
      </c>
      <c r="B47" s="2" t="s">
        <v>96</v>
      </c>
      <c r="C47" s="3"/>
      <c r="D47" s="3"/>
    </row>
    <row r="48" spans="1:4" s="20" customFormat="1" ht="14.1" customHeight="1">
      <c r="A48" s="4" t="s">
        <v>97</v>
      </c>
      <c r="B48" s="4" t="s">
        <v>98</v>
      </c>
      <c r="C48" s="27">
        <f>SUM(C36:C47)</f>
        <v>0</v>
      </c>
      <c r="D48" s="27">
        <f>SUM(D36:D47)</f>
        <v>0</v>
      </c>
    </row>
    <row r="49" spans="1:4" ht="14.1" customHeight="1">
      <c r="A49" s="2" t="s">
        <v>99</v>
      </c>
      <c r="B49" s="2" t="s">
        <v>100</v>
      </c>
      <c r="C49" s="3"/>
      <c r="D49" s="3"/>
    </row>
    <row r="50" spans="1:4" ht="14.1" customHeight="1">
      <c r="A50" s="2" t="s">
        <v>101</v>
      </c>
      <c r="B50" s="2" t="s">
        <v>102</v>
      </c>
      <c r="C50" s="3"/>
      <c r="D50" s="3"/>
    </row>
    <row r="51" spans="1:4" ht="14.1" customHeight="1">
      <c r="A51" s="2" t="s">
        <v>103</v>
      </c>
      <c r="B51" s="2" t="s">
        <v>104</v>
      </c>
      <c r="C51" s="3"/>
      <c r="D51" s="3"/>
    </row>
    <row r="52" spans="1:4" ht="14.1" customHeight="1">
      <c r="A52" s="2" t="s">
        <v>105</v>
      </c>
      <c r="B52" s="2" t="s">
        <v>106</v>
      </c>
      <c r="C52" s="3"/>
      <c r="D52" s="3"/>
    </row>
    <row r="53" spans="1:4" ht="14.1" customHeight="1">
      <c r="A53" s="2" t="s">
        <v>107</v>
      </c>
      <c r="B53" s="2" t="s">
        <v>92</v>
      </c>
      <c r="C53" s="3"/>
      <c r="D53" s="3"/>
    </row>
    <row r="54" spans="1:4" ht="14.1" customHeight="1">
      <c r="A54" s="2" t="s">
        <v>108</v>
      </c>
      <c r="B54" s="2" t="s">
        <v>109</v>
      </c>
      <c r="C54" s="3"/>
      <c r="D54" s="3"/>
    </row>
    <row r="55" spans="1:4" ht="14.1" customHeight="1">
      <c r="A55" s="2" t="s">
        <v>110</v>
      </c>
      <c r="B55" s="2" t="s">
        <v>111</v>
      </c>
      <c r="C55" s="3"/>
      <c r="D55" s="3"/>
    </row>
    <row r="56" spans="1:4" s="20" customFormat="1" ht="14.1" customHeight="1">
      <c r="A56" s="4" t="s">
        <v>112</v>
      </c>
      <c r="B56" s="4" t="s">
        <v>113</v>
      </c>
      <c r="C56" s="27">
        <f>SUM(C49:C55)</f>
        <v>0</v>
      </c>
      <c r="D56" s="27">
        <f>SUM(D49:D55)</f>
        <v>0</v>
      </c>
    </row>
    <row r="57" spans="1:4" s="20" customFormat="1" ht="14.1" customHeight="1">
      <c r="A57" s="4" t="s">
        <v>114</v>
      </c>
      <c r="B57" s="4" t="s">
        <v>115</v>
      </c>
      <c r="C57" s="27">
        <f>C48+C56</f>
        <v>0</v>
      </c>
      <c r="D57" s="27">
        <f>D48+D56</f>
        <v>0</v>
      </c>
    </row>
    <row r="58" spans="1:4" ht="14.1" customHeight="1">
      <c r="A58" s="2" t="s">
        <v>116</v>
      </c>
      <c r="B58" s="2" t="s">
        <v>117</v>
      </c>
      <c r="C58" s="3"/>
      <c r="D58" s="3"/>
    </row>
    <row r="59" spans="1:4" ht="14.1" customHeight="1">
      <c r="A59" s="2" t="s">
        <v>118</v>
      </c>
      <c r="B59" s="2" t="s">
        <v>119</v>
      </c>
      <c r="C59" s="3"/>
      <c r="D59" s="3"/>
    </row>
    <row r="60" spans="1:4" ht="14.1" customHeight="1">
      <c r="A60" s="2" t="s">
        <v>120</v>
      </c>
      <c r="B60" s="2" t="s">
        <v>121</v>
      </c>
      <c r="C60" s="3"/>
      <c r="D60" s="3"/>
    </row>
    <row r="61" spans="1:4" ht="14.1" customHeight="1">
      <c r="A61" s="2"/>
      <c r="B61" s="31" t="s">
        <v>341</v>
      </c>
      <c r="C61" s="3"/>
      <c r="D61" s="3"/>
    </row>
    <row r="62" spans="1:4" ht="14.1" customHeight="1">
      <c r="A62" s="2" t="s">
        <v>122</v>
      </c>
      <c r="B62" s="2" t="s">
        <v>123</v>
      </c>
      <c r="C62" s="3"/>
      <c r="D62" s="3"/>
    </row>
    <row r="63" spans="1:4" ht="14.1" customHeight="1">
      <c r="A63" s="2" t="s">
        <v>124</v>
      </c>
      <c r="B63" s="2" t="s">
        <v>125</v>
      </c>
      <c r="C63" s="3"/>
      <c r="D63" s="3"/>
    </row>
    <row r="64" spans="1:4" ht="14.1" customHeight="1">
      <c r="A64" s="2" t="s">
        <v>126</v>
      </c>
      <c r="B64" s="2" t="s">
        <v>127</v>
      </c>
      <c r="C64" s="3"/>
      <c r="D64" s="3"/>
    </row>
    <row r="65" spans="1:4" s="20" customFormat="1" ht="14.1" customHeight="1">
      <c r="A65" s="4" t="s">
        <v>128</v>
      </c>
      <c r="B65" s="4" t="s">
        <v>129</v>
      </c>
      <c r="C65" s="27">
        <f>SUM(C58:C64)</f>
        <v>0</v>
      </c>
      <c r="D65" s="27">
        <f>SUM(D58:D64)</f>
        <v>0</v>
      </c>
    </row>
    <row r="66" spans="1:4" ht="14.1" customHeight="1">
      <c r="A66" s="2" t="s">
        <v>130</v>
      </c>
      <c r="B66" s="2" t="s">
        <v>135</v>
      </c>
      <c r="C66" s="3"/>
      <c r="D66" s="3"/>
    </row>
    <row r="67" spans="1:4" s="20" customFormat="1" ht="14.1" customHeight="1">
      <c r="A67" s="4" t="s">
        <v>131</v>
      </c>
      <c r="B67" s="4" t="s">
        <v>132</v>
      </c>
      <c r="C67" s="27">
        <f>C65+C66</f>
        <v>0</v>
      </c>
      <c r="D67" s="27">
        <f>D65+D66</f>
        <v>0</v>
      </c>
    </row>
    <row r="68" spans="1:4" s="20" customFormat="1" ht="14.1" customHeight="1">
      <c r="A68" s="4" t="s">
        <v>133</v>
      </c>
      <c r="B68" s="4" t="s">
        <v>134</v>
      </c>
      <c r="C68" s="27">
        <f>C67+C57</f>
        <v>0</v>
      </c>
      <c r="D68" s="27">
        <f>D67+D57</f>
        <v>0</v>
      </c>
    </row>
    <row r="69" spans="1:4">
      <c r="C69" s="34">
        <f>C68-C35</f>
        <v>0</v>
      </c>
      <c r="D69" s="34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62"/>
  </sheetPr>
  <dimension ref="A1:D43"/>
  <sheetViews>
    <sheetView zoomScale="130" workbookViewId="0">
      <pane xSplit="1" ySplit="1" topLeftCell="B2" activePane="bottomRight" state="frozen"/>
      <selection activeCell="I34" sqref="I34"/>
      <selection pane="topRight" activeCell="I34" sqref="I34"/>
      <selection pane="bottomLeft" activeCell="I34" sqref="I34"/>
      <selection pane="bottomRight" activeCell="D1" sqref="D1:D1048576"/>
    </sheetView>
  </sheetViews>
  <sheetFormatPr defaultRowHeight="12.75"/>
  <cols>
    <col min="1" max="1" width="8.5703125" bestFit="1" customWidth="1"/>
    <col min="2" max="2" width="31.5703125" bestFit="1" customWidth="1"/>
    <col min="3" max="3" width="7.28515625" customWidth="1"/>
    <col min="4" max="4" width="18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1"/>
    </row>
    <row r="2" spans="1:4" ht="14.1" customHeight="1">
      <c r="A2" s="2" t="s">
        <v>187</v>
      </c>
      <c r="B2" s="2" t="s">
        <v>188</v>
      </c>
      <c r="C2" s="29">
        <f>C3+C4</f>
        <v>0</v>
      </c>
      <c r="D2" s="29">
        <f>D3+D4</f>
        <v>0</v>
      </c>
    </row>
    <row r="3" spans="1:4" ht="14.1" customHeight="1">
      <c r="A3" s="2" t="s">
        <v>189</v>
      </c>
      <c r="B3" s="2" t="s">
        <v>144</v>
      </c>
      <c r="C3" s="18"/>
    </row>
    <row r="4" spans="1:4" ht="14.1" customHeight="1">
      <c r="A4" s="2" t="s">
        <v>190</v>
      </c>
      <c r="B4" s="2" t="s">
        <v>191</v>
      </c>
      <c r="C4" s="18"/>
      <c r="D4" s="18"/>
    </row>
    <row r="5" spans="1:4" ht="14.1" customHeight="1">
      <c r="A5" s="2" t="s">
        <v>192</v>
      </c>
      <c r="B5" s="2" t="s">
        <v>193</v>
      </c>
      <c r="C5" s="29">
        <f>C6+C7</f>
        <v>0</v>
      </c>
      <c r="D5" s="29">
        <f>D6+D7</f>
        <v>0</v>
      </c>
    </row>
    <row r="6" spans="1:4" ht="14.1" customHeight="1">
      <c r="A6" s="2" t="s">
        <v>194</v>
      </c>
      <c r="B6" s="2" t="s">
        <v>145</v>
      </c>
      <c r="C6" s="18"/>
    </row>
    <row r="7" spans="1:4" ht="14.1" customHeight="1">
      <c r="A7" s="2" t="s">
        <v>195</v>
      </c>
      <c r="B7" s="2" t="s">
        <v>196</v>
      </c>
      <c r="C7" s="18"/>
      <c r="D7" s="18"/>
    </row>
    <row r="8" spans="1:4" ht="14.1" customHeight="1">
      <c r="A8" s="2" t="s">
        <v>197</v>
      </c>
      <c r="B8" s="2" t="s">
        <v>198</v>
      </c>
      <c r="C8" s="18"/>
      <c r="D8" s="18"/>
    </row>
    <row r="9" spans="1:4" ht="14.1" customHeight="1">
      <c r="A9" s="2" t="s">
        <v>199</v>
      </c>
      <c r="B9" s="2" t="s">
        <v>200</v>
      </c>
      <c r="C9" s="18"/>
      <c r="D9" s="18"/>
    </row>
    <row r="10" spans="1:4" ht="14.1" customHeight="1">
      <c r="A10" s="2" t="s">
        <v>201</v>
      </c>
      <c r="B10" s="2" t="s">
        <v>147</v>
      </c>
      <c r="C10" s="18"/>
      <c r="D10" s="18"/>
    </row>
    <row r="11" spans="1:4" ht="13.5" customHeight="1">
      <c r="A11" s="2" t="s">
        <v>202</v>
      </c>
      <c r="B11" s="2" t="s">
        <v>148</v>
      </c>
      <c r="C11" s="18"/>
      <c r="D11" s="18"/>
    </row>
    <row r="12" spans="1:4" ht="13.5" customHeight="1">
      <c r="A12" s="2" t="s">
        <v>203</v>
      </c>
      <c r="B12" s="2" t="s">
        <v>204</v>
      </c>
      <c r="C12" s="18"/>
      <c r="D12" s="18"/>
    </row>
    <row r="13" spans="1:4" ht="14.1" customHeight="1">
      <c r="A13" s="2" t="s">
        <v>205</v>
      </c>
      <c r="B13" s="2" t="s">
        <v>206</v>
      </c>
      <c r="C13" s="18"/>
      <c r="D13" s="18"/>
    </row>
    <row r="14" spans="1:4" ht="14.1" customHeight="1">
      <c r="A14" s="2" t="s">
        <v>207</v>
      </c>
      <c r="B14" s="2" t="s">
        <v>208</v>
      </c>
      <c r="C14" s="18"/>
      <c r="D14" s="18"/>
    </row>
    <row r="15" spans="1:4" ht="14.1" customHeight="1">
      <c r="A15" s="2" t="s">
        <v>209</v>
      </c>
      <c r="B15" s="2" t="s">
        <v>149</v>
      </c>
      <c r="C15" s="29">
        <f>C2-C5-C8-C9-C10-C11-C12+C13+C14</f>
        <v>0</v>
      </c>
      <c r="D15" s="29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  <c r="D16" s="18"/>
    </row>
    <row r="17" spans="1:4" ht="14.1" customHeight="1">
      <c r="A17" s="2" t="s">
        <v>212</v>
      </c>
      <c r="B17" s="2" t="s">
        <v>213</v>
      </c>
      <c r="C17" s="18"/>
      <c r="D17" s="18"/>
    </row>
    <row r="18" spans="1:4" ht="14.1" customHeight="1">
      <c r="A18" s="2" t="s">
        <v>214</v>
      </c>
      <c r="B18" s="2" t="s">
        <v>150</v>
      </c>
      <c r="C18" s="29">
        <f>C15+C16-C17</f>
        <v>0</v>
      </c>
      <c r="D18" s="29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18"/>
    </row>
    <row r="20" spans="1:4" ht="14.1" customHeight="1">
      <c r="A20" s="2" t="s">
        <v>217</v>
      </c>
      <c r="B20" s="2" t="s">
        <v>151</v>
      </c>
      <c r="C20" s="29">
        <f>C18-C19</f>
        <v>0</v>
      </c>
      <c r="D20" s="29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18"/>
    </row>
    <row r="22" spans="1:4" ht="14.1" customHeight="1">
      <c r="A22" s="2" t="s">
        <v>220</v>
      </c>
      <c r="B22" s="2" t="s">
        <v>221</v>
      </c>
      <c r="C22" s="29">
        <f>C20-C21</f>
        <v>0</v>
      </c>
      <c r="D22" s="29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18"/>
    </row>
    <row r="24" spans="1:4" ht="14.1" customHeight="1">
      <c r="A24" s="2" t="s">
        <v>224</v>
      </c>
      <c r="B24" s="2" t="s">
        <v>225</v>
      </c>
      <c r="C24" s="18"/>
      <c r="D24" s="18"/>
    </row>
    <row r="25" spans="1:4" ht="14.1" customHeight="1">
      <c r="A25" s="2" t="s">
        <v>226</v>
      </c>
      <c r="B25" s="2" t="s">
        <v>227</v>
      </c>
      <c r="C25" s="18"/>
      <c r="D25" s="18"/>
    </row>
    <row r="26" spans="1:4" ht="14.1" customHeight="1">
      <c r="A26" s="2" t="s">
        <v>228</v>
      </c>
      <c r="B26" s="2" t="s">
        <v>229</v>
      </c>
      <c r="C26" s="18"/>
    </row>
    <row r="27" spans="1:4" ht="14.1" customHeight="1">
      <c r="A27" s="2" t="s">
        <v>230</v>
      </c>
      <c r="B27" s="2" t="s">
        <v>231</v>
      </c>
      <c r="C27" s="18"/>
      <c r="D27" s="18"/>
    </row>
    <row r="28" spans="1:4" ht="14.1" customHeight="1">
      <c r="A28" s="2" t="s">
        <v>232</v>
      </c>
      <c r="B28" s="2" t="s">
        <v>233</v>
      </c>
      <c r="C28" s="18"/>
    </row>
    <row r="29" spans="1:4" ht="14.1" customHeight="1">
      <c r="A29" s="2" t="s">
        <v>234</v>
      </c>
      <c r="B29" s="2" t="s">
        <v>235</v>
      </c>
      <c r="C29" s="18"/>
      <c r="D29" s="18"/>
    </row>
    <row r="30" spans="1:4" ht="14.1" customHeight="1">
      <c r="A30" s="2" t="s">
        <v>236</v>
      </c>
      <c r="B30" s="2" t="s">
        <v>237</v>
      </c>
      <c r="C30" s="18"/>
      <c r="D30" s="18"/>
    </row>
    <row r="31" spans="1:4" ht="14.1" customHeight="1">
      <c r="A31" s="2" t="s">
        <v>238</v>
      </c>
      <c r="B31" s="2" t="s">
        <v>239</v>
      </c>
      <c r="C31" s="18"/>
      <c r="D31" s="18"/>
    </row>
    <row r="32" spans="1:4" ht="14.1" customHeight="1">
      <c r="A32" s="2" t="s">
        <v>240</v>
      </c>
      <c r="B32" s="2" t="s">
        <v>241</v>
      </c>
      <c r="C32" s="18"/>
      <c r="D32" s="18"/>
    </row>
    <row r="33" spans="1:4" ht="14.1" customHeight="1">
      <c r="A33" s="2" t="s">
        <v>242</v>
      </c>
      <c r="B33" s="2" t="s">
        <v>243</v>
      </c>
      <c r="C33" s="29">
        <f>C22+C26+C32</f>
        <v>0</v>
      </c>
      <c r="D33" s="29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18"/>
    </row>
    <row r="35" spans="1:4" ht="14.1" customHeight="1">
      <c r="A35" s="2" t="s">
        <v>246</v>
      </c>
      <c r="B35" s="2" t="s">
        <v>247</v>
      </c>
      <c r="C35" s="18"/>
      <c r="D35" s="18"/>
    </row>
    <row r="36" spans="1:4" ht="14.1" customHeight="1">
      <c r="A36" s="2" t="s">
        <v>248</v>
      </c>
      <c r="B36" s="2" t="s">
        <v>249</v>
      </c>
      <c r="C36" s="18"/>
      <c r="D36" s="18"/>
    </row>
    <row r="37" spans="1:4" ht="14.1" customHeight="1">
      <c r="A37" s="2" t="s">
        <v>250</v>
      </c>
      <c r="B37" s="2" t="s">
        <v>251</v>
      </c>
      <c r="C37" s="18"/>
      <c r="D37" s="18"/>
    </row>
    <row r="38" spans="1:4" ht="14.1" customHeight="1">
      <c r="A38" s="2" t="s">
        <v>252</v>
      </c>
      <c r="B38" s="2" t="s">
        <v>253</v>
      </c>
      <c r="C38" s="18"/>
      <c r="D38" s="18"/>
    </row>
    <row r="39" spans="1:4" ht="14.1" customHeight="1">
      <c r="A39" s="2" t="s">
        <v>254</v>
      </c>
      <c r="B39" s="2" t="s">
        <v>125</v>
      </c>
      <c r="C39" s="29">
        <f>C33-C36</f>
        <v>0</v>
      </c>
      <c r="D39" s="29">
        <f>D33-D36-D38</f>
        <v>0</v>
      </c>
    </row>
    <row r="40" spans="1:4" ht="14.1" customHeight="1">
      <c r="A40" s="2" t="s">
        <v>255</v>
      </c>
      <c r="B40" s="2" t="s">
        <v>256</v>
      </c>
      <c r="C40" s="18"/>
      <c r="D40" s="18"/>
    </row>
    <row r="41" spans="1:4" ht="14.1" customHeight="1">
      <c r="A41" s="2" t="s">
        <v>257</v>
      </c>
      <c r="B41" s="2" t="s">
        <v>258</v>
      </c>
      <c r="C41" s="18"/>
      <c r="D41" s="18"/>
    </row>
    <row r="42" spans="1:4" ht="14.1" customHeight="1">
      <c r="A42" s="2" t="s">
        <v>259</v>
      </c>
      <c r="B42" s="2" t="s">
        <v>260</v>
      </c>
      <c r="C42" s="18"/>
      <c r="D42" s="18"/>
    </row>
    <row r="43" spans="1:4" ht="14.1" customHeight="1">
      <c r="A43" s="2" t="s">
        <v>261</v>
      </c>
      <c r="B43" s="2" t="s">
        <v>262</v>
      </c>
      <c r="C43" s="18"/>
      <c r="D43" s="18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62"/>
  </sheetPr>
  <dimension ref="A1:C39"/>
  <sheetViews>
    <sheetView zoomScale="130" workbookViewId="0">
      <pane xSplit="1" ySplit="1" topLeftCell="B32" activePane="bottomRight" state="frozen"/>
      <selection activeCell="F33" sqref="F33"/>
      <selection pane="topRight" activeCell="F33" sqref="F33"/>
      <selection pane="bottomLeft" activeCell="F33" sqref="F33"/>
      <selection pane="bottomRight" activeCell="C1" sqref="C1 C3 C5 C7:C10 C14:C16 C18 C20:C23 C27:C29 C31:C33 C36 C38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/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29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29">
        <f>SUM(C7:C10)</f>
        <v>0</v>
      </c>
    </row>
    <row r="12" spans="1:3" ht="14.1" customHeight="1">
      <c r="A12" s="2" t="s">
        <v>284</v>
      </c>
      <c r="B12" s="2" t="s">
        <v>285</v>
      </c>
      <c r="C12" s="29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29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29">
        <f>SUM(C20:C23)</f>
        <v>0</v>
      </c>
    </row>
    <row r="25" spans="1:3" ht="14.1" customHeight="1">
      <c r="A25" s="2" t="s">
        <v>310</v>
      </c>
      <c r="B25" s="2" t="s">
        <v>311</v>
      </c>
      <c r="C25" s="29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29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29">
        <f>SUM(C31:C33)</f>
        <v>0</v>
      </c>
    </row>
    <row r="35" spans="1:3" ht="14.1" customHeight="1">
      <c r="A35" s="2" t="s">
        <v>330</v>
      </c>
      <c r="B35" s="2" t="s">
        <v>331</v>
      </c>
      <c r="C35" s="29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29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29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8"/>
  <sheetViews>
    <sheetView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J77" sqref="J77"/>
    </sheetView>
  </sheetViews>
  <sheetFormatPr defaultColWidth="10.28515625" defaultRowHeight="14.25"/>
  <cols>
    <col min="1" max="1" width="20.7109375" style="7" customWidth="1"/>
    <col min="2" max="2" width="13.5703125" style="15" customWidth="1"/>
    <col min="3" max="3" width="13.5703125" style="16" bestFit="1" customWidth="1"/>
    <col min="4" max="5" width="13.5703125" style="17" bestFit="1" customWidth="1"/>
    <col min="6" max="16384" width="10.28515625" style="7"/>
  </cols>
  <sheetData>
    <row r="1" spans="1:7">
      <c r="A1" s="54"/>
      <c r="B1" s="21">
        <v>43190</v>
      </c>
      <c r="C1" s="21">
        <v>43100</v>
      </c>
      <c r="D1" s="22">
        <v>42735</v>
      </c>
      <c r="E1" s="22">
        <v>42369</v>
      </c>
    </row>
    <row r="2" spans="1:7">
      <c r="A2" s="6" t="s">
        <v>137</v>
      </c>
      <c r="B2" s="8">
        <f>ROUND('bs2018.03'!D7,0)/IF(LEN($G$6)&gt;4,10000,1)</f>
        <v>0</v>
      </c>
      <c r="C2" s="8">
        <f>ROUND('bs2017.12'!D7,0)/IF(LEN($G$6)&gt;4,10000,1)</f>
        <v>0</v>
      </c>
      <c r="D2" s="8">
        <f>ROUND('bs2016.12 '!D7,0)/IF(LEN($G$6)&gt;4,10000,1)</f>
        <v>0</v>
      </c>
      <c r="E2" s="8">
        <f>ROUND('bs2015.12'!D7,0)/IF(LEN($G$6)&gt;4,10000,1)</f>
        <v>0</v>
      </c>
    </row>
    <row r="3" spans="1:7">
      <c r="A3" s="6" t="s">
        <v>138</v>
      </c>
      <c r="B3" s="8">
        <f>ROUND('bs2018.03'!D5,0)/IF(LEN($G$6)&gt;4,10000,1)</f>
        <v>0</v>
      </c>
      <c r="C3" s="8">
        <f>ROUND('bs2017.12'!D5,0)/IF(LEN($G$6)&gt;4,10000,1)</f>
        <v>0</v>
      </c>
      <c r="D3" s="8">
        <f>ROUND('bs2016.12 '!D5,0)/IF(LEN($G$6)&gt;4,10000,1)</f>
        <v>0</v>
      </c>
      <c r="E3" s="8">
        <f>ROUND('bs2015.12'!D5,0)/IF(LEN($G$6)&gt;4,10000,1)</f>
        <v>0</v>
      </c>
    </row>
    <row r="4" spans="1:7">
      <c r="A4" s="6" t="s">
        <v>136</v>
      </c>
      <c r="B4" s="8">
        <f>ROUND('bs2018.03'!D13,0)/IF(LEN($G$6)&gt;4,10000,1)</f>
        <v>0</v>
      </c>
      <c r="C4" s="8">
        <f>ROUND('bs2017.12'!D13,0)/IF(LEN($G$6)&gt;4,10000,1)</f>
        <v>0</v>
      </c>
      <c r="D4" s="8">
        <f>ROUND('bs2016.12 '!D13,0)/IF(LEN($G$6)&gt;4,10000,1)</f>
        <v>0</v>
      </c>
      <c r="E4" s="8">
        <f>ROUND('bs2015.12'!D13,0)/IF(LEN($G$6)&gt;4,10000,1)</f>
        <v>0</v>
      </c>
    </row>
    <row r="5" spans="1:7">
      <c r="A5" s="6" t="s">
        <v>39</v>
      </c>
      <c r="B5" s="8">
        <f>ROUND('bs2018.03'!D22,0)/IF(LEN($G$6)&gt;4,10000,1)</f>
        <v>0</v>
      </c>
      <c r="C5" s="8">
        <f>ROUND('bs2017.12'!D22,0)/IF(LEN($G$6)&gt;4,10000,1)</f>
        <v>0</v>
      </c>
      <c r="D5" s="8">
        <f>ROUND('bs2016.12 '!D22,0)/IF(LEN($G$6)&gt;4,10000,1)</f>
        <v>0</v>
      </c>
      <c r="E5" s="8">
        <f>ROUND('bs2015.12'!D22,0)/IF(LEN($G$6)&gt;4,10000,1)</f>
        <v>0</v>
      </c>
    </row>
    <row r="6" spans="1:7">
      <c r="A6" s="6" t="s">
        <v>49</v>
      </c>
      <c r="B6" s="8">
        <f>ROUND('bs2018.03'!D24,0)/IF(LEN($G$6)&gt;4,10000,1)</f>
        <v>0</v>
      </c>
      <c r="C6" s="8">
        <f>ROUND('bs2017.12'!D24,0)/IF(LEN($G$6)&gt;4,10000,1)</f>
        <v>0</v>
      </c>
      <c r="D6" s="8">
        <f>ROUND('bs2016.12 '!D24,0)/IF(LEN($G$6)&gt;4,10000,1)</f>
        <v>0</v>
      </c>
      <c r="E6" s="8">
        <f>ROUND('bs2015.12'!D24,0)/IF(LEN($G$6)&gt;4,10000,1)</f>
        <v>0</v>
      </c>
      <c r="G6" s="82" t="s">
        <v>372</v>
      </c>
    </row>
    <row r="7" spans="1:7">
      <c r="A7" s="6" t="s">
        <v>139</v>
      </c>
      <c r="B7" s="8">
        <f>ROUND('bs2018.03'!D35,0)/IF(LEN($G$6)&gt;4,10000,1)</f>
        <v>0</v>
      </c>
      <c r="C7" s="8">
        <f>ROUND('bs2017.12'!D35,0)/IF(LEN($G$6)&gt;4,10000,1)</f>
        <v>0</v>
      </c>
      <c r="D7" s="8">
        <f>ROUND('bs2016.12 '!D35,0)/IF(LEN($G$6)&gt;4,10000,1)</f>
        <v>0</v>
      </c>
      <c r="E7" s="8">
        <f>ROUND('bs2015.12'!D35,0)/IF(LEN($G$6)&gt;4,10000,1)</f>
        <v>0</v>
      </c>
    </row>
    <row r="8" spans="1:7">
      <c r="A8" s="6" t="s">
        <v>73</v>
      </c>
      <c r="B8" s="8">
        <f>ROUND('bs2018.03'!D36,0)/IF(LEN($G$6)&gt;4,10000,1)</f>
        <v>0</v>
      </c>
      <c r="C8" s="8">
        <f>ROUND('bs2017.12'!D36,0)/IF(LEN($G$6)&gt;4,10000,1)</f>
        <v>0</v>
      </c>
      <c r="D8" s="8">
        <f>ROUND('bs2016.12 '!D36,0)/IF(LEN($G$6)&gt;4,10000,1)</f>
        <v>0</v>
      </c>
      <c r="E8" s="8">
        <f>ROUND('bs2015.12'!D36,0)/IF(LEN($G$6)&gt;4,10000,1)</f>
        <v>0</v>
      </c>
    </row>
    <row r="9" spans="1:7">
      <c r="A9" s="6" t="s">
        <v>91</v>
      </c>
      <c r="B9" s="8">
        <f>ROUND('bs2018.03'!D45,0)/IF(LEN($G$6)&gt;4,10000,1)</f>
        <v>0</v>
      </c>
      <c r="C9" s="8">
        <f>ROUND('bs2017.12'!D45,0)/IF(LEN($G$6)&gt;4,10000,1)</f>
        <v>0</v>
      </c>
      <c r="D9" s="8">
        <f>ROUND('bs2016.12 '!D45,0)/IF(LEN($G$6)&gt;4,10000,1)</f>
        <v>0</v>
      </c>
      <c r="E9" s="8">
        <f>ROUND('bs2015.12'!D45,0)/IF(LEN($G$6)&gt;4,10000,1)</f>
        <v>0</v>
      </c>
    </row>
    <row r="10" spans="1:7">
      <c r="A10" s="6" t="s">
        <v>140</v>
      </c>
      <c r="B10" s="8">
        <f>ROUND('bs2018.03'!D48,0)/IF(LEN($G$6)&gt;4,10000,1)</f>
        <v>0</v>
      </c>
      <c r="C10" s="8">
        <f>ROUND('bs2017.12'!D48,0)/IF(LEN($G$6)&gt;4,10000,1)</f>
        <v>0</v>
      </c>
      <c r="D10" s="8">
        <f>ROUND('bs2016.12 '!D48,0)/IF(LEN($G$6)&gt;4,10000,1)</f>
        <v>0</v>
      </c>
      <c r="E10" s="8">
        <f>ROUND('bs2015.12'!D48,0)/IF(LEN($G$6)&gt;4,10000,1)</f>
        <v>0</v>
      </c>
    </row>
    <row r="11" spans="1:7">
      <c r="A11" s="6" t="s">
        <v>100</v>
      </c>
      <c r="B11" s="8">
        <f>ROUND('bs2018.03'!D49,0)/IF(LEN($G$6)&gt;4,10000,1)</f>
        <v>0</v>
      </c>
      <c r="C11" s="8">
        <f>ROUND('bs2017.12'!D49,0)/IF(LEN($G$6)&gt;4,10000,1)</f>
        <v>0</v>
      </c>
      <c r="D11" s="8">
        <f>ROUND('bs2016.12 '!D49,0)/IF(LEN($G$6)&gt;4,10000,1)</f>
        <v>0</v>
      </c>
      <c r="E11" s="8">
        <f>ROUND('bs2015.12'!D49,0)/IF(LEN($G$6)&gt;4,10000,1)</f>
        <v>0</v>
      </c>
    </row>
    <row r="12" spans="1:7">
      <c r="A12" s="6" t="s">
        <v>104</v>
      </c>
      <c r="B12" s="8">
        <f>ROUND('bs2018.03'!D51,0)/IF(LEN($G$6)&gt;4,10000,1)</f>
        <v>0</v>
      </c>
      <c r="C12" s="8">
        <f>ROUND('bs2017.12'!D51,0)/IF(LEN($G$6)&gt;4,10000,1)</f>
        <v>0</v>
      </c>
      <c r="D12" s="8">
        <f>ROUND('bs2016.12 '!D51,0)/IF(LEN($G$6)&gt;4,10000,1)</f>
        <v>0</v>
      </c>
      <c r="E12" s="8">
        <f>ROUND('bs2015.12'!D51,0)/IF(LEN($G$6)&gt;4,10000,1)</f>
        <v>0</v>
      </c>
    </row>
    <row r="13" spans="1:7">
      <c r="A13" s="6" t="s">
        <v>141</v>
      </c>
      <c r="B13" s="8">
        <f>ROUND('bs2018.03'!D56,0)/IF(LEN($G$6)&gt;4,10000,1)</f>
        <v>0</v>
      </c>
      <c r="C13" s="8">
        <f>ROUND('bs2017.12'!D56,0)/IF(LEN($G$6)&gt;4,10000,1)</f>
        <v>0</v>
      </c>
      <c r="D13" s="8">
        <f>ROUND('bs2016.12 '!D56,0)/IF(LEN($G$6)&gt;4,10000,1)</f>
        <v>0</v>
      </c>
      <c r="E13" s="8">
        <f>ROUND('bs2015.12'!D56,0)/IF(LEN($G$6)&gt;4,10000,1)</f>
        <v>0</v>
      </c>
    </row>
    <row r="14" spans="1:7">
      <c r="A14" s="6" t="s">
        <v>142</v>
      </c>
      <c r="B14" s="8">
        <f>ROUND('bs2018.03'!D57,0)/IF(LEN($G$6)&gt;4,10000,1)</f>
        <v>0</v>
      </c>
      <c r="C14" s="8">
        <f>ROUND('bs2017.12'!D57,0)/IF(LEN($G$6)&gt;4,10000,1)</f>
        <v>0</v>
      </c>
      <c r="D14" s="8">
        <f>ROUND('bs2016.12 '!D57,0)/IF(LEN($G$6)&gt;4,10000,1)</f>
        <v>0</v>
      </c>
      <c r="E14" s="8">
        <f>ROUND('bs2015.12'!D57,0)/IF(LEN($G$6)&gt;4,10000,1)</f>
        <v>0</v>
      </c>
    </row>
    <row r="15" spans="1:7">
      <c r="A15" s="6" t="s">
        <v>143</v>
      </c>
      <c r="B15" s="8">
        <f>ROUND('bs2018.03'!D67,0)/IF(LEN($G$6)&gt;4,10000,1)</f>
        <v>0</v>
      </c>
      <c r="C15" s="8">
        <f>ROUND('bs2017.12'!D67,0)/IF(LEN($G$6)&gt;4,10000,1)</f>
        <v>0</v>
      </c>
      <c r="D15" s="8">
        <f>ROUND('bs2016.12 '!D67,0)/IF(LEN($G$6)&gt;4,10000,1)</f>
        <v>0</v>
      </c>
      <c r="E15" s="8">
        <f>ROUND('bs2015.12'!D67,0)/IF(LEN($G$6)&gt;4,10000,1)</f>
        <v>0</v>
      </c>
    </row>
    <row r="16" spans="1:7">
      <c r="A16" s="6" t="s">
        <v>144</v>
      </c>
      <c r="B16" s="8">
        <f>ROUND('pl2018.03'!D2,0)/IF(LEN($G$6)&gt;4,10000,1)</f>
        <v>0</v>
      </c>
      <c r="C16" s="8">
        <f>ROUND('pl2017.12'!D2,0)/IF(LEN($G$6)&gt;4,10000,1)</f>
        <v>0</v>
      </c>
      <c r="D16" s="8">
        <f>ROUND('pl2016.12'!D2,0)/IF(LEN($G$6)&gt;4,10000,1)</f>
        <v>0</v>
      </c>
      <c r="E16" s="8">
        <f>ROUND('pl2015.12'!D2,0)/IF(LEN($G$6)&gt;4,10000,1)</f>
        <v>0</v>
      </c>
    </row>
    <row r="17" spans="1:10">
      <c r="A17" s="6" t="s">
        <v>145</v>
      </c>
      <c r="B17" s="8">
        <f>ROUND('pl2018.03'!D5,0)/IF(LEN($G$6)&gt;4,10000,1)</f>
        <v>0</v>
      </c>
      <c r="C17" s="8">
        <f>ROUND('pl2017.12'!D5,0)/IF(LEN($G$6)&gt;4,10000,1)</f>
        <v>0</v>
      </c>
      <c r="D17" s="8">
        <f>ROUND('pl2016.12'!D5,0)/IF(LEN($G$6)&gt;4,10000,1)</f>
        <v>0</v>
      </c>
      <c r="E17" s="8">
        <f>ROUND('pl2015.12'!D5,0)/IF(LEN($G$6)&gt;4,10000,1)</f>
        <v>0</v>
      </c>
    </row>
    <row r="18" spans="1:10">
      <c r="A18" s="6" t="s">
        <v>146</v>
      </c>
      <c r="B18" s="8">
        <f>ROUND('pl2018.03'!D9,0)/IF(LEN($G$6)&gt;4,10000,1)</f>
        <v>0</v>
      </c>
      <c r="C18" s="8">
        <f>ROUND('pl2017.12'!D9,0)/IF(LEN($G$6)&gt;4,10000,1)</f>
        <v>0</v>
      </c>
      <c r="D18" s="8">
        <f>ROUND('pl2016.12'!D9,0)/IF(LEN($G$6)&gt;4,10000,1)</f>
        <v>0</v>
      </c>
      <c r="E18" s="8">
        <f>ROUND('pl2015.12'!D9,0)/IF(LEN($G$6)&gt;4,10000,1)</f>
        <v>0</v>
      </c>
    </row>
    <row r="19" spans="1:10">
      <c r="A19" s="6" t="s">
        <v>147</v>
      </c>
      <c r="B19" s="8">
        <f>ROUND('pl2018.03'!D10,0)/IF(LEN($G$6)&gt;4,10000,1)</f>
        <v>0</v>
      </c>
      <c r="C19" s="8">
        <f>ROUND('pl2017.12'!D10,0)/IF(LEN($G$6)&gt;4,10000,1)</f>
        <v>0</v>
      </c>
      <c r="D19" s="8">
        <f>ROUND('pl2016.12'!D10,0)/IF(LEN($G$6)&gt;4,10000,1)</f>
        <v>0</v>
      </c>
      <c r="E19" s="8">
        <f>ROUND('pl2015.12'!D10,0)/IF(LEN($G$6)&gt;4,10000,1)</f>
        <v>0</v>
      </c>
    </row>
    <row r="20" spans="1:10">
      <c r="A20" s="6" t="s">
        <v>148</v>
      </c>
      <c r="B20" s="8">
        <f>ROUND('pl2018.03'!D11,0)/IF(LEN($G$6)&gt;4,10000,1)</f>
        <v>0</v>
      </c>
      <c r="C20" s="8">
        <f>ROUND('pl2017.12'!D11,0)/IF(LEN($G$6)&gt;4,10000,1)</f>
        <v>0</v>
      </c>
      <c r="D20" s="8">
        <f>ROUND('pl2016.12'!D11,0)/IF(LEN($G$6)&gt;4,10000,1)</f>
        <v>0</v>
      </c>
      <c r="E20" s="8">
        <f>ROUND('pl2015.12'!D11,0)/IF(LEN($G$6)&gt;4,10000,1)</f>
        <v>0</v>
      </c>
      <c r="F20" s="9"/>
      <c r="G20" s="9"/>
      <c r="H20" s="10"/>
      <c r="I20" s="10"/>
      <c r="J20" s="10"/>
    </row>
    <row r="21" spans="1:10">
      <c r="A21" s="6" t="s">
        <v>149</v>
      </c>
      <c r="B21" s="8">
        <f>ROUND('pl2018.03'!D15,0)/IF(LEN($G$6)&gt;4,10000,1)</f>
        <v>0</v>
      </c>
      <c r="C21" s="8">
        <f>ROUND('pl2017.12'!D15,0)/IF(LEN($G$6)&gt;4,10000,1)</f>
        <v>0</v>
      </c>
      <c r="D21" s="8">
        <f>ROUND('pl2016.12'!D15,0)/IF(LEN($G$6)&gt;4,10000,1)</f>
        <v>0</v>
      </c>
      <c r="E21" s="8">
        <f>ROUND('pl2015.12'!D15,0)/IF(LEN($G$6)&gt;4,10000,1)</f>
        <v>0</v>
      </c>
    </row>
    <row r="22" spans="1:10">
      <c r="A22" s="6" t="s">
        <v>150</v>
      </c>
      <c r="B22" s="8">
        <f>ROUND('pl2018.03'!D18,0)/IF(LEN($G$6)&gt;4,10000,1)</f>
        <v>0</v>
      </c>
      <c r="C22" s="8">
        <f>ROUND('pl2017.12'!D18,0)/IF(LEN($G$6)&gt;4,10000,1)</f>
        <v>0</v>
      </c>
      <c r="D22" s="8">
        <f>ROUND('pl2016.12'!D18,0)/IF(LEN($G$6)&gt;4,10000,1)</f>
        <v>0</v>
      </c>
      <c r="E22" s="8">
        <f>ROUND('pl2015.12'!D18,0)/IF(LEN($G$6)&gt;4,10000,1)</f>
        <v>0</v>
      </c>
    </row>
    <row r="23" spans="1:10">
      <c r="A23" s="6" t="s">
        <v>151</v>
      </c>
      <c r="B23" s="8">
        <f>ROUND('pl2018.03'!D20,0)/IF(LEN($G$6)&gt;4,10000,1)</f>
        <v>0</v>
      </c>
      <c r="C23" s="8">
        <f>ROUND('pl2017.12'!D20,0)/IF(LEN($G$6)&gt;4,10000,1)</f>
        <v>0</v>
      </c>
      <c r="D23" s="8">
        <f>ROUND('pl2016.12'!D20,0)/IF(LEN($G$6)&gt;4,10000,1)</f>
        <v>0</v>
      </c>
      <c r="E23" s="8">
        <f>ROUND('pl2015.12'!D20,0)/IF(LEN($G$6)&gt;4,10000,1)</f>
        <v>0</v>
      </c>
    </row>
    <row r="24" spans="1:10">
      <c r="A24" s="6" t="s">
        <v>368</v>
      </c>
      <c r="B24" s="8">
        <f>ROUND('cf2018.03'!C35,0)/IF(LEN($G$6)&gt;4,10000,1)</f>
        <v>0</v>
      </c>
      <c r="C24" s="8">
        <f>ROUND('cf2017.12'!C35,0)/IF(LEN($G$6)&gt;4,10000,1)</f>
        <v>0</v>
      </c>
      <c r="D24" s="8">
        <f>ROUND('cf2016.12'!C35,0)/IF(LEN($G$6)&gt;4,10000,1)</f>
        <v>0</v>
      </c>
      <c r="E24" s="8">
        <f>ROUND('cf2015.12'!C35,0)/IF(LEN($G$6)&gt;4,10000,1)</f>
        <v>0</v>
      </c>
    </row>
    <row r="25" spans="1:10">
      <c r="A25" s="6" t="s">
        <v>152</v>
      </c>
      <c r="B25" s="8">
        <f>ROUND('cf2018.03'!C12,0)/IF(LEN($G$6)&gt;4,10000,1)</f>
        <v>0</v>
      </c>
      <c r="C25" s="8">
        <f>ROUND('cf2017.12'!C12,0)/IF(LEN($G$6)&gt;4,10000,1)</f>
        <v>0</v>
      </c>
      <c r="D25" s="8">
        <f>ROUND('cf2016.12'!C12,0)/IF(LEN($G$6)&gt;4,10000,1)</f>
        <v>0</v>
      </c>
      <c r="E25" s="8">
        <f>ROUND('cf2015.12'!C12,0)/IF(LEN($G$6)&gt;4,10000,1)</f>
        <v>0</v>
      </c>
    </row>
    <row r="26" spans="1:10">
      <c r="A26" s="85" t="s">
        <v>153</v>
      </c>
      <c r="B26" s="86"/>
      <c r="C26" s="86"/>
      <c r="D26" s="86"/>
      <c r="E26" s="86"/>
    </row>
    <row r="27" spans="1:10">
      <c r="A27" s="6" t="s">
        <v>154</v>
      </c>
      <c r="B27" s="11" t="e">
        <f>B4/B10</f>
        <v>#DIV/0!</v>
      </c>
      <c r="C27" s="11" t="e">
        <f>C4/C10</f>
        <v>#DIV/0!</v>
      </c>
      <c r="D27" s="11" t="e">
        <f>D4/D10</f>
        <v>#DIV/0!</v>
      </c>
      <c r="E27" s="11" t="e">
        <f>E4/E10</f>
        <v>#DIV/0!</v>
      </c>
    </row>
    <row r="28" spans="1:10">
      <c r="A28" s="6" t="s">
        <v>155</v>
      </c>
      <c r="B28" s="11" t="e">
        <f>(B4-B2)/B10</f>
        <v>#DIV/0!</v>
      </c>
      <c r="C28" s="11" t="e">
        <f>(C4-C2)/C10</f>
        <v>#DIV/0!</v>
      </c>
      <c r="D28" s="11" t="e">
        <f>(D4-D2)/D10</f>
        <v>#DIV/0!</v>
      </c>
      <c r="E28" s="11" t="e">
        <f>(E4-E2)/E10</f>
        <v>#DIV/0!</v>
      </c>
    </row>
    <row r="29" spans="1:10">
      <c r="A29" s="6" t="s">
        <v>156</v>
      </c>
      <c r="B29" s="12" t="e">
        <f>B15/B7</f>
        <v>#DIV/0!</v>
      </c>
      <c r="C29" s="5" t="e">
        <f>C15/C7</f>
        <v>#DIV/0!</v>
      </c>
      <c r="D29" s="13" t="e">
        <f>D15/D7</f>
        <v>#DIV/0!</v>
      </c>
      <c r="E29" s="13" t="e">
        <f>E15/E7</f>
        <v>#DIV/0!</v>
      </c>
    </row>
    <row r="30" spans="1:10">
      <c r="A30" s="6" t="s">
        <v>157</v>
      </c>
      <c r="B30" s="12" t="e">
        <f>B14/B7</f>
        <v>#DIV/0!</v>
      </c>
      <c r="C30" s="5" t="e">
        <f>C14/C7</f>
        <v>#DIV/0!</v>
      </c>
      <c r="D30" s="13" t="e">
        <f>D14/D7</f>
        <v>#DIV/0!</v>
      </c>
      <c r="E30" s="13" t="e">
        <f>E14/E7</f>
        <v>#DIV/0!</v>
      </c>
    </row>
    <row r="31" spans="1:10">
      <c r="A31" s="6" t="s">
        <v>158</v>
      </c>
      <c r="B31" s="12" t="e">
        <f>B10/B14</f>
        <v>#DIV/0!</v>
      </c>
      <c r="C31" s="5" t="e">
        <f>C10/C14</f>
        <v>#DIV/0!</v>
      </c>
      <c r="D31" s="13" t="e">
        <f>D10/D14</f>
        <v>#DIV/0!</v>
      </c>
      <c r="E31" s="13" t="e">
        <f>E10/E14</f>
        <v>#DIV/0!</v>
      </c>
    </row>
    <row r="32" spans="1:10">
      <c r="A32" s="6" t="s">
        <v>184</v>
      </c>
      <c r="B32" s="11" t="e">
        <f>(B22+B20)/B20</f>
        <v>#DIV/0!</v>
      </c>
      <c r="C32" s="11" t="e">
        <f>(C22+C20)/C20</f>
        <v>#DIV/0!</v>
      </c>
      <c r="D32" s="11" t="e">
        <f>(D22+D20)/D20</f>
        <v>#DIV/0!</v>
      </c>
      <c r="E32" s="11" t="e">
        <f>(E22+E20)/E20</f>
        <v>#DIV/0!</v>
      </c>
    </row>
    <row r="33" spans="1:5">
      <c r="A33" s="83" t="s">
        <v>159</v>
      </c>
      <c r="B33" s="84"/>
      <c r="C33" s="84"/>
      <c r="D33" s="84"/>
      <c r="E33" s="84"/>
    </row>
    <row r="34" spans="1:5">
      <c r="A34" s="6" t="s">
        <v>160</v>
      </c>
      <c r="B34" s="11" t="e">
        <f>0+(B17/(B2+C2)*2)</f>
        <v>#DIV/0!</v>
      </c>
      <c r="C34" s="11" t="e">
        <f>C17/(C2+D2)*2</f>
        <v>#DIV/0!</v>
      </c>
      <c r="D34" s="11" t="e">
        <f>D17/(D2+E2)*2</f>
        <v>#DIV/0!</v>
      </c>
      <c r="E34" s="11" t="e">
        <f>E17/E2</f>
        <v>#DIV/0!</v>
      </c>
    </row>
    <row r="35" spans="1:5">
      <c r="A35" s="6" t="s">
        <v>161</v>
      </c>
      <c r="B35" s="11" t="e">
        <f>0+(B16/(B7+C7)*2)</f>
        <v>#DIV/0!</v>
      </c>
      <c r="C35" s="11" t="e">
        <f>C16/(C7+D7)*2</f>
        <v>#DIV/0!</v>
      </c>
      <c r="D35" s="11" t="e">
        <f>D16/(D7+E7)*2</f>
        <v>#DIV/0!</v>
      </c>
      <c r="E35" s="11" t="e">
        <f>E16/E7</f>
        <v>#DIV/0!</v>
      </c>
    </row>
    <row r="36" spans="1:5">
      <c r="A36" s="6" t="s">
        <v>162</v>
      </c>
      <c r="B36" s="11" t="e">
        <f>0+(B16/(B3+C3)*2)</f>
        <v>#DIV/0!</v>
      </c>
      <c r="C36" s="11" t="e">
        <f>C16/(C3+D3)*2</f>
        <v>#DIV/0!</v>
      </c>
      <c r="D36" s="11" t="e">
        <f>D16/(D3+E3)*2</f>
        <v>#DIV/0!</v>
      </c>
      <c r="E36" s="11" t="e">
        <f>E16/E3</f>
        <v>#DIV/0!</v>
      </c>
    </row>
    <row r="37" spans="1:5">
      <c r="A37" s="6" t="s">
        <v>163</v>
      </c>
      <c r="B37" s="12" t="e">
        <f>0+(B17/B16)</f>
        <v>#DIV/0!</v>
      </c>
      <c r="C37" s="5" t="e">
        <f>C17/C16</f>
        <v>#DIV/0!</v>
      </c>
      <c r="D37" s="13" t="e">
        <f>D17/D16</f>
        <v>#DIV/0!</v>
      </c>
      <c r="E37" s="13" t="e">
        <f>E17/E16</f>
        <v>#DIV/0!</v>
      </c>
    </row>
    <row r="38" spans="1:5">
      <c r="A38" s="6" t="s">
        <v>164</v>
      </c>
      <c r="B38" s="12" t="e">
        <f>0+(B18/B16)</f>
        <v>#DIV/0!</v>
      </c>
      <c r="C38" s="5" t="e">
        <f>C18/C16</f>
        <v>#DIV/0!</v>
      </c>
      <c r="D38" s="13" t="e">
        <f>D18/D16</f>
        <v>#DIV/0!</v>
      </c>
      <c r="E38" s="13" t="e">
        <f>E18/E16</f>
        <v>#DIV/0!</v>
      </c>
    </row>
    <row r="39" spans="1:5">
      <c r="A39" s="6" t="s">
        <v>165</v>
      </c>
      <c r="B39" s="12" t="e">
        <f>0+(B19/B16)</f>
        <v>#DIV/0!</v>
      </c>
      <c r="C39" s="5" t="e">
        <f>C19/C16</f>
        <v>#DIV/0!</v>
      </c>
      <c r="D39" s="13" t="e">
        <f>D19/D16</f>
        <v>#DIV/0!</v>
      </c>
      <c r="E39" s="13" t="e">
        <f>E19/E16</f>
        <v>#DIV/0!</v>
      </c>
    </row>
    <row r="40" spans="1:5">
      <c r="A40" s="6" t="s">
        <v>166</v>
      </c>
      <c r="B40" s="12" t="e">
        <f>0+(B20/B16)</f>
        <v>#DIV/0!</v>
      </c>
      <c r="C40" s="5" t="e">
        <f>C20/C16</f>
        <v>#DIV/0!</v>
      </c>
      <c r="D40" s="13" t="e">
        <f>D20/D16</f>
        <v>#DIV/0!</v>
      </c>
      <c r="E40" s="13" t="e">
        <f>E20/E16</f>
        <v>#DIV/0!</v>
      </c>
    </row>
    <row r="41" spans="1:5">
      <c r="A41" s="83" t="s">
        <v>167</v>
      </c>
      <c r="B41" s="84"/>
      <c r="C41" s="84"/>
      <c r="D41" s="84"/>
      <c r="E41" s="84"/>
    </row>
    <row r="42" spans="1:5">
      <c r="A42" s="6" t="s">
        <v>168</v>
      </c>
      <c r="B42" s="12" t="e">
        <f>B23/B16</f>
        <v>#DIV/0!</v>
      </c>
      <c r="C42" s="5" t="e">
        <f>C23/C16</f>
        <v>#DIV/0!</v>
      </c>
      <c r="D42" s="13" t="e">
        <f>D23/D16</f>
        <v>#DIV/0!</v>
      </c>
      <c r="E42" s="13" t="e">
        <f>E23/E16</f>
        <v>#DIV/0!</v>
      </c>
    </row>
    <row r="43" spans="1:5">
      <c r="A43" s="6" t="s">
        <v>169</v>
      </c>
      <c r="B43" s="12" t="e">
        <f>B21/B16</f>
        <v>#DIV/0!</v>
      </c>
      <c r="C43" s="5" t="e">
        <f>C21/C16</f>
        <v>#DIV/0!</v>
      </c>
      <c r="D43" s="13" t="e">
        <f>D21/D16</f>
        <v>#DIV/0!</v>
      </c>
      <c r="E43" s="13" t="e">
        <f>E21/E16</f>
        <v>#DIV/0!</v>
      </c>
    </row>
    <row r="44" spans="1:5">
      <c r="A44" s="6" t="s">
        <v>170</v>
      </c>
      <c r="B44" s="12" t="e">
        <f>B22/(B7+C7)*2</f>
        <v>#DIV/0!</v>
      </c>
      <c r="C44" s="5" t="e">
        <f>C22/(C7+D7)*2</f>
        <v>#DIV/0!</v>
      </c>
      <c r="D44" s="13" t="e">
        <f>D22/(D7+E7)*2</f>
        <v>#DIV/0!</v>
      </c>
      <c r="E44" s="13" t="e">
        <f>E22/E7</f>
        <v>#DIV/0!</v>
      </c>
    </row>
    <row r="45" spans="1:5">
      <c r="A45" s="6" t="s">
        <v>171</v>
      </c>
      <c r="B45" s="12" t="e">
        <f>B23/(B7+C7)*2</f>
        <v>#DIV/0!</v>
      </c>
      <c r="C45" s="5" t="e">
        <f>C23/(C7+D7)*2</f>
        <v>#DIV/0!</v>
      </c>
      <c r="D45" s="13" t="e">
        <f>D23/(D7+E7)*2</f>
        <v>#DIV/0!</v>
      </c>
      <c r="E45" s="13" t="e">
        <f>E23/E7</f>
        <v>#DIV/0!</v>
      </c>
    </row>
    <row r="46" spans="1:5">
      <c r="A46" s="6" t="s">
        <v>172</v>
      </c>
      <c r="B46" s="12" t="e">
        <f>B23/(B15+C15)*2</f>
        <v>#DIV/0!</v>
      </c>
      <c r="C46" s="5" t="e">
        <f>C23/(C15+D15)*2</f>
        <v>#DIV/0!</v>
      </c>
      <c r="D46" s="13" t="e">
        <f>D23/(D15+E15)*2</f>
        <v>#DIV/0!</v>
      </c>
      <c r="E46" s="13" t="e">
        <f>E23/E15</f>
        <v>#DIV/0!</v>
      </c>
    </row>
    <row r="47" spans="1:5">
      <c r="A47" s="83" t="s">
        <v>173</v>
      </c>
      <c r="B47" s="84"/>
      <c r="C47" s="84"/>
      <c r="D47" s="84"/>
      <c r="E47" s="84"/>
    </row>
    <row r="48" spans="1:5">
      <c r="A48" s="6" t="s">
        <v>174</v>
      </c>
      <c r="B48" s="12" t="e">
        <f>(B16-C16)/C16</f>
        <v>#DIV/0!</v>
      </c>
      <c r="C48" s="14" t="e">
        <f>(C16-D16)/D16</f>
        <v>#DIV/0!</v>
      </c>
      <c r="D48" s="13" t="e">
        <f>(D16-E16)/E16</f>
        <v>#DIV/0!</v>
      </c>
      <c r="E48" s="13" t="e">
        <f>(E16-F16)/F16</f>
        <v>#DIV/0!</v>
      </c>
    </row>
    <row r="49" spans="1:5">
      <c r="A49" s="6" t="s">
        <v>175</v>
      </c>
      <c r="B49" s="12" t="e">
        <f>(B23-C23)/C23</f>
        <v>#DIV/0!</v>
      </c>
      <c r="C49" s="14" t="e">
        <f>(C23-D23)/D23</f>
        <v>#DIV/0!</v>
      </c>
      <c r="D49" s="13" t="e">
        <f>(D23-E23)/E23</f>
        <v>#DIV/0!</v>
      </c>
      <c r="E49" s="13" t="e">
        <f>(E23-F23)/F23</f>
        <v>#DIV/0!</v>
      </c>
    </row>
    <row r="50" spans="1:5">
      <c r="A50" s="6" t="s">
        <v>176</v>
      </c>
      <c r="B50" s="12" t="e">
        <f>(B7-C7)/C7</f>
        <v>#DIV/0!</v>
      </c>
      <c r="C50" s="14" t="e">
        <f>(C7-D7)/D7</f>
        <v>#DIV/0!</v>
      </c>
      <c r="D50" s="13" t="e">
        <f>(D7-E7)/E7</f>
        <v>#DIV/0!</v>
      </c>
      <c r="E50" s="13" t="e">
        <f>(E7-F7)/F7</f>
        <v>#DIV/0!</v>
      </c>
    </row>
    <row r="51" spans="1:5">
      <c r="A51" s="6" t="s">
        <v>177</v>
      </c>
      <c r="B51" s="12" t="e">
        <f>(B15-C15)/C15</f>
        <v>#DIV/0!</v>
      </c>
      <c r="C51" s="14" t="e">
        <f>(C15-D15)/D15</f>
        <v>#DIV/0!</v>
      </c>
      <c r="D51" s="13" t="e">
        <f>(D15-E15)/E15</f>
        <v>#DIV/0!</v>
      </c>
      <c r="E51" s="13" t="e">
        <f>(E15-F15)/F15</f>
        <v>#DIV/0!</v>
      </c>
    </row>
    <row r="52" spans="1:5">
      <c r="A52" s="6" t="s">
        <v>178</v>
      </c>
      <c r="B52" s="12" t="e">
        <f t="shared" ref="B52:E53" si="0">(B21-C21)/C21</f>
        <v>#DIV/0!</v>
      </c>
      <c r="C52" s="14" t="e">
        <f t="shared" si="0"/>
        <v>#DIV/0!</v>
      </c>
      <c r="D52" s="13" t="e">
        <f t="shared" si="0"/>
        <v>#DIV/0!</v>
      </c>
      <c r="E52" s="13" t="e">
        <f t="shared" si="0"/>
        <v>#DIV/0!</v>
      </c>
    </row>
    <row r="53" spans="1:5">
      <c r="A53" s="6" t="s">
        <v>179</v>
      </c>
      <c r="B53" s="12" t="e">
        <f t="shared" si="0"/>
        <v>#DIV/0!</v>
      </c>
      <c r="C53" s="14" t="e">
        <f t="shared" si="0"/>
        <v>#DIV/0!</v>
      </c>
      <c r="D53" s="13" t="e">
        <f t="shared" si="0"/>
        <v>#DIV/0!</v>
      </c>
      <c r="E53" s="13" t="e">
        <f t="shared" si="0"/>
        <v>#DIV/0!</v>
      </c>
    </row>
    <row r="54" spans="1:5">
      <c r="A54" s="83" t="s">
        <v>180</v>
      </c>
      <c r="B54" s="84"/>
      <c r="C54" s="84"/>
      <c r="D54" s="84"/>
      <c r="E54" s="84"/>
    </row>
    <row r="55" spans="1:5">
      <c r="A55" s="6" t="s">
        <v>157</v>
      </c>
      <c r="B55" s="12" t="e">
        <f>B14/B7</f>
        <v>#DIV/0!</v>
      </c>
      <c r="C55" s="14" t="e">
        <f>C14/C7</f>
        <v>#DIV/0!</v>
      </c>
      <c r="D55" s="13" t="e">
        <f>D14/D7</f>
        <v>#DIV/0!</v>
      </c>
      <c r="E55" s="13" t="e">
        <f>E14/E7</f>
        <v>#DIV/0!</v>
      </c>
    </row>
    <row r="56" spans="1:5">
      <c r="A56" s="6" t="s">
        <v>181</v>
      </c>
      <c r="B56" s="12" t="e">
        <f>B13/B7</f>
        <v>#DIV/0!</v>
      </c>
      <c r="C56" s="14" t="e">
        <f>C13/C7</f>
        <v>#DIV/0!</v>
      </c>
      <c r="D56" s="13" t="e">
        <f>D13/D7</f>
        <v>#DIV/0!</v>
      </c>
      <c r="E56" s="13" t="e">
        <f>E13/E7</f>
        <v>#DIV/0!</v>
      </c>
    </row>
    <row r="57" spans="1:5">
      <c r="A57" s="83" t="s">
        <v>182</v>
      </c>
      <c r="B57" s="84"/>
      <c r="C57" s="84"/>
      <c r="D57" s="84"/>
      <c r="E57" s="84"/>
    </row>
    <row r="58" spans="1:5" ht="25.5">
      <c r="A58" s="6" t="s">
        <v>183</v>
      </c>
      <c r="B58" s="11" t="e">
        <f>B25/B23</f>
        <v>#DIV/0!</v>
      </c>
      <c r="C58" s="11" t="e">
        <f>C25/C23</f>
        <v>#DIV/0!</v>
      </c>
      <c r="D58" s="11" t="e">
        <f>D25/D23</f>
        <v>#DIV/0!</v>
      </c>
      <c r="E58" s="11" t="e">
        <f>E25/E23</f>
        <v>#DIV/0!</v>
      </c>
    </row>
  </sheetData>
  <mergeCells count="6">
    <mergeCell ref="A57:E57"/>
    <mergeCell ref="A26:E26"/>
    <mergeCell ref="A33:E33"/>
    <mergeCell ref="A41:E41"/>
    <mergeCell ref="A47:E47"/>
    <mergeCell ref="A54:E54"/>
  </mergeCells>
  <phoneticPr fontId="4" type="noConversion"/>
  <dataValidations count="1">
    <dataValidation type="list" allowBlank="1" showInputMessage="1" showErrorMessage="1" sqref="G6" xr:uid="{62A3912F-A1BA-4C8B-93CF-DA2CEFC0A5B4}">
      <formula1>"单位：元,单位：万元"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topLeftCell="C1" workbookViewId="0">
      <selection activeCell="C1" sqref="C1"/>
    </sheetView>
  </sheetViews>
  <sheetFormatPr defaultRowHeight="12.75"/>
  <cols>
    <col min="1" max="1" width="36.140625" bestFit="1" customWidth="1"/>
    <col min="2" max="2" width="10.42578125" bestFit="1" customWidth="1"/>
    <col min="3" max="3" width="13.140625" customWidth="1"/>
    <col min="4" max="4" width="12.5703125" customWidth="1"/>
    <col min="5" max="5" width="13.85546875" customWidth="1"/>
    <col min="6" max="6" width="14.28515625" customWidth="1"/>
    <col min="7" max="7" width="26.7109375" bestFit="1" customWidth="1"/>
    <col min="8" max="8" width="13.140625" bestFit="1" customWidth="1"/>
    <col min="9" max="9" width="13.5703125" bestFit="1" customWidth="1"/>
    <col min="10" max="10" width="14.28515625" bestFit="1" customWidth="1"/>
    <col min="11" max="11" width="13.5703125" bestFit="1" customWidth="1"/>
  </cols>
  <sheetData>
    <row r="1" spans="1:11" ht="14.25">
      <c r="A1" s="35" t="s">
        <v>342</v>
      </c>
      <c r="B1" s="36">
        <f>'财务分析-万位'!B1</f>
        <v>43190</v>
      </c>
      <c r="C1" s="36">
        <f>'财务分析-万位'!C1</f>
        <v>43100</v>
      </c>
      <c r="D1" s="36">
        <f>'财务分析-万位'!D1</f>
        <v>42735</v>
      </c>
      <c r="E1" s="36">
        <f>'财务分析-万位'!E1</f>
        <v>42369</v>
      </c>
      <c r="F1" t="s">
        <v>372</v>
      </c>
      <c r="G1" s="55" t="str">
        <f>A1</f>
        <v>项目</v>
      </c>
      <c r="H1" s="56">
        <f>B1</f>
        <v>43190</v>
      </c>
      <c r="I1" s="56">
        <f>C1</f>
        <v>43100</v>
      </c>
      <c r="J1" s="56">
        <f>D1</f>
        <v>42735</v>
      </c>
      <c r="K1" s="56">
        <f>E1</f>
        <v>42369</v>
      </c>
    </row>
    <row r="2" spans="1:11" ht="15.75">
      <c r="A2" s="35" t="s">
        <v>343</v>
      </c>
      <c r="B2" s="37">
        <f>B3-B4</f>
        <v>0</v>
      </c>
      <c r="C2" s="37">
        <f>C3-C4</f>
        <v>0</v>
      </c>
      <c r="D2" s="37">
        <f>D3-D4</f>
        <v>0</v>
      </c>
      <c r="E2" s="37">
        <f>E3-E4</f>
        <v>0</v>
      </c>
      <c r="G2" s="57" t="str">
        <f t="shared" ref="G2:G11" si="0">A2</f>
        <v>经营活动现金流量净额</v>
      </c>
      <c r="H2" s="58">
        <f t="shared" ref="H2:H11" si="1">ROUND(B2,0)/IF(LEN($F$1)&gt;4,10000,1)</f>
        <v>0</v>
      </c>
      <c r="I2" s="58">
        <f t="shared" ref="I2:I11" si="2">ROUND(C2,0)/IF(LEN($F$1)&gt;4,10000,1)</f>
        <v>0</v>
      </c>
      <c r="J2" s="58">
        <f t="shared" ref="J2:J11" si="3">ROUND(D2,0)/IF(LEN($F$1)&gt;4,10000,1)</f>
        <v>0</v>
      </c>
      <c r="K2" s="58">
        <f t="shared" ref="K2:K11" si="4">ROUND(E2,0)/IF(LEN($F$1)&gt;4,10000,1)</f>
        <v>0</v>
      </c>
    </row>
    <row r="3" spans="1:11" ht="15.75">
      <c r="A3" s="38" t="s">
        <v>344</v>
      </c>
      <c r="B3" s="39">
        <f>'cf2018.03'!C6</f>
        <v>0</v>
      </c>
      <c r="C3" s="39">
        <f>'cf2017.12'!C6</f>
        <v>0</v>
      </c>
      <c r="D3" s="39">
        <f>'cf2016.12'!C6</f>
        <v>0</v>
      </c>
      <c r="E3" s="39">
        <f>'cf2015.12'!C6</f>
        <v>0</v>
      </c>
      <c r="G3" s="59" t="str">
        <f t="shared" si="0"/>
        <v>经营活动现金流入</v>
      </c>
      <c r="H3" s="58">
        <f t="shared" si="1"/>
        <v>0</v>
      </c>
      <c r="I3" s="58">
        <f t="shared" si="2"/>
        <v>0</v>
      </c>
      <c r="J3" s="58">
        <f t="shared" si="3"/>
        <v>0</v>
      </c>
      <c r="K3" s="58">
        <f t="shared" si="4"/>
        <v>0</v>
      </c>
    </row>
    <row r="4" spans="1:11" ht="15.75">
      <c r="A4" s="38" t="s">
        <v>345</v>
      </c>
      <c r="B4" s="39">
        <f>'cf2018.03'!C11</f>
        <v>0</v>
      </c>
      <c r="C4" s="39">
        <f>'cf2017.12'!C11</f>
        <v>0</v>
      </c>
      <c r="D4" s="39">
        <f>'cf2016.12'!C11</f>
        <v>0</v>
      </c>
      <c r="E4" s="39">
        <f>'cf2015.12'!C11</f>
        <v>0</v>
      </c>
      <c r="G4" s="59" t="str">
        <f t="shared" si="0"/>
        <v>经营活动现金流出</v>
      </c>
      <c r="H4" s="58">
        <f t="shared" si="1"/>
        <v>0</v>
      </c>
      <c r="I4" s="58">
        <f t="shared" si="2"/>
        <v>0</v>
      </c>
      <c r="J4" s="58">
        <f t="shared" si="3"/>
        <v>0</v>
      </c>
      <c r="K4" s="58">
        <f t="shared" si="4"/>
        <v>0</v>
      </c>
    </row>
    <row r="5" spans="1:11" ht="15.75">
      <c r="A5" s="35" t="s">
        <v>346</v>
      </c>
      <c r="B5" s="37">
        <f>B6-B7</f>
        <v>0</v>
      </c>
      <c r="C5" s="37">
        <f>C6-C7</f>
        <v>0</v>
      </c>
      <c r="D5" s="37">
        <f>D6-D7</f>
        <v>0</v>
      </c>
      <c r="E5" s="37">
        <f>E6-E7</f>
        <v>0</v>
      </c>
      <c r="G5" s="57" t="str">
        <f t="shared" si="0"/>
        <v>投资活动现金流量净额</v>
      </c>
      <c r="H5" s="58">
        <f t="shared" si="1"/>
        <v>0</v>
      </c>
      <c r="I5" s="58">
        <f t="shared" si="2"/>
        <v>0</v>
      </c>
      <c r="J5" s="58">
        <f t="shared" si="3"/>
        <v>0</v>
      </c>
      <c r="K5" s="58">
        <f t="shared" si="4"/>
        <v>0</v>
      </c>
    </row>
    <row r="6" spans="1:11" ht="15.75">
      <c r="A6" s="38" t="s">
        <v>347</v>
      </c>
      <c r="B6" s="39">
        <f>'cf2018.03'!C19</f>
        <v>0</v>
      </c>
      <c r="C6" s="39">
        <f>'cf2017.12'!C19</f>
        <v>0</v>
      </c>
      <c r="D6" s="39">
        <f>'cf2016.12'!C19</f>
        <v>0</v>
      </c>
      <c r="E6" s="39">
        <f>'cf2015.12'!C19</f>
        <v>0</v>
      </c>
      <c r="G6" s="59" t="str">
        <f t="shared" si="0"/>
        <v>投资活动现金流入</v>
      </c>
      <c r="H6" s="58">
        <f t="shared" si="1"/>
        <v>0</v>
      </c>
      <c r="I6" s="58">
        <f t="shared" si="2"/>
        <v>0</v>
      </c>
      <c r="J6" s="58">
        <f t="shared" si="3"/>
        <v>0</v>
      </c>
      <c r="K6" s="58">
        <f t="shared" si="4"/>
        <v>0</v>
      </c>
    </row>
    <row r="7" spans="1:11" ht="15.75">
      <c r="A7" s="38" t="s">
        <v>348</v>
      </c>
      <c r="B7" s="39">
        <f>'cf2018.03'!C24</f>
        <v>0</v>
      </c>
      <c r="C7" s="39">
        <f>'cf2017.12'!C24</f>
        <v>0</v>
      </c>
      <c r="D7" s="39">
        <f>'cf2016.12'!C24</f>
        <v>0</v>
      </c>
      <c r="E7" s="39">
        <f>'cf2015.12'!C24</f>
        <v>0</v>
      </c>
      <c r="G7" s="59" t="str">
        <f t="shared" si="0"/>
        <v>投资活动现金流出</v>
      </c>
      <c r="H7" s="58">
        <f t="shared" si="1"/>
        <v>0</v>
      </c>
      <c r="I7" s="58">
        <f t="shared" si="2"/>
        <v>0</v>
      </c>
      <c r="J7" s="58">
        <f t="shared" si="3"/>
        <v>0</v>
      </c>
      <c r="K7" s="58">
        <f t="shared" si="4"/>
        <v>0</v>
      </c>
    </row>
    <row r="8" spans="1:11" ht="15.75">
      <c r="A8" s="35" t="s">
        <v>349</v>
      </c>
      <c r="B8" s="37">
        <f>B9-B10</f>
        <v>0</v>
      </c>
      <c r="C8" s="37">
        <f>C9-C10</f>
        <v>0</v>
      </c>
      <c r="D8" s="37">
        <f>D9-D10</f>
        <v>0</v>
      </c>
      <c r="E8" s="37">
        <f>E9-E10</f>
        <v>0</v>
      </c>
      <c r="G8" s="57" t="str">
        <f t="shared" si="0"/>
        <v>筹资活动现金流量净额</v>
      </c>
      <c r="H8" s="58">
        <f t="shared" si="1"/>
        <v>0</v>
      </c>
      <c r="I8" s="58">
        <f t="shared" si="2"/>
        <v>0</v>
      </c>
      <c r="J8" s="58">
        <f t="shared" si="3"/>
        <v>0</v>
      </c>
      <c r="K8" s="58">
        <f t="shared" si="4"/>
        <v>0</v>
      </c>
    </row>
    <row r="9" spans="1:11" ht="15.75">
      <c r="A9" s="38" t="s">
        <v>350</v>
      </c>
      <c r="B9" s="39">
        <f>'cf2018.03'!C30</f>
        <v>0</v>
      </c>
      <c r="C9" s="39">
        <f>'cf2017.12'!C30</f>
        <v>0</v>
      </c>
      <c r="D9" s="39">
        <f>'cf2016.12'!C30</f>
        <v>0</v>
      </c>
      <c r="E9" s="39">
        <f>'cf2015.12'!C30</f>
        <v>0</v>
      </c>
      <c r="G9" s="59" t="str">
        <f t="shared" si="0"/>
        <v>筹资活动现金流入</v>
      </c>
      <c r="H9" s="58">
        <f t="shared" si="1"/>
        <v>0</v>
      </c>
      <c r="I9" s="58">
        <f t="shared" si="2"/>
        <v>0</v>
      </c>
      <c r="J9" s="58">
        <f t="shared" si="3"/>
        <v>0</v>
      </c>
      <c r="K9" s="58">
        <f t="shared" si="4"/>
        <v>0</v>
      </c>
    </row>
    <row r="10" spans="1:11" ht="15.75">
      <c r="A10" s="38" t="s">
        <v>351</v>
      </c>
      <c r="B10" s="39">
        <f>'cf2018.03'!C34</f>
        <v>0</v>
      </c>
      <c r="C10" s="39">
        <f>'cf2017.12'!C34</f>
        <v>0</v>
      </c>
      <c r="D10" s="39">
        <f>'cf2016.12'!C34</f>
        <v>0</v>
      </c>
      <c r="E10" s="39">
        <f>'cf2015.12'!C34</f>
        <v>0</v>
      </c>
      <c r="G10" s="59" t="str">
        <f t="shared" si="0"/>
        <v>筹资活动现金流出</v>
      </c>
      <c r="H10" s="58">
        <f t="shared" si="1"/>
        <v>0</v>
      </c>
      <c r="I10" s="58">
        <f t="shared" si="2"/>
        <v>0</v>
      </c>
      <c r="J10" s="58">
        <f t="shared" si="3"/>
        <v>0</v>
      </c>
      <c r="K10" s="58">
        <f t="shared" si="4"/>
        <v>0</v>
      </c>
    </row>
    <row r="11" spans="1:11" ht="28.5">
      <c r="A11" s="38" t="s">
        <v>352</v>
      </c>
      <c r="B11" s="39">
        <f>'cf2018.03'!C32</f>
        <v>0</v>
      </c>
      <c r="C11" s="39">
        <f>'cf2017.12'!C32</f>
        <v>0</v>
      </c>
      <c r="D11" s="39">
        <f>'cf2016.12'!C32</f>
        <v>0</v>
      </c>
      <c r="E11" s="39">
        <f>'cf2015.12'!C32</f>
        <v>0</v>
      </c>
      <c r="G11" s="60" t="str">
        <f t="shared" si="0"/>
        <v>分配股利、利润或偿付利息支付的现金</v>
      </c>
      <c r="H11" s="58">
        <f t="shared" si="1"/>
        <v>0</v>
      </c>
      <c r="I11" s="58">
        <f t="shared" si="2"/>
        <v>0</v>
      </c>
      <c r="J11" s="58">
        <f t="shared" si="3"/>
        <v>0</v>
      </c>
      <c r="K11" s="58">
        <f t="shared" si="4"/>
        <v>0</v>
      </c>
    </row>
  </sheetData>
  <phoneticPr fontId="31" type="noConversion"/>
  <dataValidations count="1">
    <dataValidation type="list" allowBlank="1" showInputMessage="1" showErrorMessage="1" sqref="F1" xr:uid="{76A0D2D2-7E4F-4C89-A49D-6C76235CEED6}">
      <formula1>"单位：元,单位：万元"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"/>
  <sheetViews>
    <sheetView topLeftCell="C1" workbookViewId="0">
      <selection activeCell="L4" sqref="L4"/>
    </sheetView>
  </sheetViews>
  <sheetFormatPr defaultRowHeight="12.75"/>
  <cols>
    <col min="1" max="1" width="28.7109375" customWidth="1"/>
    <col min="2" max="2" width="23.7109375" customWidth="1"/>
    <col min="3" max="5" width="11.5703125" bestFit="1" customWidth="1"/>
    <col min="7" max="7" width="27.5703125" customWidth="1"/>
    <col min="8" max="8" width="13.5703125" bestFit="1" customWidth="1"/>
    <col min="9" max="11" width="15.140625" bestFit="1" customWidth="1"/>
  </cols>
  <sheetData>
    <row r="1" spans="1:11" ht="14.25">
      <c r="A1" s="87" t="s">
        <v>353</v>
      </c>
      <c r="B1" s="40">
        <f>'财务分析-万位'!B1</f>
        <v>43190</v>
      </c>
      <c r="C1" s="40">
        <f>'财务分析-万位'!C1</f>
        <v>43100</v>
      </c>
      <c r="D1" s="40">
        <f>'财务分析-万位'!D1</f>
        <v>42735</v>
      </c>
      <c r="E1" s="40">
        <f>'财务分析-万位'!E1</f>
        <v>42369</v>
      </c>
      <c r="F1" s="49"/>
      <c r="G1" s="88" t="s">
        <v>353</v>
      </c>
      <c r="H1" s="42">
        <f>B1</f>
        <v>43190</v>
      </c>
      <c r="I1" s="42">
        <f>C1</f>
        <v>43100</v>
      </c>
      <c r="J1" s="42">
        <f>D1</f>
        <v>42735</v>
      </c>
      <c r="K1" s="42">
        <f>E1</f>
        <v>42369</v>
      </c>
    </row>
    <row r="2" spans="1:11" ht="14.25">
      <c r="A2" s="87"/>
      <c r="B2" s="41" t="s">
        <v>354</v>
      </c>
      <c r="C2" s="41" t="s">
        <v>354</v>
      </c>
      <c r="D2" s="41" t="s">
        <v>354</v>
      </c>
      <c r="E2" s="41" t="s">
        <v>354</v>
      </c>
      <c r="F2" s="49"/>
      <c r="G2" s="88"/>
      <c r="H2" s="43" t="s">
        <v>354</v>
      </c>
      <c r="I2" s="43" t="s">
        <v>354</v>
      </c>
      <c r="J2" s="43" t="s">
        <v>354</v>
      </c>
      <c r="K2" s="43" t="s">
        <v>354</v>
      </c>
    </row>
    <row r="3" spans="1:11" ht="15">
      <c r="A3" s="44" t="s">
        <v>355</v>
      </c>
      <c r="B3" s="51">
        <f>'cf2018.03'!C3</f>
        <v>0</v>
      </c>
      <c r="C3" s="51">
        <f>'cf2017.12'!C3</f>
        <v>0</v>
      </c>
      <c r="D3" s="51">
        <f>'cf2016.12'!C3</f>
        <v>0</v>
      </c>
      <c r="E3" s="51">
        <f>'cf2015.12'!C3</f>
        <v>0</v>
      </c>
      <c r="F3" s="49"/>
      <c r="G3" s="45" t="str">
        <f>A3</f>
        <v>销售商品收到的现金</v>
      </c>
      <c r="H3" s="46">
        <f>ROUND(B3/10000,0)</f>
        <v>0</v>
      </c>
      <c r="I3" s="46">
        <f>ROUND(C3/10000,0)</f>
        <v>0</v>
      </c>
      <c r="J3" s="46">
        <f>ROUND(D3/10000,0)</f>
        <v>0</v>
      </c>
      <c r="K3" s="46">
        <f>ROUND(E3/10000,0)</f>
        <v>0</v>
      </c>
    </row>
    <row r="4" spans="1:11" ht="15">
      <c r="A4" s="44" t="s">
        <v>356</v>
      </c>
      <c r="B4" s="49">
        <f>'pl2018.03'!D3</f>
        <v>0</v>
      </c>
      <c r="C4" s="49">
        <f>'pl2017.12'!D3</f>
        <v>0</v>
      </c>
      <c r="D4" s="51">
        <f>'pl2016.12'!D3</f>
        <v>0</v>
      </c>
      <c r="E4" s="51">
        <f>'pl2015.12'!D3</f>
        <v>0</v>
      </c>
      <c r="F4" s="49"/>
      <c r="G4" s="45" t="str">
        <f t="shared" ref="G4:G11" si="0">A4</f>
        <v>主营业务收入</v>
      </c>
      <c r="H4" s="46">
        <f t="shared" ref="H4:K10" si="1">ROUND(B4/10000,0)</f>
        <v>0</v>
      </c>
      <c r="I4" s="46">
        <f t="shared" si="1"/>
        <v>0</v>
      </c>
      <c r="J4" s="46">
        <f t="shared" si="1"/>
        <v>0</v>
      </c>
      <c r="K4" s="46">
        <f t="shared" si="1"/>
        <v>0</v>
      </c>
    </row>
    <row r="5" spans="1:11" ht="31.5" customHeight="1">
      <c r="A5" s="44" t="s">
        <v>357</v>
      </c>
      <c r="B5" s="51">
        <f>'cf2018.03'!C7</f>
        <v>0</v>
      </c>
      <c r="C5" s="51">
        <f>'cf2017.12'!C7</f>
        <v>0</v>
      </c>
      <c r="D5" s="51">
        <f>'cf2016.12'!C7</f>
        <v>0</v>
      </c>
      <c r="E5" s="51">
        <f>'cf2015.12'!C7</f>
        <v>0</v>
      </c>
      <c r="F5" s="49"/>
      <c r="G5" s="45" t="str">
        <f t="shared" si="0"/>
        <v>购买商品、接受劳务支付的现金</v>
      </c>
      <c r="H5" s="46">
        <f t="shared" si="1"/>
        <v>0</v>
      </c>
      <c r="I5" s="46">
        <f t="shared" si="1"/>
        <v>0</v>
      </c>
      <c r="J5" s="46">
        <f t="shared" si="1"/>
        <v>0</v>
      </c>
      <c r="K5" s="46">
        <f t="shared" si="1"/>
        <v>0</v>
      </c>
    </row>
    <row r="6" spans="1:11" ht="23.25" customHeight="1">
      <c r="A6" s="44" t="s">
        <v>358</v>
      </c>
      <c r="B6" s="49">
        <f>'pl2018.03'!D6</f>
        <v>0</v>
      </c>
      <c r="C6" s="49">
        <f>'pl2017.12'!D6</f>
        <v>0</v>
      </c>
      <c r="D6" s="51">
        <f>'pl2016.12'!D6</f>
        <v>0</v>
      </c>
      <c r="E6" s="51">
        <f>'pl2015.12'!D6</f>
        <v>0</v>
      </c>
      <c r="F6" s="49"/>
      <c r="G6" s="45" t="str">
        <f t="shared" si="0"/>
        <v>主营业务成本</v>
      </c>
      <c r="H6" s="46">
        <f t="shared" si="1"/>
        <v>0</v>
      </c>
      <c r="I6" s="46">
        <f t="shared" si="1"/>
        <v>0</v>
      </c>
      <c r="J6" s="46">
        <f t="shared" si="1"/>
        <v>0</v>
      </c>
      <c r="K6" s="46">
        <f t="shared" si="1"/>
        <v>0</v>
      </c>
    </row>
    <row r="7" spans="1:11" ht="43.5" customHeight="1">
      <c r="A7" s="44" t="s">
        <v>352</v>
      </c>
      <c r="B7" s="51">
        <f>'cf2018.03'!C32</f>
        <v>0</v>
      </c>
      <c r="C7" s="51">
        <f>'cf2017.12'!C32</f>
        <v>0</v>
      </c>
      <c r="D7" s="51">
        <f>'cf2016.12'!C32</f>
        <v>0</v>
      </c>
      <c r="E7" s="51">
        <f>'cf2015.12'!C32</f>
        <v>0</v>
      </c>
      <c r="F7" s="49"/>
      <c r="G7" s="45" t="str">
        <f t="shared" si="0"/>
        <v>分配股利、利润或偿付利息支付的现金</v>
      </c>
      <c r="H7" s="46">
        <f t="shared" si="1"/>
        <v>0</v>
      </c>
      <c r="I7" s="46">
        <f t="shared" si="1"/>
        <v>0</v>
      </c>
      <c r="J7" s="46">
        <f>ROUND(D7/10000,0)</f>
        <v>0</v>
      </c>
      <c r="K7" s="46">
        <f t="shared" si="1"/>
        <v>0</v>
      </c>
    </row>
    <row r="8" spans="1:11" ht="15">
      <c r="A8" s="44" t="s">
        <v>359</v>
      </c>
      <c r="B8" s="51">
        <f>'pl2018.03'!D11</f>
        <v>0</v>
      </c>
      <c r="C8" s="49">
        <f>'pl2017.12'!D11</f>
        <v>0</v>
      </c>
      <c r="D8" s="51">
        <f>'pl2016.12'!D11</f>
        <v>0</v>
      </c>
      <c r="E8" s="51">
        <f>'pl2015.12'!D11</f>
        <v>0</v>
      </c>
      <c r="F8" s="49"/>
      <c r="G8" s="45" t="str">
        <f t="shared" si="0"/>
        <v>财务费用</v>
      </c>
      <c r="H8" s="46">
        <f t="shared" si="1"/>
        <v>0</v>
      </c>
      <c r="I8" s="46">
        <f t="shared" si="1"/>
        <v>0</v>
      </c>
      <c r="J8" s="46">
        <f>ROUND(D8/10000,0)</f>
        <v>0</v>
      </c>
      <c r="K8" s="46">
        <f t="shared" si="1"/>
        <v>0</v>
      </c>
    </row>
    <row r="9" spans="1:11" ht="15">
      <c r="A9" s="44" t="s">
        <v>360</v>
      </c>
      <c r="B9" s="51">
        <f>'cf2018.03'!C12</f>
        <v>0</v>
      </c>
      <c r="C9" s="51">
        <f>'cf2017.12'!C12</f>
        <v>0</v>
      </c>
      <c r="D9" s="51">
        <f>'cf2016.12'!C12</f>
        <v>0</v>
      </c>
      <c r="E9" s="51">
        <f>'cf2015.12'!C12</f>
        <v>0</v>
      </c>
      <c r="F9" s="49"/>
      <c r="G9" s="45" t="str">
        <f t="shared" si="0"/>
        <v>经营性现金净流量</v>
      </c>
      <c r="H9" s="46">
        <f t="shared" si="1"/>
        <v>0</v>
      </c>
      <c r="I9" s="46">
        <f t="shared" si="1"/>
        <v>0</v>
      </c>
      <c r="J9" s="46">
        <f>ROUND(D9/10000,0)</f>
        <v>0</v>
      </c>
      <c r="K9" s="46">
        <f t="shared" si="1"/>
        <v>0</v>
      </c>
    </row>
    <row r="10" spans="1:11" ht="15">
      <c r="A10" s="44" t="s">
        <v>361</v>
      </c>
      <c r="B10" s="51">
        <f>'pl2018.03'!D20</f>
        <v>0</v>
      </c>
      <c r="C10" s="49">
        <f>'pl2017.12'!D20</f>
        <v>0</v>
      </c>
      <c r="D10" s="51">
        <f>'pl2016.12'!D20</f>
        <v>0</v>
      </c>
      <c r="E10" s="51">
        <f>'pl2015.12'!D20</f>
        <v>0</v>
      </c>
      <c r="F10" s="49"/>
      <c r="G10" s="45" t="str">
        <f t="shared" si="0"/>
        <v>净利润</v>
      </c>
      <c r="H10" s="46">
        <f t="shared" si="1"/>
        <v>0</v>
      </c>
      <c r="I10" s="46">
        <f t="shared" si="1"/>
        <v>0</v>
      </c>
      <c r="J10" s="46">
        <f t="shared" si="1"/>
        <v>0</v>
      </c>
      <c r="K10" s="46">
        <f t="shared" si="1"/>
        <v>0</v>
      </c>
    </row>
    <row r="11" spans="1:11" ht="15">
      <c r="A11" s="44" t="s">
        <v>362</v>
      </c>
      <c r="B11" s="50" t="e">
        <f>B9/B10</f>
        <v>#DIV/0!</v>
      </c>
      <c r="C11" s="50" t="e">
        <f>C9/C10</f>
        <v>#DIV/0!</v>
      </c>
      <c r="D11" s="50" t="e">
        <f>D9/D10</f>
        <v>#DIV/0!</v>
      </c>
      <c r="E11" s="50" t="e">
        <f>E9/E10</f>
        <v>#DIV/0!</v>
      </c>
      <c r="F11" s="49"/>
      <c r="G11" s="47" t="str">
        <f t="shared" si="0"/>
        <v>盈利现金比</v>
      </c>
      <c r="H11" s="48" t="e">
        <f>B11</f>
        <v>#DIV/0!</v>
      </c>
      <c r="I11" s="48" t="e">
        <f>C11</f>
        <v>#DIV/0!</v>
      </c>
      <c r="J11" s="48" t="e">
        <f>D11</f>
        <v>#DIV/0!</v>
      </c>
      <c r="K11" s="48" t="e">
        <f>E11</f>
        <v>#DIV/0!</v>
      </c>
    </row>
  </sheetData>
  <mergeCells count="2">
    <mergeCell ref="A1:A2"/>
    <mergeCell ref="G1:G2"/>
  </mergeCells>
  <phoneticPr fontId="3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F10"/>
  <sheetViews>
    <sheetView workbookViewId="0">
      <selection activeCell="B3" sqref="B3"/>
    </sheetView>
  </sheetViews>
  <sheetFormatPr defaultRowHeight="12.75"/>
  <cols>
    <col min="2" max="2" width="19.42578125" customWidth="1"/>
    <col min="3" max="3" width="12.28515625" bestFit="1" customWidth="1"/>
    <col min="4" max="6" width="13.5703125" bestFit="1" customWidth="1"/>
  </cols>
  <sheetData>
    <row r="2" spans="2:6" ht="13.5" thickBot="1">
      <c r="F2" t="str">
        <f>'财务分析-万位'!G6</f>
        <v>单位：万元</v>
      </c>
    </row>
    <row r="3" spans="2:6" ht="16.5" thickBot="1">
      <c r="B3" s="61" t="s">
        <v>363</v>
      </c>
      <c r="C3" s="62">
        <f>'财务分析-万位'!B1</f>
        <v>43190</v>
      </c>
      <c r="D3" s="62">
        <f>'财务分析-万位'!C1</f>
        <v>43100</v>
      </c>
      <c r="E3" s="62">
        <f>'财务分析-万位'!D1</f>
        <v>42735</v>
      </c>
      <c r="F3" s="62">
        <f>'财务分析-万位'!E1</f>
        <v>42369</v>
      </c>
    </row>
    <row r="4" spans="2:6" ht="16.5" thickBot="1">
      <c r="B4" s="63" t="s">
        <v>139</v>
      </c>
      <c r="C4" s="64">
        <f>'财务分析-万位'!B7</f>
        <v>0</v>
      </c>
      <c r="D4" s="64">
        <f>'财务分析-万位'!C7</f>
        <v>0</v>
      </c>
      <c r="E4" s="64">
        <f>'财务分析-万位'!D7</f>
        <v>0</v>
      </c>
      <c r="F4" s="64">
        <f>'财务分析-万位'!E7</f>
        <v>0</v>
      </c>
    </row>
    <row r="5" spans="2:6" ht="16.5" thickBot="1">
      <c r="B5" s="63" t="s">
        <v>364</v>
      </c>
      <c r="C5" s="64">
        <f>'财务分析-万位'!B15</f>
        <v>0</v>
      </c>
      <c r="D5" s="64">
        <f>'财务分析-万位'!C15</f>
        <v>0</v>
      </c>
      <c r="E5" s="64">
        <f>'财务分析-万位'!D15</f>
        <v>0</v>
      </c>
      <c r="F5" s="64">
        <f>'财务分析-万位'!E15</f>
        <v>0</v>
      </c>
    </row>
    <row r="6" spans="2:6" ht="16.5" thickBot="1">
      <c r="B6" s="63" t="s">
        <v>365</v>
      </c>
      <c r="C6" s="65" t="e">
        <f>'财务分析-万位'!B30</f>
        <v>#DIV/0!</v>
      </c>
      <c r="D6" s="65" t="e">
        <f>'财务分析-万位'!C30</f>
        <v>#DIV/0!</v>
      </c>
      <c r="E6" s="65" t="e">
        <f>'财务分析-万位'!D30</f>
        <v>#DIV/0!</v>
      </c>
      <c r="F6" s="65" t="e">
        <f>'财务分析-万位'!E30</f>
        <v>#DIV/0!</v>
      </c>
    </row>
    <row r="7" spans="2:6" ht="16.5" thickBot="1">
      <c r="B7" s="63" t="s">
        <v>188</v>
      </c>
      <c r="C7" s="64">
        <f>'财务分析-万位'!B16</f>
        <v>0</v>
      </c>
      <c r="D7" s="64">
        <f>'财务分析-万位'!C16</f>
        <v>0</v>
      </c>
      <c r="E7" s="64">
        <f>'财务分析-万位'!D16</f>
        <v>0</v>
      </c>
      <c r="F7" s="64">
        <f>'财务分析-万位'!E16</f>
        <v>0</v>
      </c>
    </row>
    <row r="8" spans="2:6" ht="16.5" thickBot="1">
      <c r="B8" s="63" t="s">
        <v>150</v>
      </c>
      <c r="C8" s="64">
        <f>'财务分析-万位'!B22</f>
        <v>0</v>
      </c>
      <c r="D8" s="64">
        <f>'财务分析-万位'!C22</f>
        <v>0</v>
      </c>
      <c r="E8" s="64">
        <f>'财务分析-万位'!D22</f>
        <v>0</v>
      </c>
      <c r="F8" s="64">
        <f>'财务分析-万位'!E22</f>
        <v>0</v>
      </c>
    </row>
    <row r="9" spans="2:6" ht="16.5" thickBot="1">
      <c r="B9" s="63" t="s">
        <v>366</v>
      </c>
      <c r="C9" s="64">
        <f>'财务分析-万位'!B25</f>
        <v>0</v>
      </c>
      <c r="D9" s="64">
        <f>'财务分析-万位'!C25</f>
        <v>0</v>
      </c>
      <c r="E9" s="64">
        <f>'财务分析-万位'!D25</f>
        <v>0</v>
      </c>
      <c r="F9" s="64">
        <f>'财务分析-万位'!E25</f>
        <v>0</v>
      </c>
    </row>
    <row r="10" spans="2:6" ht="16.5" thickBot="1">
      <c r="B10" s="63" t="s">
        <v>367</v>
      </c>
      <c r="C10" s="64">
        <f>'财务分析-万位'!B24</f>
        <v>0</v>
      </c>
      <c r="D10" s="64">
        <f>'财务分析-万位'!C24</f>
        <v>0</v>
      </c>
      <c r="E10" s="64">
        <f>'财务分析-万位'!D24</f>
        <v>0</v>
      </c>
      <c r="F10" s="64">
        <f>'财务分析-万位'!E24</f>
        <v>0</v>
      </c>
    </row>
  </sheetData>
  <phoneticPr fontId="3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75"/>
  <sheetViews>
    <sheetView tabSelected="1" topLeftCell="B1" workbookViewId="0">
      <selection activeCell="G18" sqref="G18"/>
    </sheetView>
  </sheetViews>
  <sheetFormatPr defaultRowHeight="12.75"/>
  <cols>
    <col min="2" max="2" width="25.7109375" style="79" bestFit="1" customWidth="1"/>
    <col min="3" max="3" width="10.5703125" style="80" bestFit="1" customWidth="1"/>
    <col min="4" max="4" width="9.85546875" style="80" customWidth="1"/>
    <col min="5" max="5" width="11.140625" style="80" bestFit="1" customWidth="1"/>
    <col min="6" max="6" width="11" style="80" customWidth="1"/>
    <col min="7" max="7" width="11.85546875" style="80" bestFit="1" customWidth="1"/>
    <col min="8" max="8" width="11" style="80" customWidth="1"/>
    <col min="9" max="9" width="11.85546875" style="80" bestFit="1" customWidth="1"/>
    <col min="10" max="10" width="9.28515625" style="80" bestFit="1" customWidth="1"/>
  </cols>
  <sheetData>
    <row r="1" spans="2:10">
      <c r="J1" s="81" t="s">
        <v>372</v>
      </c>
    </row>
    <row r="2" spans="2:10">
      <c r="B2" s="93" t="s">
        <v>371</v>
      </c>
      <c r="C2" s="94">
        <f>'财务分析-万位'!B1</f>
        <v>43190</v>
      </c>
      <c r="D2" s="95"/>
      <c r="E2" s="94">
        <f>'财务分析-万位'!C1</f>
        <v>43100</v>
      </c>
      <c r="F2" s="95"/>
      <c r="G2" s="94">
        <f>'财务分析-万位'!D1</f>
        <v>42735</v>
      </c>
      <c r="H2" s="95"/>
      <c r="I2" s="94">
        <f>'财务分析-万位'!E1</f>
        <v>42369</v>
      </c>
      <c r="J2" s="95"/>
    </row>
    <row r="3" spans="2:10">
      <c r="B3" s="93"/>
      <c r="C3" s="69" t="s">
        <v>369</v>
      </c>
      <c r="D3" s="69" t="s">
        <v>370</v>
      </c>
      <c r="E3" s="69" t="s">
        <v>369</v>
      </c>
      <c r="F3" s="69" t="s">
        <v>370</v>
      </c>
      <c r="G3" s="69" t="s">
        <v>369</v>
      </c>
      <c r="H3" s="69" t="s">
        <v>370</v>
      </c>
      <c r="I3" s="69" t="s">
        <v>369</v>
      </c>
      <c r="J3" s="69" t="s">
        <v>370</v>
      </c>
    </row>
    <row r="4" spans="2:10">
      <c r="B4" s="66" t="s">
        <v>5</v>
      </c>
      <c r="C4" s="70">
        <f>ROUND('bs2018.03'!D2,0)/IF(LEN($J$1)&gt;4,10000,1)</f>
        <v>0</v>
      </c>
      <c r="D4" s="71" t="e">
        <f>C4/$C$37</f>
        <v>#DIV/0!</v>
      </c>
      <c r="E4" s="70">
        <f>ROUND('bs2017.12'!D2,0)/IF(LEN($J$1)&gt;4,10000,1)</f>
        <v>0</v>
      </c>
      <c r="F4" s="71" t="e">
        <f>E4/$E$37</f>
        <v>#DIV/0!</v>
      </c>
      <c r="G4" s="72">
        <f>ROUND('bs2016.12 '!D2,0)/IF(LEN($J$1)&gt;4,10000,1)</f>
        <v>0</v>
      </c>
      <c r="H4" s="71" t="e">
        <f>G4/$G$37</f>
        <v>#DIV/0!</v>
      </c>
      <c r="I4" s="72">
        <f>ROUND('bs2015.12'!D2,0)/IF(LEN($J$1)&gt;4,10000,1)</f>
        <v>0</v>
      </c>
      <c r="J4" s="71" t="e">
        <f>I4/$I$37</f>
        <v>#DIV/0!</v>
      </c>
    </row>
    <row r="5" spans="2:10">
      <c r="B5" s="66" t="s">
        <v>7</v>
      </c>
      <c r="C5" s="70">
        <f>ROUND('bs2018.03'!D3,0)/IF(LEN($J$1)&gt;4,10000,1)</f>
        <v>0</v>
      </c>
      <c r="D5" s="71" t="e">
        <f t="shared" ref="D5:D37" si="0">C5/$C$37</f>
        <v>#DIV/0!</v>
      </c>
      <c r="E5" s="70">
        <f>ROUND('bs2017.12'!D3,0)/IF(LEN($J$1)&gt;4,10000,1)</f>
        <v>0</v>
      </c>
      <c r="F5" s="71" t="e">
        <f t="shared" ref="F5:F37" si="1">E5/$E$37</f>
        <v>#DIV/0!</v>
      </c>
      <c r="G5" s="72">
        <f>ROUND('bs2016.12 '!D3,0)/IF(LEN($J$1)&gt;4,10000,1)</f>
        <v>0</v>
      </c>
      <c r="H5" s="71" t="e">
        <f t="shared" ref="H5:H37" si="2">G5/$G$37</f>
        <v>#DIV/0!</v>
      </c>
      <c r="I5" s="72">
        <f>ROUND('bs2015.12'!D3,0)/IF(LEN($J$1)&gt;4,10000,1)</f>
        <v>0</v>
      </c>
      <c r="J5" s="71" t="e">
        <f t="shared" ref="J5:J37" si="3">I5/$I$37</f>
        <v>#DIV/0!</v>
      </c>
    </row>
    <row r="6" spans="2:10">
      <c r="B6" s="66" t="s">
        <v>9</v>
      </c>
      <c r="C6" s="70">
        <f>ROUND('bs2018.03'!D4,0)/IF(LEN($J$1)&gt;4,10000,1)</f>
        <v>0</v>
      </c>
      <c r="D6" s="71" t="e">
        <f t="shared" si="0"/>
        <v>#DIV/0!</v>
      </c>
      <c r="E6" s="70">
        <f>ROUND('bs2017.12'!D4,0)/IF(LEN($J$1)&gt;4,10000,1)</f>
        <v>0</v>
      </c>
      <c r="F6" s="71" t="e">
        <f t="shared" si="1"/>
        <v>#DIV/0!</v>
      </c>
      <c r="G6" s="72">
        <f>ROUND('bs2016.12 '!D4,0)/IF(LEN($J$1)&gt;4,10000,1)</f>
        <v>0</v>
      </c>
      <c r="H6" s="71" t="e">
        <f t="shared" si="2"/>
        <v>#DIV/0!</v>
      </c>
      <c r="I6" s="72">
        <f>ROUND('bs2015.12'!D4,0)/IF(LEN($J$1)&gt;4,10000,1)</f>
        <v>0</v>
      </c>
      <c r="J6" s="71" t="e">
        <f t="shared" si="3"/>
        <v>#DIV/0!</v>
      </c>
    </row>
    <row r="7" spans="2:10">
      <c r="B7" s="66" t="s">
        <v>11</v>
      </c>
      <c r="C7" s="70">
        <f>ROUND('bs2018.03'!D5,0)/IF(LEN($J$1)&gt;4,10000,1)</f>
        <v>0</v>
      </c>
      <c r="D7" s="71" t="e">
        <f t="shared" si="0"/>
        <v>#DIV/0!</v>
      </c>
      <c r="E7" s="70">
        <f>ROUND('bs2017.12'!D5,0)/IF(LEN($J$1)&gt;4,10000,1)</f>
        <v>0</v>
      </c>
      <c r="F7" s="71" t="e">
        <f t="shared" si="1"/>
        <v>#DIV/0!</v>
      </c>
      <c r="G7" s="72">
        <f>ROUND('bs2016.12 '!D5,0)/IF(LEN($J$1)&gt;4,10000,1)</f>
        <v>0</v>
      </c>
      <c r="H7" s="71" t="e">
        <f t="shared" si="2"/>
        <v>#DIV/0!</v>
      </c>
      <c r="I7" s="72">
        <f>ROUND('bs2015.12'!D5,0)/IF(LEN($J$1)&gt;4,10000,1)</f>
        <v>0</v>
      </c>
      <c r="J7" s="71" t="e">
        <f t="shared" si="3"/>
        <v>#DIV/0!</v>
      </c>
    </row>
    <row r="8" spans="2:10">
      <c r="B8" s="66" t="s">
        <v>13</v>
      </c>
      <c r="C8" s="70">
        <f>ROUND('bs2018.03'!D6,0)/IF(LEN($J$1)&gt;4,10000,1)</f>
        <v>0</v>
      </c>
      <c r="D8" s="71" t="e">
        <f t="shared" si="0"/>
        <v>#DIV/0!</v>
      </c>
      <c r="E8" s="70">
        <f>ROUND('bs2017.12'!D6,0)/IF(LEN($J$1)&gt;4,10000,1)</f>
        <v>0</v>
      </c>
      <c r="F8" s="71" t="e">
        <f t="shared" si="1"/>
        <v>#DIV/0!</v>
      </c>
      <c r="G8" s="72">
        <f>ROUND('bs2016.12 '!D6,0)/IF(LEN($J$1)&gt;4,10000,1)</f>
        <v>0</v>
      </c>
      <c r="H8" s="71" t="e">
        <f t="shared" si="2"/>
        <v>#DIV/0!</v>
      </c>
      <c r="I8" s="72">
        <f>ROUND('bs2015.12'!D6,0)/IF(LEN($J$1)&gt;4,10000,1)</f>
        <v>0</v>
      </c>
      <c r="J8" s="71" t="e">
        <f t="shared" si="3"/>
        <v>#DIV/0!</v>
      </c>
    </row>
    <row r="9" spans="2:10">
      <c r="B9" s="66" t="s">
        <v>15</v>
      </c>
      <c r="C9" s="70">
        <f>ROUND('bs2018.03'!D7,0)/IF(LEN($J$1)&gt;4,10000,1)</f>
        <v>0</v>
      </c>
      <c r="D9" s="71" t="e">
        <f t="shared" si="0"/>
        <v>#DIV/0!</v>
      </c>
      <c r="E9" s="70">
        <f>ROUND('bs2017.12'!D7,0)/IF(LEN($J$1)&gt;4,10000,1)</f>
        <v>0</v>
      </c>
      <c r="F9" s="71" t="e">
        <f t="shared" si="1"/>
        <v>#DIV/0!</v>
      </c>
      <c r="G9" s="72">
        <f>ROUND('bs2016.12 '!D7,0)/IF(LEN($J$1)&gt;4,10000,1)</f>
        <v>0</v>
      </c>
      <c r="H9" s="71" t="e">
        <f t="shared" si="2"/>
        <v>#DIV/0!</v>
      </c>
      <c r="I9" s="72">
        <f>ROUND('bs2015.12'!D7,0)/IF(LEN($J$1)&gt;4,10000,1)</f>
        <v>0</v>
      </c>
      <c r="J9" s="71" t="e">
        <f t="shared" si="3"/>
        <v>#DIV/0!</v>
      </c>
    </row>
    <row r="10" spans="2:10">
      <c r="B10" s="66" t="s">
        <v>17</v>
      </c>
      <c r="C10" s="70">
        <f>ROUND('bs2018.03'!D8,0)/IF(LEN($J$1)&gt;4,10000,1)</f>
        <v>0</v>
      </c>
      <c r="D10" s="71" t="e">
        <f t="shared" si="0"/>
        <v>#DIV/0!</v>
      </c>
      <c r="E10" s="70">
        <f>ROUND('bs2017.12'!D8,0)/IF(LEN($J$1)&gt;4,10000,1)</f>
        <v>0</v>
      </c>
      <c r="F10" s="71" t="e">
        <f t="shared" si="1"/>
        <v>#DIV/0!</v>
      </c>
      <c r="G10" s="72">
        <f>ROUND('bs2016.12 '!D8,0)/IF(LEN($J$1)&gt;4,10000,1)</f>
        <v>0</v>
      </c>
      <c r="H10" s="71" t="e">
        <f t="shared" si="2"/>
        <v>#DIV/0!</v>
      </c>
      <c r="I10" s="72">
        <f>ROUND('bs2015.12'!D8,0)/IF(LEN($J$1)&gt;4,10000,1)</f>
        <v>0</v>
      </c>
      <c r="J10" s="71" t="e">
        <f t="shared" si="3"/>
        <v>#DIV/0!</v>
      </c>
    </row>
    <row r="11" spans="2:10">
      <c r="B11" s="66" t="s">
        <v>19</v>
      </c>
      <c r="C11" s="70">
        <f>ROUND('bs2018.03'!D9,0)/IF(LEN($J$1)&gt;4,10000,1)</f>
        <v>0</v>
      </c>
      <c r="D11" s="71" t="e">
        <f t="shared" si="0"/>
        <v>#DIV/0!</v>
      </c>
      <c r="E11" s="70">
        <f>ROUND('bs2017.12'!D9,0)/IF(LEN($J$1)&gt;4,10000,1)</f>
        <v>0</v>
      </c>
      <c r="F11" s="71" t="e">
        <f t="shared" si="1"/>
        <v>#DIV/0!</v>
      </c>
      <c r="G11" s="72">
        <f>ROUND('bs2016.12 '!D9,0)/IF(LEN($J$1)&gt;4,10000,1)</f>
        <v>0</v>
      </c>
      <c r="H11" s="71" t="e">
        <f t="shared" si="2"/>
        <v>#DIV/0!</v>
      </c>
      <c r="I11" s="72">
        <f>ROUND('bs2015.12'!D9,0)/IF(LEN($J$1)&gt;4,10000,1)</f>
        <v>0</v>
      </c>
      <c r="J11" s="71" t="e">
        <f t="shared" si="3"/>
        <v>#DIV/0!</v>
      </c>
    </row>
    <row r="12" spans="2:10">
      <c r="B12" s="66" t="s">
        <v>21</v>
      </c>
      <c r="C12" s="70">
        <f>ROUND('bs2018.03'!D10,0)/IF(LEN($J$1)&gt;4,10000,1)</f>
        <v>0</v>
      </c>
      <c r="D12" s="71" t="e">
        <f t="shared" si="0"/>
        <v>#DIV/0!</v>
      </c>
      <c r="E12" s="70">
        <f>ROUND('bs2017.12'!D10,0)/IF(LEN($J$1)&gt;4,10000,1)</f>
        <v>0</v>
      </c>
      <c r="F12" s="71" t="e">
        <f t="shared" si="1"/>
        <v>#DIV/0!</v>
      </c>
      <c r="G12" s="72">
        <f>ROUND('bs2016.12 '!D10,0)/IF(LEN($J$1)&gt;4,10000,1)</f>
        <v>0</v>
      </c>
      <c r="H12" s="71" t="e">
        <f t="shared" si="2"/>
        <v>#DIV/0!</v>
      </c>
      <c r="I12" s="72">
        <f>ROUND('bs2015.12'!D10,0)/IF(LEN($J$1)&gt;4,10000,1)</f>
        <v>0</v>
      </c>
      <c r="J12" s="71" t="e">
        <f t="shared" si="3"/>
        <v>#DIV/0!</v>
      </c>
    </row>
    <row r="13" spans="2:10">
      <c r="B13" s="66" t="s">
        <v>23</v>
      </c>
      <c r="C13" s="70">
        <f>ROUND('bs2018.03'!D11,0)/IF(LEN($J$1)&gt;4,10000,1)</f>
        <v>0</v>
      </c>
      <c r="D13" s="71" t="e">
        <f t="shared" si="0"/>
        <v>#DIV/0!</v>
      </c>
      <c r="E13" s="70">
        <f>ROUND('bs2017.12'!D11,0)/IF(LEN($J$1)&gt;4,10000,1)</f>
        <v>0</v>
      </c>
      <c r="F13" s="71" t="e">
        <f t="shared" si="1"/>
        <v>#DIV/0!</v>
      </c>
      <c r="G13" s="72">
        <f>ROUND('bs2016.12 '!D11,0)/IF(LEN($J$1)&gt;4,10000,1)</f>
        <v>0</v>
      </c>
      <c r="H13" s="71" t="e">
        <f t="shared" si="2"/>
        <v>#DIV/0!</v>
      </c>
      <c r="I13" s="72">
        <f>ROUND('bs2015.12'!D11,0)/IF(LEN($J$1)&gt;4,10000,1)</f>
        <v>0</v>
      </c>
      <c r="J13" s="71" t="e">
        <f t="shared" si="3"/>
        <v>#DIV/0!</v>
      </c>
    </row>
    <row r="14" spans="2:10">
      <c r="B14" s="66" t="s">
        <v>25</v>
      </c>
      <c r="C14" s="70">
        <f>ROUND('bs2018.03'!D12,0)/IF(LEN($J$1)&gt;4,10000,1)</f>
        <v>0</v>
      </c>
      <c r="D14" s="71" t="e">
        <f t="shared" si="0"/>
        <v>#DIV/0!</v>
      </c>
      <c r="E14" s="70">
        <f>ROUND('bs2017.12'!D12,0)/IF(LEN($J$1)&gt;4,10000,1)</f>
        <v>0</v>
      </c>
      <c r="F14" s="71" t="e">
        <f t="shared" si="1"/>
        <v>#DIV/0!</v>
      </c>
      <c r="G14" s="72">
        <f>ROUND('bs2016.12 '!D12,0)/IF(LEN($J$1)&gt;4,10000,1)</f>
        <v>0</v>
      </c>
      <c r="H14" s="71" t="e">
        <f t="shared" si="2"/>
        <v>#DIV/0!</v>
      </c>
      <c r="I14" s="72">
        <f>ROUND('bs2015.12'!D12,0)/IF(LEN($J$1)&gt;4,10000,1)</f>
        <v>0</v>
      </c>
      <c r="J14" s="71" t="e">
        <f t="shared" si="3"/>
        <v>#DIV/0!</v>
      </c>
    </row>
    <row r="15" spans="2:10">
      <c r="B15" s="67" t="s">
        <v>27</v>
      </c>
      <c r="C15" s="73">
        <f>ROUND('bs2018.03'!D13,0)/IF(LEN($J$1)&gt;4,10000,1)</f>
        <v>0</v>
      </c>
      <c r="D15" s="74" t="e">
        <f t="shared" si="0"/>
        <v>#DIV/0!</v>
      </c>
      <c r="E15" s="73">
        <f>ROUND('bs2017.12'!D13,0)/IF(LEN($J$1)&gt;4,10000,1)</f>
        <v>0</v>
      </c>
      <c r="F15" s="74" t="e">
        <f t="shared" si="1"/>
        <v>#DIV/0!</v>
      </c>
      <c r="G15" s="75">
        <f>ROUND('bs2016.12 '!D13,0)/IF(LEN($J$1)&gt;4,10000,1)</f>
        <v>0</v>
      </c>
      <c r="H15" s="74" t="e">
        <f t="shared" si="2"/>
        <v>#DIV/0!</v>
      </c>
      <c r="I15" s="75">
        <f>ROUND('bs2015.12'!D13,0)/IF(LEN($J$1)&gt;4,10000,1)</f>
        <v>0</v>
      </c>
      <c r="J15" s="74" t="e">
        <f t="shared" si="3"/>
        <v>#DIV/0!</v>
      </c>
    </row>
    <row r="16" spans="2:10">
      <c r="B16" s="66" t="s">
        <v>29</v>
      </c>
      <c r="C16" s="70">
        <f>ROUND('bs2018.03'!D14,0)/IF(LEN($J$1)&gt;4,10000,1)</f>
        <v>0</v>
      </c>
      <c r="D16" s="71" t="e">
        <f t="shared" si="0"/>
        <v>#DIV/0!</v>
      </c>
      <c r="E16" s="70">
        <f>ROUND('bs2017.12'!D14,0)/IF(LEN($J$1)&gt;4,10000,1)</f>
        <v>0</v>
      </c>
      <c r="F16" s="71" t="e">
        <f t="shared" si="1"/>
        <v>#DIV/0!</v>
      </c>
      <c r="G16" s="72">
        <f>ROUND('bs2016.12 '!D14,0)/IF(LEN($J$1)&gt;4,10000,1)</f>
        <v>0</v>
      </c>
      <c r="H16" s="71" t="e">
        <f t="shared" si="2"/>
        <v>#DIV/0!</v>
      </c>
      <c r="I16" s="72">
        <f>ROUND('bs2015.12'!D14,0)/IF(LEN($J$1)&gt;4,10000,1)</f>
        <v>0</v>
      </c>
      <c r="J16" s="71" t="e">
        <f t="shared" si="3"/>
        <v>#DIV/0!</v>
      </c>
    </row>
    <row r="17" spans="2:10">
      <c r="B17" s="66" t="s">
        <v>31</v>
      </c>
      <c r="C17" s="70">
        <f>ROUND('bs2018.03'!D15,0)/IF(LEN($J$1)&gt;4,10000,1)</f>
        <v>0</v>
      </c>
      <c r="D17" s="71" t="e">
        <f t="shared" si="0"/>
        <v>#DIV/0!</v>
      </c>
      <c r="E17" s="70">
        <f>ROUND('bs2017.12'!D15,0)/IF(LEN($J$1)&gt;4,10000,1)</f>
        <v>0</v>
      </c>
      <c r="F17" s="71" t="e">
        <f t="shared" si="1"/>
        <v>#DIV/0!</v>
      </c>
      <c r="G17" s="72">
        <f>ROUND('bs2016.12 '!D15,0)/IF(LEN($J$1)&gt;4,10000,1)</f>
        <v>0</v>
      </c>
      <c r="H17" s="71" t="e">
        <f t="shared" si="2"/>
        <v>#DIV/0!</v>
      </c>
      <c r="I17" s="72">
        <f>ROUND('bs2015.12'!D15,0)/IF(LEN($J$1)&gt;4,10000,1)</f>
        <v>0</v>
      </c>
      <c r="J17" s="71" t="e">
        <f t="shared" si="3"/>
        <v>#DIV/0!</v>
      </c>
    </row>
    <row r="18" spans="2:10">
      <c r="B18" s="66" t="s">
        <v>33</v>
      </c>
      <c r="C18" s="70">
        <f>ROUND('bs2018.03'!D16,0)/IF(LEN($J$1)&gt;4,10000,1)</f>
        <v>0</v>
      </c>
      <c r="D18" s="71" t="e">
        <f t="shared" si="0"/>
        <v>#DIV/0!</v>
      </c>
      <c r="E18" s="70">
        <f>ROUND('bs2017.12'!D16,0)/IF(LEN($J$1)&gt;4,10000,1)</f>
        <v>0</v>
      </c>
      <c r="F18" s="71" t="e">
        <f t="shared" si="1"/>
        <v>#DIV/0!</v>
      </c>
      <c r="G18" s="72">
        <f>ROUND('bs2016.12 '!D16,0)/IF(LEN($J$1)&gt;4,10000,1)</f>
        <v>0</v>
      </c>
      <c r="H18" s="71" t="e">
        <f t="shared" si="2"/>
        <v>#DIV/0!</v>
      </c>
      <c r="I18" s="72">
        <f>ROUND('bs2015.12'!D16,0)/IF(LEN($J$1)&gt;4,10000,1)</f>
        <v>0</v>
      </c>
      <c r="J18" s="71" t="e">
        <f t="shared" si="3"/>
        <v>#DIV/0!</v>
      </c>
    </row>
    <row r="19" spans="2:10">
      <c r="B19" s="66" t="s">
        <v>35</v>
      </c>
      <c r="C19" s="70">
        <f>ROUND('bs2018.03'!D17,0)/IF(LEN($J$1)&gt;4,10000,1)</f>
        <v>0</v>
      </c>
      <c r="D19" s="71" t="e">
        <f t="shared" si="0"/>
        <v>#DIV/0!</v>
      </c>
      <c r="E19" s="70">
        <f>ROUND('bs2017.12'!D17,0)/IF(LEN($J$1)&gt;4,10000,1)</f>
        <v>0</v>
      </c>
      <c r="F19" s="71" t="e">
        <f t="shared" si="1"/>
        <v>#DIV/0!</v>
      </c>
      <c r="G19" s="72">
        <f>ROUND('bs2016.12 '!D17,0)/IF(LEN($J$1)&gt;4,10000,1)</f>
        <v>0</v>
      </c>
      <c r="H19" s="71" t="e">
        <f t="shared" si="2"/>
        <v>#DIV/0!</v>
      </c>
      <c r="I19" s="72">
        <f>ROUND('bs2015.12'!D17,0)/IF(LEN($J$1)&gt;4,10000,1)</f>
        <v>0</v>
      </c>
      <c r="J19" s="71" t="e">
        <f t="shared" si="3"/>
        <v>#DIV/0!</v>
      </c>
    </row>
    <row r="20" spans="2:10">
      <c r="B20" s="66" t="s">
        <v>37</v>
      </c>
      <c r="C20" s="70">
        <f>ROUND('bs2018.03'!D18,0)/IF(LEN($J$1)&gt;4,10000,1)</f>
        <v>0</v>
      </c>
      <c r="D20" s="71" t="e">
        <f t="shared" si="0"/>
        <v>#DIV/0!</v>
      </c>
      <c r="E20" s="70">
        <f>ROUND('bs2017.12'!D18,0)/IF(LEN($J$1)&gt;4,10000,1)</f>
        <v>0</v>
      </c>
      <c r="F20" s="71" t="e">
        <f t="shared" si="1"/>
        <v>#DIV/0!</v>
      </c>
      <c r="G20" s="72">
        <f>ROUND('bs2016.12 '!D18,0)/IF(LEN($J$1)&gt;4,10000,1)</f>
        <v>0</v>
      </c>
      <c r="H20" s="71" t="e">
        <f t="shared" si="2"/>
        <v>#DIV/0!</v>
      </c>
      <c r="I20" s="72">
        <f>ROUND('bs2015.12'!D18,0)/IF(LEN($J$1)&gt;4,10000,1)</f>
        <v>0</v>
      </c>
      <c r="J20" s="71" t="e">
        <f t="shared" si="3"/>
        <v>#DIV/0!</v>
      </c>
    </row>
    <row r="21" spans="2:10">
      <c r="B21" s="66" t="s">
        <v>39</v>
      </c>
      <c r="C21" s="70">
        <f>ROUND('bs2018.03'!D19,0)/IF(LEN($J$1)&gt;4,10000,1)</f>
        <v>0</v>
      </c>
      <c r="D21" s="71" t="e">
        <f t="shared" si="0"/>
        <v>#DIV/0!</v>
      </c>
      <c r="E21" s="70">
        <f>ROUND('bs2017.12'!D19,0)/IF(LEN($J$1)&gt;4,10000,1)</f>
        <v>0</v>
      </c>
      <c r="F21" s="71" t="e">
        <f t="shared" si="1"/>
        <v>#DIV/0!</v>
      </c>
      <c r="G21" s="72">
        <f>ROUND('bs2016.12 '!D19,0)/IF(LEN($J$1)&gt;4,10000,1)</f>
        <v>0</v>
      </c>
      <c r="H21" s="71" t="e">
        <f t="shared" si="2"/>
        <v>#DIV/0!</v>
      </c>
      <c r="I21" s="72">
        <f>ROUND('bs2015.12'!D19,0)/IF(LEN($J$1)&gt;4,10000,1)</f>
        <v>0</v>
      </c>
      <c r="J21" s="71" t="e">
        <f t="shared" si="3"/>
        <v>#DIV/0!</v>
      </c>
    </row>
    <row r="22" spans="2:10">
      <c r="B22" s="66" t="s">
        <v>41</v>
      </c>
      <c r="C22" s="70">
        <f>ROUND('bs2018.03'!D20,0)/IF(LEN($J$1)&gt;4,10000,1)</f>
        <v>0</v>
      </c>
      <c r="D22" s="71" t="e">
        <f t="shared" si="0"/>
        <v>#DIV/0!</v>
      </c>
      <c r="E22" s="70">
        <f>ROUND('bs2017.12'!D20,0)/IF(LEN($J$1)&gt;4,10000,1)</f>
        <v>0</v>
      </c>
      <c r="F22" s="71" t="e">
        <f t="shared" si="1"/>
        <v>#DIV/0!</v>
      </c>
      <c r="G22" s="72">
        <f>ROUND('bs2016.12 '!D20,0)/IF(LEN($J$1)&gt;4,10000,1)</f>
        <v>0</v>
      </c>
      <c r="H22" s="71" t="e">
        <f t="shared" si="2"/>
        <v>#DIV/0!</v>
      </c>
      <c r="I22" s="72">
        <f>ROUND('bs2015.12'!D20,0)/IF(LEN($J$1)&gt;4,10000,1)</f>
        <v>0</v>
      </c>
      <c r="J22" s="71" t="e">
        <f t="shared" si="3"/>
        <v>#DIV/0!</v>
      </c>
    </row>
    <row r="23" spans="2:10">
      <c r="B23" s="66" t="s">
        <v>43</v>
      </c>
      <c r="C23" s="70">
        <f>ROUND('bs2018.03'!D21,0)/IF(LEN($J$1)&gt;4,10000,1)</f>
        <v>0</v>
      </c>
      <c r="D23" s="71" t="e">
        <f t="shared" si="0"/>
        <v>#DIV/0!</v>
      </c>
      <c r="E23" s="70">
        <f>ROUND('bs2017.12'!D21,0)/IF(LEN($J$1)&gt;4,10000,1)</f>
        <v>0</v>
      </c>
      <c r="F23" s="71" t="e">
        <f t="shared" si="1"/>
        <v>#DIV/0!</v>
      </c>
      <c r="G23" s="72">
        <f>ROUND('bs2016.12 '!D21,0)/IF(LEN($J$1)&gt;4,10000,1)</f>
        <v>0</v>
      </c>
      <c r="H23" s="71" t="e">
        <f t="shared" si="2"/>
        <v>#DIV/0!</v>
      </c>
      <c r="I23" s="72">
        <f>ROUND('bs2015.12'!D21,0)/IF(LEN($J$1)&gt;4,10000,1)</f>
        <v>0</v>
      </c>
      <c r="J23" s="71" t="e">
        <f t="shared" si="3"/>
        <v>#DIV/0!</v>
      </c>
    </row>
    <row r="24" spans="2:10">
      <c r="B24" s="66" t="s">
        <v>45</v>
      </c>
      <c r="C24" s="70">
        <f>ROUND('bs2018.03'!D22,0)/IF(LEN($J$1)&gt;4,10000,1)</f>
        <v>0</v>
      </c>
      <c r="D24" s="71" t="e">
        <f t="shared" si="0"/>
        <v>#DIV/0!</v>
      </c>
      <c r="E24" s="70">
        <f>ROUND('bs2017.12'!D22,0)/IF(LEN($J$1)&gt;4,10000,1)</f>
        <v>0</v>
      </c>
      <c r="F24" s="71" t="e">
        <f t="shared" si="1"/>
        <v>#DIV/0!</v>
      </c>
      <c r="G24" s="72">
        <f>ROUND('bs2016.12 '!D22,0)/IF(LEN($J$1)&gt;4,10000,1)</f>
        <v>0</v>
      </c>
      <c r="H24" s="71" t="e">
        <f t="shared" si="2"/>
        <v>#DIV/0!</v>
      </c>
      <c r="I24" s="72">
        <f>ROUND('bs2015.12'!D22,0)/IF(LEN($J$1)&gt;4,10000,1)</f>
        <v>0</v>
      </c>
      <c r="J24" s="71" t="e">
        <f t="shared" si="3"/>
        <v>#DIV/0!</v>
      </c>
    </row>
    <row r="25" spans="2:10">
      <c r="B25" s="66" t="s">
        <v>47</v>
      </c>
      <c r="C25" s="70">
        <f>ROUND('bs2018.03'!D23,0)/IF(LEN($J$1)&gt;4,10000,1)</f>
        <v>0</v>
      </c>
      <c r="D25" s="71" t="e">
        <f t="shared" si="0"/>
        <v>#DIV/0!</v>
      </c>
      <c r="E25" s="70">
        <f>ROUND('bs2017.12'!D23,0)/IF(LEN($J$1)&gt;4,10000,1)</f>
        <v>0</v>
      </c>
      <c r="F25" s="71" t="e">
        <f t="shared" si="1"/>
        <v>#DIV/0!</v>
      </c>
      <c r="G25" s="72">
        <f>ROUND('bs2016.12 '!D23,0)/IF(LEN($J$1)&gt;4,10000,1)</f>
        <v>0</v>
      </c>
      <c r="H25" s="71" t="e">
        <f t="shared" si="2"/>
        <v>#DIV/0!</v>
      </c>
      <c r="I25" s="72">
        <f>ROUND('bs2015.12'!D23,0)/IF(LEN($J$1)&gt;4,10000,1)</f>
        <v>0</v>
      </c>
      <c r="J25" s="71" t="e">
        <f t="shared" si="3"/>
        <v>#DIV/0!</v>
      </c>
    </row>
    <row r="26" spans="2:10">
      <c r="B26" s="66" t="s">
        <v>49</v>
      </c>
      <c r="C26" s="70">
        <f>ROUND('bs2018.03'!D24,0)/IF(LEN($J$1)&gt;4,10000,1)</f>
        <v>0</v>
      </c>
      <c r="D26" s="71" t="e">
        <f t="shared" si="0"/>
        <v>#DIV/0!</v>
      </c>
      <c r="E26" s="70">
        <f>ROUND('bs2017.12'!D24,0)/IF(LEN($J$1)&gt;4,10000,1)</f>
        <v>0</v>
      </c>
      <c r="F26" s="71" t="e">
        <f t="shared" si="1"/>
        <v>#DIV/0!</v>
      </c>
      <c r="G26" s="72">
        <f>ROUND('bs2016.12 '!D24,0)/IF(LEN($J$1)&gt;4,10000,1)</f>
        <v>0</v>
      </c>
      <c r="H26" s="71" t="e">
        <f t="shared" si="2"/>
        <v>#DIV/0!</v>
      </c>
      <c r="I26" s="72">
        <f>ROUND('bs2015.12'!D24,0)/IF(LEN($J$1)&gt;4,10000,1)</f>
        <v>0</v>
      </c>
      <c r="J26" s="71" t="e">
        <f t="shared" si="3"/>
        <v>#DIV/0!</v>
      </c>
    </row>
    <row r="27" spans="2:10">
      <c r="B27" s="66" t="s">
        <v>51</v>
      </c>
      <c r="C27" s="70">
        <f>ROUND('bs2018.03'!D25,0)/IF(LEN($J$1)&gt;4,10000,1)</f>
        <v>0</v>
      </c>
      <c r="D27" s="71" t="e">
        <f t="shared" si="0"/>
        <v>#DIV/0!</v>
      </c>
      <c r="E27" s="70">
        <f>ROUND('bs2017.12'!D25,0)/IF(LEN($J$1)&gt;4,10000,1)</f>
        <v>0</v>
      </c>
      <c r="F27" s="71" t="e">
        <f t="shared" si="1"/>
        <v>#DIV/0!</v>
      </c>
      <c r="G27" s="72">
        <f>ROUND('bs2016.12 '!D25,0)/IF(LEN($J$1)&gt;4,10000,1)</f>
        <v>0</v>
      </c>
      <c r="H27" s="71" t="e">
        <f t="shared" si="2"/>
        <v>#DIV/0!</v>
      </c>
      <c r="I27" s="72">
        <f>ROUND('bs2015.12'!D25,0)/IF(LEN($J$1)&gt;4,10000,1)</f>
        <v>0</v>
      </c>
      <c r="J27" s="71" t="e">
        <f t="shared" si="3"/>
        <v>#DIV/0!</v>
      </c>
    </row>
    <row r="28" spans="2:10">
      <c r="B28" s="66" t="s">
        <v>53</v>
      </c>
      <c r="C28" s="70">
        <f>ROUND('bs2018.03'!D26,0)/IF(LEN($J$1)&gt;4,10000,1)</f>
        <v>0</v>
      </c>
      <c r="D28" s="71" t="e">
        <f t="shared" si="0"/>
        <v>#DIV/0!</v>
      </c>
      <c r="E28" s="70">
        <f>ROUND('bs2017.12'!D26,0)/IF(LEN($J$1)&gt;4,10000,1)</f>
        <v>0</v>
      </c>
      <c r="F28" s="71" t="e">
        <f t="shared" si="1"/>
        <v>#DIV/0!</v>
      </c>
      <c r="G28" s="72">
        <f>ROUND('bs2016.12 '!D26,0)/IF(LEN($J$1)&gt;4,10000,1)</f>
        <v>0</v>
      </c>
      <c r="H28" s="71" t="e">
        <f t="shared" si="2"/>
        <v>#DIV/0!</v>
      </c>
      <c r="I28" s="72">
        <f>ROUND('bs2015.12'!D26,0)/IF(LEN($J$1)&gt;4,10000,1)</f>
        <v>0</v>
      </c>
      <c r="J28" s="71" t="e">
        <f t="shared" si="3"/>
        <v>#DIV/0!</v>
      </c>
    </row>
    <row r="29" spans="2:10">
      <c r="B29" s="66" t="s">
        <v>55</v>
      </c>
      <c r="C29" s="70">
        <f>ROUND('bs2018.03'!D27,0)/IF(LEN($J$1)&gt;4,10000,1)</f>
        <v>0</v>
      </c>
      <c r="D29" s="71" t="e">
        <f t="shared" si="0"/>
        <v>#DIV/0!</v>
      </c>
      <c r="E29" s="70">
        <f>ROUND('bs2017.12'!D27,0)/IF(LEN($J$1)&gt;4,10000,1)</f>
        <v>0</v>
      </c>
      <c r="F29" s="71" t="e">
        <f t="shared" si="1"/>
        <v>#DIV/0!</v>
      </c>
      <c r="G29" s="72">
        <f>ROUND('bs2016.12 '!D27,0)/IF(LEN($J$1)&gt;4,10000,1)</f>
        <v>0</v>
      </c>
      <c r="H29" s="71" t="e">
        <f t="shared" si="2"/>
        <v>#DIV/0!</v>
      </c>
      <c r="I29" s="72">
        <f>ROUND('bs2015.12'!D27,0)/IF(LEN($J$1)&gt;4,10000,1)</f>
        <v>0</v>
      </c>
      <c r="J29" s="71" t="e">
        <f t="shared" si="3"/>
        <v>#DIV/0!</v>
      </c>
    </row>
    <row r="30" spans="2:10">
      <c r="B30" s="66" t="s">
        <v>57</v>
      </c>
      <c r="C30" s="70">
        <f>ROUND('bs2018.03'!D28,0)/IF(LEN($J$1)&gt;4,10000,1)</f>
        <v>0</v>
      </c>
      <c r="D30" s="71" t="e">
        <f t="shared" si="0"/>
        <v>#DIV/0!</v>
      </c>
      <c r="E30" s="70">
        <f>ROUND('bs2017.12'!D28,0)/IF(LEN($J$1)&gt;4,10000,1)</f>
        <v>0</v>
      </c>
      <c r="F30" s="71" t="e">
        <f t="shared" si="1"/>
        <v>#DIV/0!</v>
      </c>
      <c r="G30" s="72">
        <f>ROUND('bs2016.12 '!D28,0)/IF(LEN($J$1)&gt;4,10000,1)</f>
        <v>0</v>
      </c>
      <c r="H30" s="71" t="e">
        <f t="shared" si="2"/>
        <v>#DIV/0!</v>
      </c>
      <c r="I30" s="72">
        <f>ROUND('bs2015.12'!D28,0)/IF(LEN($J$1)&gt;4,10000,1)</f>
        <v>0</v>
      </c>
      <c r="J30" s="71" t="e">
        <f t="shared" si="3"/>
        <v>#DIV/0!</v>
      </c>
    </row>
    <row r="31" spans="2:10">
      <c r="B31" s="66" t="s">
        <v>59</v>
      </c>
      <c r="C31" s="70">
        <f>ROUND('bs2018.03'!D29,0)/IF(LEN($J$1)&gt;4,10000,1)</f>
        <v>0</v>
      </c>
      <c r="D31" s="71" t="e">
        <f t="shared" si="0"/>
        <v>#DIV/0!</v>
      </c>
      <c r="E31" s="70">
        <f>ROUND('bs2017.12'!D29,0)/IF(LEN($J$1)&gt;4,10000,1)</f>
        <v>0</v>
      </c>
      <c r="F31" s="71" t="e">
        <f t="shared" si="1"/>
        <v>#DIV/0!</v>
      </c>
      <c r="G31" s="72">
        <f>ROUND('bs2016.12 '!D29,0)/IF(LEN($J$1)&gt;4,10000,1)</f>
        <v>0</v>
      </c>
      <c r="H31" s="71" t="e">
        <f t="shared" si="2"/>
        <v>#DIV/0!</v>
      </c>
      <c r="I31" s="72">
        <f>ROUND('bs2015.12'!D29,0)/IF(LEN($J$1)&gt;4,10000,1)</f>
        <v>0</v>
      </c>
      <c r="J31" s="71" t="e">
        <f t="shared" si="3"/>
        <v>#DIV/0!</v>
      </c>
    </row>
    <row r="32" spans="2:10">
      <c r="B32" s="66" t="s">
        <v>61</v>
      </c>
      <c r="C32" s="70">
        <f>ROUND('bs2018.03'!D30,0)/IF(LEN($J$1)&gt;4,10000,1)</f>
        <v>0</v>
      </c>
      <c r="D32" s="71" t="e">
        <f t="shared" si="0"/>
        <v>#DIV/0!</v>
      </c>
      <c r="E32" s="70">
        <f>ROUND('bs2017.12'!D30,0)/IF(LEN($J$1)&gt;4,10000,1)</f>
        <v>0</v>
      </c>
      <c r="F32" s="71" t="e">
        <f t="shared" si="1"/>
        <v>#DIV/0!</v>
      </c>
      <c r="G32" s="72">
        <f>ROUND('bs2016.12 '!D30,0)/IF(LEN($J$1)&gt;4,10000,1)</f>
        <v>0</v>
      </c>
      <c r="H32" s="71" t="e">
        <f t="shared" si="2"/>
        <v>#DIV/0!</v>
      </c>
      <c r="I32" s="72">
        <f>ROUND('bs2015.12'!D30,0)/IF(LEN($J$1)&gt;4,10000,1)</f>
        <v>0</v>
      </c>
      <c r="J32" s="71" t="e">
        <f t="shared" si="3"/>
        <v>#DIV/0!</v>
      </c>
    </row>
    <row r="33" spans="2:10">
      <c r="B33" s="66" t="s">
        <v>63</v>
      </c>
      <c r="C33" s="70">
        <f>ROUND('bs2018.03'!D31,0)/IF(LEN($J$1)&gt;4,10000,1)</f>
        <v>0</v>
      </c>
      <c r="D33" s="71" t="e">
        <f t="shared" si="0"/>
        <v>#DIV/0!</v>
      </c>
      <c r="E33" s="70">
        <f>ROUND('bs2017.12'!D31,0)/IF(LEN($J$1)&gt;4,10000,1)</f>
        <v>0</v>
      </c>
      <c r="F33" s="71" t="e">
        <f t="shared" si="1"/>
        <v>#DIV/0!</v>
      </c>
      <c r="G33" s="72">
        <f>ROUND('bs2016.12 '!D31,0)/IF(LEN($J$1)&gt;4,10000,1)</f>
        <v>0</v>
      </c>
      <c r="H33" s="71" t="e">
        <f t="shared" si="2"/>
        <v>#DIV/0!</v>
      </c>
      <c r="I33" s="72">
        <f>ROUND('bs2015.12'!D31,0)/IF(LEN($J$1)&gt;4,10000,1)</f>
        <v>0</v>
      </c>
      <c r="J33" s="71" t="e">
        <f t="shared" si="3"/>
        <v>#DIV/0!</v>
      </c>
    </row>
    <row r="34" spans="2:10">
      <c r="B34" s="66" t="s">
        <v>65</v>
      </c>
      <c r="C34" s="70">
        <f>ROUND('bs2018.03'!D32,0)/IF(LEN($J$1)&gt;4,10000,1)</f>
        <v>0</v>
      </c>
      <c r="D34" s="71" t="e">
        <f t="shared" si="0"/>
        <v>#DIV/0!</v>
      </c>
      <c r="E34" s="70">
        <f>ROUND('bs2017.12'!D32,0)/IF(LEN($J$1)&gt;4,10000,1)</f>
        <v>0</v>
      </c>
      <c r="F34" s="71" t="e">
        <f t="shared" si="1"/>
        <v>#DIV/0!</v>
      </c>
      <c r="G34" s="72">
        <f>ROUND('bs2016.12 '!D32,0)/IF(LEN($J$1)&gt;4,10000,1)</f>
        <v>0</v>
      </c>
      <c r="H34" s="71" t="e">
        <f t="shared" si="2"/>
        <v>#DIV/0!</v>
      </c>
      <c r="I34" s="72">
        <f>ROUND('bs2015.12'!D32,0)/IF(LEN($J$1)&gt;4,10000,1)</f>
        <v>0</v>
      </c>
      <c r="J34" s="71" t="e">
        <f t="shared" si="3"/>
        <v>#DIV/0!</v>
      </c>
    </row>
    <row r="35" spans="2:10">
      <c r="B35" s="66" t="s">
        <v>67</v>
      </c>
      <c r="C35" s="70">
        <f>ROUND('bs2018.03'!D33,0)/IF(LEN($J$1)&gt;4,10000,1)</f>
        <v>0</v>
      </c>
      <c r="D35" s="71" t="e">
        <f t="shared" si="0"/>
        <v>#DIV/0!</v>
      </c>
      <c r="E35" s="70">
        <f>ROUND('bs2017.12'!D33,0)/IF(LEN($J$1)&gt;4,10000,1)</f>
        <v>0</v>
      </c>
      <c r="F35" s="71" t="e">
        <f t="shared" si="1"/>
        <v>#DIV/0!</v>
      </c>
      <c r="G35" s="72">
        <f>ROUND('bs2016.12 '!D33,0)/IF(LEN($J$1)&gt;4,10000,1)</f>
        <v>0</v>
      </c>
      <c r="H35" s="71" t="e">
        <f t="shared" si="2"/>
        <v>#DIV/0!</v>
      </c>
      <c r="I35" s="72">
        <f>ROUND('bs2015.12'!D33,0)/IF(LEN($J$1)&gt;4,10000,1)</f>
        <v>0</v>
      </c>
      <c r="J35" s="71" t="e">
        <f t="shared" si="3"/>
        <v>#DIV/0!</v>
      </c>
    </row>
    <row r="36" spans="2:10">
      <c r="B36" s="67" t="s">
        <v>69</v>
      </c>
      <c r="C36" s="73">
        <f>ROUND('bs2018.03'!D34,0)/IF(LEN($J$1)&gt;4,10000,1)</f>
        <v>0</v>
      </c>
      <c r="D36" s="74" t="e">
        <f t="shared" si="0"/>
        <v>#DIV/0!</v>
      </c>
      <c r="E36" s="73">
        <f>ROUND('bs2017.12'!D34,0)/IF(LEN($J$1)&gt;4,10000,1)</f>
        <v>0</v>
      </c>
      <c r="F36" s="74" t="e">
        <f t="shared" si="1"/>
        <v>#DIV/0!</v>
      </c>
      <c r="G36" s="75">
        <f>ROUND('bs2016.12 '!D34,0)/IF(LEN($J$1)&gt;4,10000,1)</f>
        <v>0</v>
      </c>
      <c r="H36" s="74" t="e">
        <f t="shared" si="2"/>
        <v>#DIV/0!</v>
      </c>
      <c r="I36" s="75">
        <f>ROUND('bs2015.12'!D34,0)/IF(LEN($J$1)&gt;4,10000,1)</f>
        <v>0</v>
      </c>
      <c r="J36" s="74" t="e">
        <f t="shared" si="3"/>
        <v>#DIV/0!</v>
      </c>
    </row>
    <row r="37" spans="2:10">
      <c r="B37" s="67" t="s">
        <v>71</v>
      </c>
      <c r="C37" s="73">
        <f>ROUND('bs2018.03'!D35,0)/IF(LEN($J$1)&gt;4,10000,1)</f>
        <v>0</v>
      </c>
      <c r="D37" s="74" t="e">
        <f t="shared" si="0"/>
        <v>#DIV/0!</v>
      </c>
      <c r="E37" s="73">
        <f>ROUND('bs2017.12'!D35,0)/IF(LEN($J$1)&gt;4,10000,1)</f>
        <v>0</v>
      </c>
      <c r="F37" s="74" t="e">
        <f t="shared" si="1"/>
        <v>#DIV/0!</v>
      </c>
      <c r="G37" s="75">
        <f>ROUND('bs2016.12 '!D35,0)/IF(LEN($J$1)&gt;4,10000,1)</f>
        <v>0</v>
      </c>
      <c r="H37" s="74" t="e">
        <f t="shared" si="2"/>
        <v>#DIV/0!</v>
      </c>
      <c r="I37" s="75">
        <f>ROUND('bs2015.12'!D35,0)/IF(LEN($J$1)&gt;4,10000,1)</f>
        <v>0</v>
      </c>
      <c r="J37" s="74" t="e">
        <f t="shared" si="3"/>
        <v>#DIV/0!</v>
      </c>
    </row>
    <row r="38" spans="2:10">
      <c r="B38" s="68"/>
      <c r="C38" s="76"/>
      <c r="D38" s="77"/>
      <c r="E38" s="76"/>
      <c r="F38" s="77"/>
      <c r="G38" s="78"/>
      <c r="H38" s="77"/>
      <c r="I38" s="78"/>
      <c r="J38" s="77"/>
    </row>
    <row r="39" spans="2:10">
      <c r="B39" s="89" t="s">
        <v>371</v>
      </c>
      <c r="C39" s="90">
        <f>'财务分析-万位'!B1</f>
        <v>43190</v>
      </c>
      <c r="D39" s="91"/>
      <c r="E39" s="90">
        <f>'财务分析-万位'!C1</f>
        <v>43100</v>
      </c>
      <c r="F39" s="91"/>
      <c r="G39" s="90">
        <f>'财务分析-万位'!D1</f>
        <v>42735</v>
      </c>
      <c r="H39" s="92"/>
      <c r="I39" s="90">
        <f>'财务分析-万位'!E1</f>
        <v>42369</v>
      </c>
      <c r="J39" s="92"/>
    </row>
    <row r="40" spans="2:10">
      <c r="B40" s="89"/>
      <c r="C40" s="69" t="s">
        <v>369</v>
      </c>
      <c r="D40" s="69" t="s">
        <v>370</v>
      </c>
      <c r="E40" s="69" t="s">
        <v>369</v>
      </c>
      <c r="F40" s="69" t="s">
        <v>370</v>
      </c>
      <c r="G40" s="69" t="s">
        <v>369</v>
      </c>
      <c r="H40" s="69" t="s">
        <v>370</v>
      </c>
      <c r="I40" s="69" t="s">
        <v>369</v>
      </c>
      <c r="J40" s="69" t="s">
        <v>370</v>
      </c>
    </row>
    <row r="41" spans="2:10">
      <c r="B41" s="66" t="s">
        <v>73</v>
      </c>
      <c r="C41" s="70">
        <f>ROUND('bs2018.03'!D36,0)/IF(LEN($J$1)&gt;4,10000,1)</f>
        <v>0</v>
      </c>
      <c r="D41" s="71" t="e">
        <f>C41/$C$62</f>
        <v>#DIV/0!</v>
      </c>
      <c r="E41" s="70">
        <f>ROUND('bs2017.12'!D36,0)/IF(LEN($J$1)&gt;4,10000,1)</f>
        <v>0</v>
      </c>
      <c r="F41" s="71" t="e">
        <f>E41/$E$62</f>
        <v>#DIV/0!</v>
      </c>
      <c r="G41" s="72">
        <f>ROUND('bs2016.12 '!D36,0)/IF(LEN($J$1)&gt;4,10000,1)</f>
        <v>0</v>
      </c>
      <c r="H41" s="71" t="e">
        <f>G41/$G$62</f>
        <v>#DIV/0!</v>
      </c>
      <c r="I41" s="72">
        <f>ROUND('bs2015.12'!D36,0)/IF(LEN($J$1)&gt;4,10000,1)</f>
        <v>0</v>
      </c>
      <c r="J41" s="71" t="e">
        <f>I41/$I$62</f>
        <v>#DIV/0!</v>
      </c>
    </row>
    <row r="42" spans="2:10">
      <c r="B42" s="66" t="s">
        <v>75</v>
      </c>
      <c r="C42" s="70">
        <f>ROUND('bs2018.03'!D37,0)/IF(LEN($J$1)&gt;4,10000,1)</f>
        <v>0</v>
      </c>
      <c r="D42" s="71" t="e">
        <f t="shared" ref="D42:D62" si="4">C42/$C$62</f>
        <v>#DIV/0!</v>
      </c>
      <c r="E42" s="70">
        <f>ROUND('bs2017.12'!D37,0)/IF(LEN($J$1)&gt;4,10000,1)</f>
        <v>0</v>
      </c>
      <c r="F42" s="71" t="e">
        <f t="shared" ref="F42:F62" si="5">E42/$E$62</f>
        <v>#DIV/0!</v>
      </c>
      <c r="G42" s="72">
        <f>ROUND('bs2016.12 '!D37,0)/IF(LEN($J$1)&gt;4,10000,1)</f>
        <v>0</v>
      </c>
      <c r="H42" s="71" t="e">
        <f t="shared" ref="H42:H62" si="6">G42/$G$62</f>
        <v>#DIV/0!</v>
      </c>
      <c r="I42" s="72">
        <f>ROUND('bs2015.12'!D37,0)/IF(LEN($J$1)&gt;4,10000,1)</f>
        <v>0</v>
      </c>
      <c r="J42" s="71" t="e">
        <f t="shared" ref="J42:J62" si="7">I42/$I$62</f>
        <v>#DIV/0!</v>
      </c>
    </row>
    <row r="43" spans="2:10">
      <c r="B43" s="66" t="s">
        <v>77</v>
      </c>
      <c r="C43" s="70">
        <f>ROUND('bs2018.03'!D38,0)/IF(LEN($J$1)&gt;4,10000,1)</f>
        <v>0</v>
      </c>
      <c r="D43" s="71" t="e">
        <f t="shared" si="4"/>
        <v>#DIV/0!</v>
      </c>
      <c r="E43" s="70">
        <f>ROUND('bs2017.12'!D38,0)/IF(LEN($J$1)&gt;4,10000,1)</f>
        <v>0</v>
      </c>
      <c r="F43" s="71" t="e">
        <f t="shared" si="5"/>
        <v>#DIV/0!</v>
      </c>
      <c r="G43" s="72">
        <f>ROUND('bs2016.12 '!D38,0)/IF(LEN($J$1)&gt;4,10000,1)</f>
        <v>0</v>
      </c>
      <c r="H43" s="71" t="e">
        <f t="shared" si="6"/>
        <v>#DIV/0!</v>
      </c>
      <c r="I43" s="72">
        <f>ROUND('bs2015.12'!D38,0)/IF(LEN($J$1)&gt;4,10000,1)</f>
        <v>0</v>
      </c>
      <c r="J43" s="71" t="e">
        <f t="shared" si="7"/>
        <v>#DIV/0!</v>
      </c>
    </row>
    <row r="44" spans="2:10">
      <c r="B44" s="66" t="s">
        <v>79</v>
      </c>
      <c r="C44" s="70">
        <f>ROUND('bs2018.03'!D39,0)/IF(LEN($J$1)&gt;4,10000,1)</f>
        <v>0</v>
      </c>
      <c r="D44" s="71" t="e">
        <f t="shared" si="4"/>
        <v>#DIV/0!</v>
      </c>
      <c r="E44" s="70">
        <f>ROUND('bs2017.12'!D39,0)/IF(LEN($J$1)&gt;4,10000,1)</f>
        <v>0</v>
      </c>
      <c r="F44" s="71" t="e">
        <f t="shared" si="5"/>
        <v>#DIV/0!</v>
      </c>
      <c r="G44" s="72">
        <f>ROUND('bs2016.12 '!D39,0)/IF(LEN($J$1)&gt;4,10000,1)</f>
        <v>0</v>
      </c>
      <c r="H44" s="71" t="e">
        <f t="shared" si="6"/>
        <v>#DIV/0!</v>
      </c>
      <c r="I44" s="72">
        <f>ROUND('bs2015.12'!D39,0)/IF(LEN($J$1)&gt;4,10000,1)</f>
        <v>0</v>
      </c>
      <c r="J44" s="71" t="e">
        <f t="shared" si="7"/>
        <v>#DIV/0!</v>
      </c>
    </row>
    <row r="45" spans="2:10">
      <c r="B45" s="66" t="s">
        <v>81</v>
      </c>
      <c r="C45" s="70">
        <f>ROUND('bs2018.03'!D40,0)/IF(LEN($J$1)&gt;4,10000,1)</f>
        <v>0</v>
      </c>
      <c r="D45" s="71" t="e">
        <f t="shared" si="4"/>
        <v>#DIV/0!</v>
      </c>
      <c r="E45" s="70">
        <f>ROUND('bs2017.12'!D40,0)/IF(LEN($J$1)&gt;4,10000,1)</f>
        <v>0</v>
      </c>
      <c r="F45" s="71" t="e">
        <f t="shared" si="5"/>
        <v>#DIV/0!</v>
      </c>
      <c r="G45" s="72">
        <f>ROUND('bs2016.12 '!D40,0)/IF(LEN($J$1)&gt;4,10000,1)</f>
        <v>0</v>
      </c>
      <c r="H45" s="71" t="e">
        <f t="shared" si="6"/>
        <v>#DIV/0!</v>
      </c>
      <c r="I45" s="72">
        <f>ROUND('bs2015.12'!D40,0)/IF(LEN($J$1)&gt;4,10000,1)</f>
        <v>0</v>
      </c>
      <c r="J45" s="71" t="e">
        <f t="shared" si="7"/>
        <v>#DIV/0!</v>
      </c>
    </row>
    <row r="46" spans="2:10">
      <c r="B46" s="66" t="s">
        <v>83</v>
      </c>
      <c r="C46" s="70">
        <f>ROUND('bs2018.03'!D41,0)/IF(LEN($J$1)&gt;4,10000,1)</f>
        <v>0</v>
      </c>
      <c r="D46" s="71" t="e">
        <f t="shared" si="4"/>
        <v>#DIV/0!</v>
      </c>
      <c r="E46" s="70">
        <f>ROUND('bs2017.12'!D41,0)/IF(LEN($J$1)&gt;4,10000,1)</f>
        <v>0</v>
      </c>
      <c r="F46" s="71" t="e">
        <f t="shared" si="5"/>
        <v>#DIV/0!</v>
      </c>
      <c r="G46" s="72">
        <f>ROUND('bs2016.12 '!D41,0)/IF(LEN($J$1)&gt;4,10000,1)</f>
        <v>0</v>
      </c>
      <c r="H46" s="71" t="e">
        <f t="shared" si="6"/>
        <v>#DIV/0!</v>
      </c>
      <c r="I46" s="72">
        <f>ROUND('bs2015.12'!D41,0)/IF(LEN($J$1)&gt;4,10000,1)</f>
        <v>0</v>
      </c>
      <c r="J46" s="71" t="e">
        <f t="shared" si="7"/>
        <v>#DIV/0!</v>
      </c>
    </row>
    <row r="47" spans="2:10">
      <c r="B47" s="66" t="s">
        <v>85</v>
      </c>
      <c r="C47" s="70">
        <f>ROUND('bs2018.03'!D42,0)/IF(LEN($J$1)&gt;4,10000,1)</f>
        <v>0</v>
      </c>
      <c r="D47" s="71" t="e">
        <f t="shared" si="4"/>
        <v>#DIV/0!</v>
      </c>
      <c r="E47" s="70">
        <f>ROUND('bs2017.12'!D42,0)/IF(LEN($J$1)&gt;4,10000,1)</f>
        <v>0</v>
      </c>
      <c r="F47" s="71" t="e">
        <f t="shared" si="5"/>
        <v>#DIV/0!</v>
      </c>
      <c r="G47" s="72">
        <f>ROUND('bs2016.12 '!D42,0)/IF(LEN($J$1)&gt;4,10000,1)</f>
        <v>0</v>
      </c>
      <c r="H47" s="71" t="e">
        <f t="shared" si="6"/>
        <v>#DIV/0!</v>
      </c>
      <c r="I47" s="72">
        <f>ROUND('bs2015.12'!D42,0)/IF(LEN($J$1)&gt;4,10000,1)</f>
        <v>0</v>
      </c>
      <c r="J47" s="71" t="e">
        <f t="shared" si="7"/>
        <v>#DIV/0!</v>
      </c>
    </row>
    <row r="48" spans="2:10">
      <c r="B48" s="66" t="s">
        <v>87</v>
      </c>
      <c r="C48" s="70">
        <f>ROUND('bs2018.03'!D43,0)/IF(LEN($J$1)&gt;4,10000,1)</f>
        <v>0</v>
      </c>
      <c r="D48" s="71" t="e">
        <f t="shared" si="4"/>
        <v>#DIV/0!</v>
      </c>
      <c r="E48" s="70">
        <f>ROUND('bs2017.12'!D43,0)/IF(LEN($J$1)&gt;4,10000,1)</f>
        <v>0</v>
      </c>
      <c r="F48" s="71" t="e">
        <f t="shared" si="5"/>
        <v>#DIV/0!</v>
      </c>
      <c r="G48" s="72">
        <f>ROUND('bs2016.12 '!D43,0)/IF(LEN($J$1)&gt;4,10000,1)</f>
        <v>0</v>
      </c>
      <c r="H48" s="71" t="e">
        <f t="shared" si="6"/>
        <v>#DIV/0!</v>
      </c>
      <c r="I48" s="72">
        <f>ROUND('bs2015.12'!D43,0)/IF(LEN($J$1)&gt;4,10000,1)</f>
        <v>0</v>
      </c>
      <c r="J48" s="71" t="e">
        <f t="shared" si="7"/>
        <v>#DIV/0!</v>
      </c>
    </row>
    <row r="49" spans="2:10">
      <c r="B49" s="66" t="s">
        <v>89</v>
      </c>
      <c r="C49" s="70">
        <f>ROUND('bs2018.03'!D44,0)/IF(LEN($J$1)&gt;4,10000,1)</f>
        <v>0</v>
      </c>
      <c r="D49" s="71" t="e">
        <f t="shared" si="4"/>
        <v>#DIV/0!</v>
      </c>
      <c r="E49" s="70">
        <f>ROUND('bs2017.12'!D44,0)/IF(LEN($J$1)&gt;4,10000,1)</f>
        <v>0</v>
      </c>
      <c r="F49" s="71" t="e">
        <f t="shared" si="5"/>
        <v>#DIV/0!</v>
      </c>
      <c r="G49" s="72">
        <f>ROUND('bs2016.12 '!D44,0)/IF(LEN($J$1)&gt;4,10000,1)</f>
        <v>0</v>
      </c>
      <c r="H49" s="71" t="e">
        <f t="shared" si="6"/>
        <v>#DIV/0!</v>
      </c>
      <c r="I49" s="72">
        <f>ROUND('bs2015.12'!D44,0)/IF(LEN($J$1)&gt;4,10000,1)</f>
        <v>0</v>
      </c>
      <c r="J49" s="71" t="e">
        <f t="shared" si="7"/>
        <v>#DIV/0!</v>
      </c>
    </row>
    <row r="50" spans="2:10">
      <c r="B50" s="66" t="s">
        <v>91</v>
      </c>
      <c r="C50" s="70">
        <f>ROUND('bs2018.03'!D45,0)/IF(LEN($J$1)&gt;4,10000,1)</f>
        <v>0</v>
      </c>
      <c r="D50" s="71" t="e">
        <f t="shared" si="4"/>
        <v>#DIV/0!</v>
      </c>
      <c r="E50" s="70">
        <f>ROUND('bs2017.12'!D45,0)/IF(LEN($J$1)&gt;4,10000,1)</f>
        <v>0</v>
      </c>
      <c r="F50" s="71" t="e">
        <f t="shared" si="5"/>
        <v>#DIV/0!</v>
      </c>
      <c r="G50" s="72">
        <f>ROUND('bs2016.12 '!D45,0)/IF(LEN($J$1)&gt;4,10000,1)</f>
        <v>0</v>
      </c>
      <c r="H50" s="71" t="e">
        <f t="shared" si="6"/>
        <v>#DIV/0!</v>
      </c>
      <c r="I50" s="72">
        <f>ROUND('bs2015.12'!D45,0)/IF(LEN($J$1)&gt;4,10000,1)</f>
        <v>0</v>
      </c>
      <c r="J50" s="71" t="e">
        <f t="shared" si="7"/>
        <v>#DIV/0!</v>
      </c>
    </row>
    <row r="51" spans="2:10">
      <c r="B51" s="66" t="s">
        <v>94</v>
      </c>
      <c r="C51" s="70">
        <f>ROUND('bs2018.03'!D46,0)/IF(LEN($J$1)&gt;4,10000,1)</f>
        <v>0</v>
      </c>
      <c r="D51" s="71" t="e">
        <f t="shared" si="4"/>
        <v>#DIV/0!</v>
      </c>
      <c r="E51" s="70">
        <f>ROUND('bs2017.12'!D46,0)/IF(LEN($J$1)&gt;4,10000,1)</f>
        <v>0</v>
      </c>
      <c r="F51" s="71" t="e">
        <f t="shared" si="5"/>
        <v>#DIV/0!</v>
      </c>
      <c r="G51" s="72">
        <f>ROUND('bs2016.12 '!D46,0)/IF(LEN($J$1)&gt;4,10000,1)</f>
        <v>0</v>
      </c>
      <c r="H51" s="71" t="e">
        <f t="shared" si="6"/>
        <v>#DIV/0!</v>
      </c>
      <c r="I51" s="72">
        <f>ROUND('bs2015.12'!D46,0)/IF(LEN($J$1)&gt;4,10000,1)</f>
        <v>0</v>
      </c>
      <c r="J51" s="71" t="e">
        <f t="shared" si="7"/>
        <v>#DIV/0!</v>
      </c>
    </row>
    <row r="52" spans="2:10">
      <c r="B52" s="66" t="s">
        <v>96</v>
      </c>
      <c r="C52" s="70">
        <f>ROUND('bs2018.03'!D47,0)/IF(LEN($J$1)&gt;4,10000,1)</f>
        <v>0</v>
      </c>
      <c r="D52" s="71" t="e">
        <f t="shared" si="4"/>
        <v>#DIV/0!</v>
      </c>
      <c r="E52" s="70">
        <f>ROUND('bs2017.12'!D47,0)/IF(LEN($J$1)&gt;4,10000,1)</f>
        <v>0</v>
      </c>
      <c r="F52" s="71" t="e">
        <f t="shared" si="5"/>
        <v>#DIV/0!</v>
      </c>
      <c r="G52" s="72">
        <f>ROUND('bs2016.12 '!D47,0)/IF(LEN($J$1)&gt;4,10000,1)</f>
        <v>0</v>
      </c>
      <c r="H52" s="71" t="e">
        <f t="shared" si="6"/>
        <v>#DIV/0!</v>
      </c>
      <c r="I52" s="72">
        <f>ROUND('bs2015.12'!D47,0)/IF(LEN($J$1)&gt;4,10000,1)</f>
        <v>0</v>
      </c>
      <c r="J52" s="71" t="e">
        <f t="shared" si="7"/>
        <v>#DIV/0!</v>
      </c>
    </row>
    <row r="53" spans="2:10">
      <c r="B53" s="67" t="s">
        <v>98</v>
      </c>
      <c r="C53" s="73">
        <f>ROUND('bs2018.03'!D48,0)/IF(LEN($J$1)&gt;4,10000,1)</f>
        <v>0</v>
      </c>
      <c r="D53" s="74" t="e">
        <f t="shared" si="4"/>
        <v>#DIV/0!</v>
      </c>
      <c r="E53" s="73">
        <f>ROUND('bs2017.12'!D48,0)/IF(LEN($J$1)&gt;4,10000,1)</f>
        <v>0</v>
      </c>
      <c r="F53" s="74" t="e">
        <f t="shared" si="5"/>
        <v>#DIV/0!</v>
      </c>
      <c r="G53" s="75">
        <f>ROUND('bs2016.12 '!D48,0)/IF(LEN($J$1)&gt;4,10000,1)</f>
        <v>0</v>
      </c>
      <c r="H53" s="74" t="e">
        <f t="shared" si="6"/>
        <v>#DIV/0!</v>
      </c>
      <c r="I53" s="75">
        <f>ROUND('bs2015.12'!D48,0)/IF(LEN($J$1)&gt;4,10000,1)</f>
        <v>0</v>
      </c>
      <c r="J53" s="74" t="e">
        <f t="shared" si="7"/>
        <v>#DIV/0!</v>
      </c>
    </row>
    <row r="54" spans="2:10">
      <c r="B54" s="66" t="s">
        <v>100</v>
      </c>
      <c r="C54" s="70">
        <f>ROUND('bs2018.03'!D49,0)/IF(LEN($J$1)&gt;4,10000,1)</f>
        <v>0</v>
      </c>
      <c r="D54" s="71" t="e">
        <f t="shared" si="4"/>
        <v>#DIV/0!</v>
      </c>
      <c r="E54" s="70">
        <f>ROUND('bs2017.12'!D49,0)/IF(LEN($J$1)&gt;4,10000,1)</f>
        <v>0</v>
      </c>
      <c r="F54" s="71" t="e">
        <f t="shared" si="5"/>
        <v>#DIV/0!</v>
      </c>
      <c r="G54" s="72">
        <f>ROUND('bs2016.12 '!D49,0)/IF(LEN($J$1)&gt;4,10000,1)</f>
        <v>0</v>
      </c>
      <c r="H54" s="71" t="e">
        <f t="shared" si="6"/>
        <v>#DIV/0!</v>
      </c>
      <c r="I54" s="72">
        <f>ROUND('bs2015.12'!D49,0)/IF(LEN($J$1)&gt;4,10000,1)</f>
        <v>0</v>
      </c>
      <c r="J54" s="71" t="e">
        <f t="shared" si="7"/>
        <v>#DIV/0!</v>
      </c>
    </row>
    <row r="55" spans="2:10">
      <c r="B55" s="66" t="s">
        <v>102</v>
      </c>
      <c r="C55" s="70">
        <f>ROUND('bs2018.03'!D50,0)/IF(LEN($J$1)&gt;4,10000,1)</f>
        <v>0</v>
      </c>
      <c r="D55" s="71" t="e">
        <f t="shared" si="4"/>
        <v>#DIV/0!</v>
      </c>
      <c r="E55" s="70">
        <f>ROUND('bs2017.12'!D50,0)/IF(LEN($J$1)&gt;4,10000,1)</f>
        <v>0</v>
      </c>
      <c r="F55" s="71" t="e">
        <f t="shared" si="5"/>
        <v>#DIV/0!</v>
      </c>
      <c r="G55" s="72">
        <f>ROUND('bs2016.12 '!D50,0)/IF(LEN($J$1)&gt;4,10000,1)</f>
        <v>0</v>
      </c>
      <c r="H55" s="71" t="e">
        <f t="shared" si="6"/>
        <v>#DIV/0!</v>
      </c>
      <c r="I55" s="72">
        <f>ROUND('bs2015.12'!D50,0)/IF(LEN($J$1)&gt;4,10000,1)</f>
        <v>0</v>
      </c>
      <c r="J55" s="71" t="e">
        <f t="shared" si="7"/>
        <v>#DIV/0!</v>
      </c>
    </row>
    <row r="56" spans="2:10">
      <c r="B56" s="66" t="s">
        <v>104</v>
      </c>
      <c r="C56" s="70">
        <f>ROUND('bs2018.03'!D51,0)/IF(LEN($J$1)&gt;4,10000,1)</f>
        <v>0</v>
      </c>
      <c r="D56" s="71" t="e">
        <f t="shared" si="4"/>
        <v>#DIV/0!</v>
      </c>
      <c r="E56" s="70">
        <f>ROUND('bs2017.12'!D51,0)/IF(LEN($J$1)&gt;4,10000,1)</f>
        <v>0</v>
      </c>
      <c r="F56" s="71" t="e">
        <f t="shared" si="5"/>
        <v>#DIV/0!</v>
      </c>
      <c r="G56" s="72">
        <f>ROUND('bs2016.12 '!D51,0)/IF(LEN($J$1)&gt;4,10000,1)</f>
        <v>0</v>
      </c>
      <c r="H56" s="71" t="e">
        <f t="shared" si="6"/>
        <v>#DIV/0!</v>
      </c>
      <c r="I56" s="72">
        <f>ROUND('bs2015.12'!D51,0)/IF(LEN($J$1)&gt;4,10000,1)</f>
        <v>0</v>
      </c>
      <c r="J56" s="71" t="e">
        <f t="shared" si="7"/>
        <v>#DIV/0!</v>
      </c>
    </row>
    <row r="57" spans="2:10">
      <c r="B57" s="66" t="s">
        <v>106</v>
      </c>
      <c r="C57" s="70">
        <f>ROUND('bs2018.03'!D52,0)/IF(LEN($J$1)&gt;4,10000,1)</f>
        <v>0</v>
      </c>
      <c r="D57" s="71" t="e">
        <f t="shared" si="4"/>
        <v>#DIV/0!</v>
      </c>
      <c r="E57" s="70">
        <f>ROUND('bs2017.12'!D52,0)/IF(LEN($J$1)&gt;4,10000,1)</f>
        <v>0</v>
      </c>
      <c r="F57" s="71" t="e">
        <f t="shared" si="5"/>
        <v>#DIV/0!</v>
      </c>
      <c r="G57" s="72">
        <f>ROUND('bs2016.12 '!D52,0)/IF(LEN($J$1)&gt;4,10000,1)</f>
        <v>0</v>
      </c>
      <c r="H57" s="71" t="e">
        <f t="shared" si="6"/>
        <v>#DIV/0!</v>
      </c>
      <c r="I57" s="72">
        <f>ROUND('bs2015.12'!D52,0)/IF(LEN($J$1)&gt;4,10000,1)</f>
        <v>0</v>
      </c>
      <c r="J57" s="71" t="e">
        <f t="shared" si="7"/>
        <v>#DIV/0!</v>
      </c>
    </row>
    <row r="58" spans="2:10">
      <c r="B58" s="66" t="s">
        <v>92</v>
      </c>
      <c r="C58" s="70">
        <f>ROUND('bs2018.03'!D53,0)/IF(LEN($J$1)&gt;4,10000,1)</f>
        <v>0</v>
      </c>
      <c r="D58" s="71" t="e">
        <f t="shared" si="4"/>
        <v>#DIV/0!</v>
      </c>
      <c r="E58" s="70">
        <f>ROUND('bs2017.12'!D53,0)/IF(LEN($J$1)&gt;4,10000,1)</f>
        <v>0</v>
      </c>
      <c r="F58" s="71" t="e">
        <f t="shared" si="5"/>
        <v>#DIV/0!</v>
      </c>
      <c r="G58" s="72">
        <f>ROUND('bs2016.12 '!D53,0)/IF(LEN($J$1)&gt;4,10000,1)</f>
        <v>0</v>
      </c>
      <c r="H58" s="71" t="e">
        <f t="shared" si="6"/>
        <v>#DIV/0!</v>
      </c>
      <c r="I58" s="72">
        <f>ROUND('bs2015.12'!D53,0)/IF(LEN($J$1)&gt;4,10000,1)</f>
        <v>0</v>
      </c>
      <c r="J58" s="71" t="e">
        <f t="shared" si="7"/>
        <v>#DIV/0!</v>
      </c>
    </row>
    <row r="59" spans="2:10">
      <c r="B59" s="66" t="s">
        <v>109</v>
      </c>
      <c r="C59" s="70">
        <f>ROUND('bs2018.03'!D54,0)/IF(LEN($J$1)&gt;4,10000,1)</f>
        <v>0</v>
      </c>
      <c r="D59" s="71" t="e">
        <f t="shared" si="4"/>
        <v>#DIV/0!</v>
      </c>
      <c r="E59" s="70">
        <f>ROUND('bs2017.12'!D54,0)/IF(LEN($J$1)&gt;4,10000,1)</f>
        <v>0</v>
      </c>
      <c r="F59" s="71" t="e">
        <f t="shared" si="5"/>
        <v>#DIV/0!</v>
      </c>
      <c r="G59" s="72">
        <f>ROUND('bs2016.12 '!D54,0)/IF(LEN($J$1)&gt;4,10000,1)</f>
        <v>0</v>
      </c>
      <c r="H59" s="71" t="e">
        <f t="shared" si="6"/>
        <v>#DIV/0!</v>
      </c>
      <c r="I59" s="72">
        <f>ROUND('bs2015.12'!D54,0)/IF(LEN($J$1)&gt;4,10000,1)</f>
        <v>0</v>
      </c>
      <c r="J59" s="71" t="e">
        <f t="shared" si="7"/>
        <v>#DIV/0!</v>
      </c>
    </row>
    <row r="60" spans="2:10">
      <c r="B60" s="66" t="s">
        <v>111</v>
      </c>
      <c r="C60" s="70">
        <f>ROUND('bs2018.03'!D55,0)/IF(LEN($J$1)&gt;4,10000,1)</f>
        <v>0</v>
      </c>
      <c r="D60" s="71" t="e">
        <f t="shared" si="4"/>
        <v>#DIV/0!</v>
      </c>
      <c r="E60" s="70">
        <f>ROUND('bs2017.12'!D55,0)/IF(LEN($J$1)&gt;4,10000,1)</f>
        <v>0</v>
      </c>
      <c r="F60" s="71" t="e">
        <f t="shared" si="5"/>
        <v>#DIV/0!</v>
      </c>
      <c r="G60" s="72">
        <f>ROUND('bs2016.12 '!D55,0)/IF(LEN($J$1)&gt;4,10000,1)</f>
        <v>0</v>
      </c>
      <c r="H60" s="71" t="e">
        <f t="shared" si="6"/>
        <v>#DIV/0!</v>
      </c>
      <c r="I60" s="72">
        <f>ROUND('bs2015.12'!D55,0)/IF(LEN($J$1)&gt;4,10000,1)</f>
        <v>0</v>
      </c>
      <c r="J60" s="71" t="e">
        <f t="shared" si="7"/>
        <v>#DIV/0!</v>
      </c>
    </row>
    <row r="61" spans="2:10">
      <c r="B61" s="67" t="s">
        <v>113</v>
      </c>
      <c r="C61" s="73">
        <f>ROUND('bs2018.03'!D56,0)/IF(LEN($J$1)&gt;4,10000,1)</f>
        <v>0</v>
      </c>
      <c r="D61" s="74" t="e">
        <f t="shared" si="4"/>
        <v>#DIV/0!</v>
      </c>
      <c r="E61" s="73">
        <f>ROUND('bs2017.12'!D56,0)/IF(LEN($J$1)&gt;4,10000,1)</f>
        <v>0</v>
      </c>
      <c r="F61" s="74" t="e">
        <f t="shared" si="5"/>
        <v>#DIV/0!</v>
      </c>
      <c r="G61" s="75">
        <f>ROUND('bs2016.12 '!D56,0)/IF(LEN($J$1)&gt;4,10000,1)</f>
        <v>0</v>
      </c>
      <c r="H61" s="74" t="e">
        <f t="shared" si="6"/>
        <v>#DIV/0!</v>
      </c>
      <c r="I61" s="75">
        <f>ROUND('bs2015.12'!D56,0)/IF(LEN($J$1)&gt;4,10000,1)</f>
        <v>0</v>
      </c>
      <c r="J61" s="74" t="e">
        <f t="shared" si="7"/>
        <v>#DIV/0!</v>
      </c>
    </row>
    <row r="62" spans="2:10">
      <c r="B62" s="67" t="s">
        <v>115</v>
      </c>
      <c r="C62" s="73">
        <f>ROUND('bs2018.03'!D57,0)/IF(LEN($J$1)&gt;4,10000,1)</f>
        <v>0</v>
      </c>
      <c r="D62" s="74" t="e">
        <f t="shared" si="4"/>
        <v>#DIV/0!</v>
      </c>
      <c r="E62" s="73">
        <f>ROUND('bs2017.12'!D57,0)/IF(LEN($J$1)&gt;4,10000,1)</f>
        <v>0</v>
      </c>
      <c r="F62" s="74" t="e">
        <f t="shared" si="5"/>
        <v>#DIV/0!</v>
      </c>
      <c r="G62" s="75">
        <f>ROUND('bs2016.12 '!D57,0)/IF(LEN($J$1)&gt;4,10000,1)</f>
        <v>0</v>
      </c>
      <c r="H62" s="74" t="e">
        <f t="shared" si="6"/>
        <v>#DIV/0!</v>
      </c>
      <c r="I62" s="75">
        <f>ROUND('bs2015.12'!D57,0)/IF(LEN($J$1)&gt;4,10000,1)</f>
        <v>0</v>
      </c>
      <c r="J62" s="74" t="e">
        <f t="shared" si="7"/>
        <v>#DIV/0!</v>
      </c>
    </row>
    <row r="63" spans="2:10">
      <c r="B63" s="68"/>
      <c r="C63" s="76"/>
      <c r="D63" s="77"/>
      <c r="E63" s="76"/>
      <c r="F63" s="77"/>
      <c r="G63" s="78"/>
      <c r="H63" s="77"/>
      <c r="I63" s="78"/>
      <c r="J63" s="77"/>
    </row>
    <row r="64" spans="2:10">
      <c r="B64" s="89" t="s">
        <v>371</v>
      </c>
      <c r="C64" s="90">
        <f>'财务分析-万位'!B1</f>
        <v>43190</v>
      </c>
      <c r="D64" s="91"/>
      <c r="E64" s="90">
        <f>'财务分析-万位'!C1</f>
        <v>43100</v>
      </c>
      <c r="F64" s="91"/>
      <c r="G64" s="90">
        <f>'财务分析-万位'!D1</f>
        <v>42735</v>
      </c>
      <c r="H64" s="92"/>
      <c r="I64" s="90">
        <f>'财务分析-万位'!E1</f>
        <v>42369</v>
      </c>
      <c r="J64" s="92"/>
    </row>
    <row r="65" spans="2:10">
      <c r="B65" s="89"/>
      <c r="C65" s="69" t="s">
        <v>369</v>
      </c>
      <c r="D65" s="69" t="s">
        <v>370</v>
      </c>
      <c r="E65" s="69" t="s">
        <v>369</v>
      </c>
      <c r="F65" s="69" t="s">
        <v>370</v>
      </c>
      <c r="G65" s="69" t="s">
        <v>369</v>
      </c>
      <c r="H65" s="69" t="s">
        <v>370</v>
      </c>
      <c r="I65" s="69" t="s">
        <v>369</v>
      </c>
      <c r="J65" s="69" t="s">
        <v>370</v>
      </c>
    </row>
    <row r="66" spans="2:10">
      <c r="B66" s="66" t="s">
        <v>117</v>
      </c>
      <c r="C66" s="70">
        <f>ROUND('bs2018.03'!D58,0)/IF(LEN($J$1)&gt;4,10000,1)</f>
        <v>0</v>
      </c>
      <c r="D66" s="71" t="e">
        <f>C66/$C$75</f>
        <v>#DIV/0!</v>
      </c>
      <c r="E66" s="70">
        <f>ROUND('bs2017.12'!D58,0)/IF(LEN($J$1)&gt;4,10000,1)</f>
        <v>0</v>
      </c>
      <c r="F66" s="71" t="e">
        <f>E66/$E$75</f>
        <v>#DIV/0!</v>
      </c>
      <c r="G66" s="72">
        <f>ROUND('bs2016.12 '!D58,0)/IF(LEN($J$1)&gt;4,10000,1)</f>
        <v>0</v>
      </c>
      <c r="H66" s="71" t="e">
        <f>G66/$G$75</f>
        <v>#DIV/0!</v>
      </c>
      <c r="I66" s="72">
        <f>ROUND('bs2015.12'!D58,0)/IF(LEN($J$1)&gt;4,10000,1)</f>
        <v>0</v>
      </c>
      <c r="J66" s="71" t="e">
        <f>I66/$I$75</f>
        <v>#DIV/0!</v>
      </c>
    </row>
    <row r="67" spans="2:10">
      <c r="B67" s="66" t="s">
        <v>119</v>
      </c>
      <c r="C67" s="70">
        <f>ROUND('bs2018.03'!D59,0)/IF(LEN($J$1)&gt;4,10000,1)</f>
        <v>0</v>
      </c>
      <c r="D67" s="71" t="e">
        <f t="shared" ref="D67:D75" si="8">C67/$C$75</f>
        <v>#DIV/0!</v>
      </c>
      <c r="E67" s="70">
        <f>ROUND('bs2017.12'!D59,0)/IF(LEN($J$1)&gt;4,10000,1)</f>
        <v>0</v>
      </c>
      <c r="F67" s="71" t="e">
        <f t="shared" ref="F67:F75" si="9">E67/$E$75</f>
        <v>#DIV/0!</v>
      </c>
      <c r="G67" s="72">
        <f>ROUND('bs2016.12 '!D59,0)/IF(LEN($J$1)&gt;4,10000,1)</f>
        <v>0</v>
      </c>
      <c r="H67" s="71" t="e">
        <f t="shared" ref="H67:H75" si="10">G67/$G$75</f>
        <v>#DIV/0!</v>
      </c>
      <c r="I67" s="72">
        <f>ROUND('bs2015.12'!D59,0)/IF(LEN($J$1)&gt;4,10000,1)</f>
        <v>0</v>
      </c>
      <c r="J67" s="71" t="e">
        <f t="shared" ref="J67:J75" si="11">I67/$I$75</f>
        <v>#DIV/0!</v>
      </c>
    </row>
    <row r="68" spans="2:10">
      <c r="B68" s="66" t="s">
        <v>121</v>
      </c>
      <c r="C68" s="70">
        <f>ROUND('bs2018.03'!D60,0)/IF(LEN($J$1)&gt;4,10000,1)</f>
        <v>0</v>
      </c>
      <c r="D68" s="71" t="e">
        <f t="shared" si="8"/>
        <v>#DIV/0!</v>
      </c>
      <c r="E68" s="70">
        <f>ROUND('bs2017.12'!D60,0)/IF(LEN($J$1)&gt;4,10000,1)</f>
        <v>0</v>
      </c>
      <c r="F68" s="71" t="e">
        <f t="shared" si="9"/>
        <v>#DIV/0!</v>
      </c>
      <c r="G68" s="72">
        <f>ROUND('bs2016.12 '!D60,0)/IF(LEN($J$1)&gt;4,10000,1)</f>
        <v>0</v>
      </c>
      <c r="H68" s="71" t="e">
        <f t="shared" si="10"/>
        <v>#DIV/0!</v>
      </c>
      <c r="I68" s="72">
        <f>ROUND('bs2015.12'!D60,0)/IF(LEN($J$1)&gt;4,10000,1)</f>
        <v>0</v>
      </c>
      <c r="J68" s="71" t="e">
        <f t="shared" si="11"/>
        <v>#DIV/0!</v>
      </c>
    </row>
    <row r="69" spans="2:10">
      <c r="B69" s="66" t="s">
        <v>341</v>
      </c>
      <c r="C69" s="70">
        <f>ROUND('bs2018.03'!D61,0)/IF(LEN($J$1)&gt;4,10000,1)</f>
        <v>0</v>
      </c>
      <c r="D69" s="71" t="e">
        <f t="shared" si="8"/>
        <v>#DIV/0!</v>
      </c>
      <c r="E69" s="70">
        <f>ROUND('bs2017.12'!D61,0)/IF(LEN($J$1)&gt;4,10000,1)</f>
        <v>0</v>
      </c>
      <c r="F69" s="71" t="e">
        <f t="shared" si="9"/>
        <v>#DIV/0!</v>
      </c>
      <c r="G69" s="72">
        <f>ROUND('bs2016.12 '!D61,0)/IF(LEN($J$1)&gt;4,10000,1)</f>
        <v>0</v>
      </c>
      <c r="H69" s="71" t="e">
        <f t="shared" si="10"/>
        <v>#DIV/0!</v>
      </c>
      <c r="I69" s="72">
        <f>ROUND('bs2015.12'!D61,0)/IF(LEN($J$1)&gt;4,10000,1)</f>
        <v>0</v>
      </c>
      <c r="J69" s="71" t="e">
        <f t="shared" si="11"/>
        <v>#DIV/0!</v>
      </c>
    </row>
    <row r="70" spans="2:10">
      <c r="B70" s="66" t="s">
        <v>123</v>
      </c>
      <c r="C70" s="70">
        <f>ROUND('bs2018.03'!D62,0)/IF(LEN($J$1)&gt;4,10000,1)</f>
        <v>0</v>
      </c>
      <c r="D70" s="71" t="e">
        <f t="shared" si="8"/>
        <v>#DIV/0!</v>
      </c>
      <c r="E70" s="70">
        <f>ROUND('bs2017.12'!D62,0)/IF(LEN($J$1)&gt;4,10000,1)</f>
        <v>0</v>
      </c>
      <c r="F70" s="71" t="e">
        <f t="shared" si="9"/>
        <v>#DIV/0!</v>
      </c>
      <c r="G70" s="72">
        <f>ROUND('bs2016.12 '!D62,0)/IF(LEN($J$1)&gt;4,10000,1)</f>
        <v>0</v>
      </c>
      <c r="H70" s="71" t="e">
        <f t="shared" si="10"/>
        <v>#DIV/0!</v>
      </c>
      <c r="I70" s="72">
        <f>ROUND('bs2015.12'!D62,0)/IF(LEN($J$1)&gt;4,10000,1)</f>
        <v>0</v>
      </c>
      <c r="J70" s="71" t="e">
        <f t="shared" si="11"/>
        <v>#DIV/0!</v>
      </c>
    </row>
    <row r="71" spans="2:10">
      <c r="B71" s="66" t="s">
        <v>125</v>
      </c>
      <c r="C71" s="70">
        <f>ROUND('bs2018.03'!D63,0)/IF(LEN($J$1)&gt;4,10000,1)</f>
        <v>0</v>
      </c>
      <c r="D71" s="71" t="e">
        <f t="shared" si="8"/>
        <v>#DIV/0!</v>
      </c>
      <c r="E71" s="70">
        <f>ROUND('bs2017.12'!D63,0)/IF(LEN($J$1)&gt;4,10000,1)</f>
        <v>0</v>
      </c>
      <c r="F71" s="71" t="e">
        <f t="shared" si="9"/>
        <v>#DIV/0!</v>
      </c>
      <c r="G71" s="72">
        <f>ROUND('bs2016.12 '!D63,0)/IF(LEN($J$1)&gt;4,10000,1)</f>
        <v>0</v>
      </c>
      <c r="H71" s="71" t="e">
        <f t="shared" si="10"/>
        <v>#DIV/0!</v>
      </c>
      <c r="I71" s="72">
        <f>ROUND('bs2015.12'!D63,0)/IF(LEN($J$1)&gt;4,10000,1)</f>
        <v>0</v>
      </c>
      <c r="J71" s="71" t="e">
        <f t="shared" si="11"/>
        <v>#DIV/0!</v>
      </c>
    </row>
    <row r="72" spans="2:10">
      <c r="B72" s="66" t="s">
        <v>127</v>
      </c>
      <c r="C72" s="70">
        <f>ROUND('bs2018.03'!D64,0)/IF(LEN($J$1)&gt;4,10000,1)</f>
        <v>0</v>
      </c>
      <c r="D72" s="71" t="e">
        <f t="shared" si="8"/>
        <v>#DIV/0!</v>
      </c>
      <c r="E72" s="70">
        <f>ROUND('bs2017.12'!D64,0)/IF(LEN($J$1)&gt;4,10000,1)</f>
        <v>0</v>
      </c>
      <c r="F72" s="71" t="e">
        <f t="shared" si="9"/>
        <v>#DIV/0!</v>
      </c>
      <c r="G72" s="72">
        <f>ROUND('bs2016.12 '!D64,0)/IF(LEN($J$1)&gt;4,10000,1)</f>
        <v>0</v>
      </c>
      <c r="H72" s="71" t="e">
        <f t="shared" si="10"/>
        <v>#DIV/0!</v>
      </c>
      <c r="I72" s="72">
        <f>ROUND('bs2015.12'!D64,0)/IF(LEN($J$1)&gt;4,10000,1)</f>
        <v>0</v>
      </c>
      <c r="J72" s="71" t="e">
        <f t="shared" si="11"/>
        <v>#DIV/0!</v>
      </c>
    </row>
    <row r="73" spans="2:10">
      <c r="B73" s="67" t="s">
        <v>129</v>
      </c>
      <c r="C73" s="73">
        <f>ROUND('bs2018.03'!D65,0)/IF(LEN($J$1)&gt;4,10000,1)</f>
        <v>0</v>
      </c>
      <c r="D73" s="74" t="e">
        <f t="shared" si="8"/>
        <v>#DIV/0!</v>
      </c>
      <c r="E73" s="73">
        <f>ROUND('bs2017.12'!D65,0)/IF(LEN($J$1)&gt;4,10000,1)</f>
        <v>0</v>
      </c>
      <c r="F73" s="74" t="e">
        <f t="shared" si="9"/>
        <v>#DIV/0!</v>
      </c>
      <c r="G73" s="75">
        <f>ROUND('bs2016.12 '!D65,0)/IF(LEN($J$1)&gt;4,10000,1)</f>
        <v>0</v>
      </c>
      <c r="H73" s="74" t="e">
        <f t="shared" si="10"/>
        <v>#DIV/0!</v>
      </c>
      <c r="I73" s="75">
        <f>ROUND('bs2015.12'!D65,0)/IF(LEN($J$1)&gt;4,10000,1)</f>
        <v>0</v>
      </c>
      <c r="J73" s="74" t="e">
        <f t="shared" si="11"/>
        <v>#DIV/0!</v>
      </c>
    </row>
    <row r="74" spans="2:10">
      <c r="B74" s="66" t="s">
        <v>135</v>
      </c>
      <c r="C74" s="70">
        <f>ROUND('bs2018.03'!D66,0)/IF(LEN($J$1)&gt;4,10000,1)</f>
        <v>0</v>
      </c>
      <c r="D74" s="71" t="e">
        <f t="shared" si="8"/>
        <v>#DIV/0!</v>
      </c>
      <c r="E74" s="70">
        <f>ROUND('bs2017.12'!D66,0)/IF(LEN($J$1)&gt;4,10000,1)</f>
        <v>0</v>
      </c>
      <c r="F74" s="71" t="e">
        <f t="shared" si="9"/>
        <v>#DIV/0!</v>
      </c>
      <c r="G74" s="72">
        <f>ROUND('bs2016.12 '!D66,0)/IF(LEN($J$1)&gt;4,10000,1)</f>
        <v>0</v>
      </c>
      <c r="H74" s="71" t="e">
        <f t="shared" si="10"/>
        <v>#DIV/0!</v>
      </c>
      <c r="I74" s="72">
        <f>ROUND('bs2015.12'!D66,0)/IF(LEN($J$1)&gt;4,10000,1)</f>
        <v>0</v>
      </c>
      <c r="J74" s="71" t="e">
        <f t="shared" si="11"/>
        <v>#DIV/0!</v>
      </c>
    </row>
    <row r="75" spans="2:10">
      <c r="B75" s="67" t="s">
        <v>132</v>
      </c>
      <c r="C75" s="73">
        <f>ROUND('bs2018.03'!D67,0)/IF(LEN($J$1)&gt;4,10000,1)</f>
        <v>0</v>
      </c>
      <c r="D75" s="74" t="e">
        <f t="shared" si="8"/>
        <v>#DIV/0!</v>
      </c>
      <c r="E75" s="73">
        <f>ROUND('bs2017.12'!D67,0)/IF(LEN($J$1)&gt;4,10000,1)</f>
        <v>0</v>
      </c>
      <c r="F75" s="74" t="e">
        <f t="shared" si="9"/>
        <v>#DIV/0!</v>
      </c>
      <c r="G75" s="75">
        <f>ROUND('bs2016.12 '!D67,0)/IF(LEN($J$1)&gt;4,10000,1)</f>
        <v>0</v>
      </c>
      <c r="H75" s="74" t="e">
        <f t="shared" si="10"/>
        <v>#DIV/0!</v>
      </c>
      <c r="I75" s="75">
        <f>ROUND('bs2015.12'!D67,0)/IF(LEN($J$1)&gt;4,10000,1)</f>
        <v>0</v>
      </c>
      <c r="J75" s="74" t="e">
        <f t="shared" si="11"/>
        <v>#DIV/0!</v>
      </c>
    </row>
  </sheetData>
  <mergeCells count="15">
    <mergeCell ref="I2:J2"/>
    <mergeCell ref="C39:D39"/>
    <mergeCell ref="E39:F39"/>
    <mergeCell ref="G39:H39"/>
    <mergeCell ref="I39:J39"/>
    <mergeCell ref="B39:B40"/>
    <mergeCell ref="B2:B3"/>
    <mergeCell ref="C2:D2"/>
    <mergeCell ref="E2:F2"/>
    <mergeCell ref="G2:H2"/>
    <mergeCell ref="B64:B65"/>
    <mergeCell ref="C64:D64"/>
    <mergeCell ref="E64:F64"/>
    <mergeCell ref="G64:H64"/>
    <mergeCell ref="I64:J64"/>
  </mergeCells>
  <phoneticPr fontId="34" type="noConversion"/>
  <dataValidations count="1">
    <dataValidation type="list" allowBlank="1" showInputMessage="1" showErrorMessage="1" sqref="J1" xr:uid="{3BB66A67-EF26-4B2E-A2D5-8C58B590464C}">
      <formula1>"单位：元,单位：万元"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bs2018.03</vt:lpstr>
      <vt:lpstr>pl2018.03</vt:lpstr>
      <vt:lpstr>cf2018.03</vt:lpstr>
      <vt:lpstr>bs2017.12</vt:lpstr>
      <vt:lpstr>pl2017.12</vt:lpstr>
      <vt:lpstr>cf2017.12</vt:lpstr>
      <vt:lpstr>bs2016.12 </vt:lpstr>
      <vt:lpstr>pl2016.12</vt:lpstr>
      <vt:lpstr>cf2016.12</vt:lpstr>
      <vt:lpstr>bs2015.12</vt:lpstr>
      <vt:lpstr>pl2015.12</vt:lpstr>
      <vt:lpstr>cf2015.12</vt:lpstr>
      <vt:lpstr>财务分析-万位</vt:lpstr>
      <vt:lpstr>现金流分析表</vt:lpstr>
      <vt:lpstr>财务对比分析表</vt:lpstr>
      <vt:lpstr>财务变化表</vt:lpstr>
      <vt:lpstr>资产负债权益结构分析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报表模板</dc:title>
  <dc:creator>徐晓冬</dc:creator>
  <cp:lastModifiedBy>徐晓冬</cp:lastModifiedBy>
  <dcterms:created xsi:type="dcterms:W3CDTF">2012-10-09T05:54:14Z</dcterms:created>
  <dcterms:modified xsi:type="dcterms:W3CDTF">2018-05-30T02:21:37Z</dcterms:modified>
</cp:coreProperties>
</file>