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037D15B7-F778-4B87-96D9-76A2BB4AE919}" xr6:coauthVersionLast="47" xr6:coauthVersionMax="47" xr10:uidLastSave="{00000000-0000-0000-0000-000000000000}"/>
  <bookViews>
    <workbookView xWindow="-93" yWindow="-93" windowWidth="25786" windowHeight="13866" tabRatio="601" firstSheet="4" activeTab="4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  <sheet name="Sheet2" sheetId="31" r:id="rId17"/>
  </sheets>
  <definedNames>
    <definedName name="_xlnm._FilterDatabase" localSheetId="3" hidden="1">bs!$A$1:$I$111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eta.T" hidden="1" xlm="1">#NAME?</definedName>
    <definedName name="_xlnm.Print_Area" localSheetId="6">'财务分析（2022）版'!$A$1:$E$173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1" l="1"/>
  <c r="E8" i="31" s="1"/>
  <c r="E7" i="31"/>
  <c r="E6" i="31"/>
  <c r="E5" i="31"/>
  <c r="E4" i="31"/>
  <c r="E3" i="31"/>
  <c r="F6" i="23"/>
  <c r="H6" i="23" s="1"/>
  <c r="F5" i="23"/>
  <c r="H5" i="23" s="1"/>
  <c r="F2" i="23"/>
  <c r="H2" i="23" s="1"/>
  <c r="E2" i="23"/>
  <c r="D2" i="23"/>
  <c r="C2" i="23"/>
  <c r="B2" i="23"/>
  <c r="F8" i="23" s="1"/>
  <c r="H8" i="23" s="1"/>
  <c r="F22" i="26"/>
  <c r="F4" i="26" s="1"/>
  <c r="E22" i="26"/>
  <c r="E4" i="26" s="1"/>
  <c r="D22" i="26"/>
  <c r="D4" i="26" s="1"/>
  <c r="C22" i="26"/>
  <c r="F21" i="26"/>
  <c r="F7" i="26" s="1"/>
  <c r="E21" i="26"/>
  <c r="D21" i="26"/>
  <c r="C21" i="26"/>
  <c r="C7" i="26" s="1"/>
  <c r="F20" i="26"/>
  <c r="E20" i="26"/>
  <c r="D20" i="26"/>
  <c r="C20" i="26"/>
  <c r="F19" i="26"/>
  <c r="F8" i="26" s="1"/>
  <c r="E19" i="26"/>
  <c r="D19" i="26"/>
  <c r="C19" i="26"/>
  <c r="C8" i="26" s="1"/>
  <c r="F18" i="26"/>
  <c r="E18" i="26"/>
  <c r="D18" i="26"/>
  <c r="C18" i="26"/>
  <c r="F17" i="26"/>
  <c r="E17" i="26"/>
  <c r="D17" i="26"/>
  <c r="C17" i="26"/>
  <c r="F16" i="26"/>
  <c r="E16" i="26"/>
  <c r="E3" i="26" s="1"/>
  <c r="D16" i="26"/>
  <c r="C16" i="26"/>
  <c r="F15" i="26"/>
  <c r="E15" i="26"/>
  <c r="D15" i="26"/>
  <c r="C15" i="26"/>
  <c r="E8" i="26"/>
  <c r="D8" i="26"/>
  <c r="E7" i="26"/>
  <c r="D7" i="26"/>
  <c r="C4" i="26"/>
  <c r="F1" i="26"/>
  <c r="E1" i="26"/>
  <c r="D1" i="26"/>
  <c r="C1" i="26"/>
  <c r="F3" i="21"/>
  <c r="E3" i="21"/>
  <c r="D3" i="21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G8" i="20"/>
  <c r="D8" i="20"/>
  <c r="J8" i="20" s="1"/>
  <c r="C8" i="20"/>
  <c r="I8" i="20" s="1"/>
  <c r="B8" i="20"/>
  <c r="H8" i="20" s="1"/>
  <c r="G7" i="20"/>
  <c r="D7" i="20"/>
  <c r="J7" i="20" s="1"/>
  <c r="C7" i="20"/>
  <c r="I7" i="20" s="1"/>
  <c r="B7" i="20"/>
  <c r="H7" i="20" s="1"/>
  <c r="G6" i="20"/>
  <c r="G5" i="20"/>
  <c r="E5" i="20"/>
  <c r="K5" i="20" s="1"/>
  <c r="D5" i="20"/>
  <c r="J5" i="20" s="1"/>
  <c r="C5" i="20"/>
  <c r="I5" i="20" s="1"/>
  <c r="G4" i="20"/>
  <c r="D4" i="20"/>
  <c r="J4" i="20" s="1"/>
  <c r="C4" i="20"/>
  <c r="I4" i="20" s="1"/>
  <c r="G3" i="20"/>
  <c r="J1" i="20"/>
  <c r="I1" i="20"/>
  <c r="H1" i="20"/>
  <c r="E1" i="20"/>
  <c r="D1" i="20"/>
  <c r="D3" i="20" s="1"/>
  <c r="J3" i="20" s="1"/>
  <c r="C1" i="20"/>
  <c r="C3" i="20" s="1"/>
  <c r="I3" i="20" s="1"/>
  <c r="B1" i="20"/>
  <c r="B5" i="20" s="1"/>
  <c r="H5" i="20" s="1"/>
  <c r="B16" i="19"/>
  <c r="G11" i="19"/>
  <c r="E11" i="19"/>
  <c r="K11" i="19" s="1"/>
  <c r="D11" i="19"/>
  <c r="J11" i="19" s="1"/>
  <c r="G10" i="19"/>
  <c r="G9" i="19"/>
  <c r="D9" i="19"/>
  <c r="J9" i="19" s="1"/>
  <c r="G8" i="19"/>
  <c r="G7" i="19"/>
  <c r="G6" i="19"/>
  <c r="D6" i="19"/>
  <c r="J6" i="19" s="1"/>
  <c r="G5" i="19"/>
  <c r="G4" i="19"/>
  <c r="D4" i="19"/>
  <c r="J4" i="19" s="1"/>
  <c r="B4" i="19"/>
  <c r="G3" i="19"/>
  <c r="E3" i="19"/>
  <c r="G2" i="19"/>
  <c r="J1" i="19"/>
  <c r="I1" i="19"/>
  <c r="H1" i="19"/>
  <c r="G1" i="19"/>
  <c r="E1" i="19"/>
  <c r="E10" i="19" s="1"/>
  <c r="K10" i="19" s="1"/>
  <c r="D1" i="19"/>
  <c r="D10" i="19" s="1"/>
  <c r="C1" i="19"/>
  <c r="C11" i="19" s="1"/>
  <c r="I11" i="19" s="1"/>
  <c r="B1" i="19"/>
  <c r="M91" i="22"/>
  <c r="M90" i="22"/>
  <c r="M89" i="22"/>
  <c r="M88" i="22"/>
  <c r="M87" i="22"/>
  <c r="M86" i="22"/>
  <c r="M85" i="22"/>
  <c r="M84" i="22"/>
  <c r="C84" i="22"/>
  <c r="I81" i="22"/>
  <c r="M79" i="22"/>
  <c r="M78" i="22"/>
  <c r="M77" i="22"/>
  <c r="M76" i="22"/>
  <c r="M75" i="22"/>
  <c r="M74" i="22"/>
  <c r="M73" i="22"/>
  <c r="M72" i="22"/>
  <c r="M71" i="22"/>
  <c r="M70" i="22"/>
  <c r="C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C54" i="22"/>
  <c r="M53" i="22"/>
  <c r="M52" i="22"/>
  <c r="M51" i="22"/>
  <c r="M50" i="22"/>
  <c r="M49" i="22"/>
  <c r="I46" i="22"/>
  <c r="M45" i="22"/>
  <c r="M44" i="22"/>
  <c r="M43" i="22"/>
  <c r="M42" i="22"/>
  <c r="M41" i="22"/>
  <c r="M40" i="22"/>
  <c r="M39" i="22"/>
  <c r="C39" i="22"/>
  <c r="M38" i="22"/>
  <c r="M37" i="22"/>
  <c r="M36" i="22"/>
  <c r="M35" i="22"/>
  <c r="M34" i="22"/>
  <c r="C34" i="22"/>
  <c r="M33" i="22"/>
  <c r="M32" i="22"/>
  <c r="M31" i="22"/>
  <c r="M30" i="22"/>
  <c r="M29" i="22"/>
  <c r="C29" i="22"/>
  <c r="M28" i="22"/>
  <c r="M27" i="22"/>
  <c r="C27" i="22"/>
  <c r="M26" i="22"/>
  <c r="M25" i="22"/>
  <c r="M24" i="22"/>
  <c r="C24" i="22"/>
  <c r="M23" i="22"/>
  <c r="C23" i="22"/>
  <c r="M22" i="22"/>
  <c r="M21" i="22"/>
  <c r="M20" i="22"/>
  <c r="M19" i="22"/>
  <c r="M18" i="22"/>
  <c r="M17" i="22"/>
  <c r="C17" i="22"/>
  <c r="M16" i="22"/>
  <c r="M15" i="22"/>
  <c r="C15" i="22"/>
  <c r="M14" i="22"/>
  <c r="M13" i="22"/>
  <c r="M12" i="22"/>
  <c r="M11" i="22"/>
  <c r="M10" i="22"/>
  <c r="C10" i="22"/>
  <c r="M9" i="22"/>
  <c r="C9" i="22"/>
  <c r="M8" i="22"/>
  <c r="M7" i="22"/>
  <c r="C7" i="22"/>
  <c r="M6" i="22"/>
  <c r="M5" i="22"/>
  <c r="M4" i="22"/>
  <c r="C4" i="22"/>
  <c r="C2" i="22"/>
  <c r="C78" i="22" s="1"/>
  <c r="A75" i="8"/>
  <c r="A74" i="8"/>
  <c r="A73" i="8"/>
  <c r="A72" i="8"/>
  <c r="A71" i="8"/>
  <c r="A70" i="8"/>
  <c r="D69" i="8"/>
  <c r="B69" i="8"/>
  <c r="A69" i="8"/>
  <c r="A68" i="8"/>
  <c r="B61" i="8"/>
  <c r="A61" i="8"/>
  <c r="A60" i="8"/>
  <c r="B25" i="8"/>
  <c r="E24" i="8"/>
  <c r="D24" i="8"/>
  <c r="B24" i="8"/>
  <c r="B23" i="8"/>
  <c r="E22" i="8"/>
  <c r="E53" i="8" s="1"/>
  <c r="D22" i="8"/>
  <c r="D53" i="8" s="1"/>
  <c r="B22" i="8"/>
  <c r="B21" i="8"/>
  <c r="E20" i="8"/>
  <c r="D20" i="8"/>
  <c r="B20" i="8"/>
  <c r="B19" i="8"/>
  <c r="E18" i="8"/>
  <c r="D18" i="8"/>
  <c r="B18" i="8"/>
  <c r="B17" i="8"/>
  <c r="E16" i="8"/>
  <c r="D16" i="8"/>
  <c r="B16" i="8"/>
  <c r="B15" i="8"/>
  <c r="E14" i="8"/>
  <c r="D14" i="8"/>
  <c r="B14" i="8"/>
  <c r="B13" i="8"/>
  <c r="E12" i="8"/>
  <c r="D12" i="8"/>
  <c r="B12" i="8"/>
  <c r="B11" i="8"/>
  <c r="E10" i="8"/>
  <c r="E31" i="8" s="1"/>
  <c r="E74" i="8" s="1"/>
  <c r="D10" i="8"/>
  <c r="D31" i="8" s="1"/>
  <c r="D74" i="8" s="1"/>
  <c r="B10" i="8"/>
  <c r="B31" i="8" s="1"/>
  <c r="B74" i="8" s="1"/>
  <c r="B9" i="8"/>
  <c r="E8" i="8"/>
  <c r="D8" i="8"/>
  <c r="B8" i="8"/>
  <c r="B7" i="8"/>
  <c r="E6" i="8"/>
  <c r="D6" i="8"/>
  <c r="B6" i="8"/>
  <c r="B5" i="8"/>
  <c r="E4" i="8"/>
  <c r="D4" i="8"/>
  <c r="B4" i="8"/>
  <c r="B3" i="8"/>
  <c r="E2" i="8"/>
  <c r="D2" i="8"/>
  <c r="B2" i="8"/>
  <c r="E1" i="8"/>
  <c r="E61" i="8" s="1"/>
  <c r="D1" i="8"/>
  <c r="D61" i="8" s="1"/>
  <c r="C1" i="8"/>
  <c r="C69" i="8" s="1"/>
  <c r="I173" i="25"/>
  <c r="I172" i="25"/>
  <c r="I171" i="25"/>
  <c r="B170" i="25"/>
  <c r="A170" i="25"/>
  <c r="I169" i="25"/>
  <c r="I168" i="25"/>
  <c r="I167" i="25"/>
  <c r="B166" i="25"/>
  <c r="A166" i="25"/>
  <c r="I165" i="25"/>
  <c r="I164" i="25"/>
  <c r="I163" i="25"/>
  <c r="I162" i="25"/>
  <c r="I161" i="25"/>
  <c r="I160" i="25"/>
  <c r="I159" i="25"/>
  <c r="A159" i="25"/>
  <c r="A158" i="25"/>
  <c r="I158" i="25" s="1"/>
  <c r="A157" i="25"/>
  <c r="I157" i="25" s="1"/>
  <c r="B156" i="25"/>
  <c r="A156" i="25"/>
  <c r="I155" i="25"/>
  <c r="I154" i="25"/>
  <c r="I153" i="25"/>
  <c r="I152" i="25"/>
  <c r="I151" i="25"/>
  <c r="I150" i="25"/>
  <c r="I149" i="25"/>
  <c r="I148" i="25"/>
  <c r="B147" i="25"/>
  <c r="A147" i="25"/>
  <c r="I145" i="25"/>
  <c r="H144" i="25"/>
  <c r="G144" i="25"/>
  <c r="I143" i="25"/>
  <c r="I142" i="25"/>
  <c r="I141" i="25"/>
  <c r="B140" i="25"/>
  <c r="A140" i="25"/>
  <c r="I139" i="25"/>
  <c r="H138" i="25"/>
  <c r="I137" i="25"/>
  <c r="I136" i="25"/>
  <c r="I135" i="25"/>
  <c r="I134" i="25"/>
  <c r="I133" i="25"/>
  <c r="I132" i="25"/>
  <c r="B132" i="25"/>
  <c r="I131" i="25"/>
  <c r="I130" i="25"/>
  <c r="I129" i="25"/>
  <c r="B129" i="25"/>
  <c r="I128" i="25"/>
  <c r="I127" i="25"/>
  <c r="F127" i="25"/>
  <c r="G127" i="25" s="1"/>
  <c r="B127" i="25"/>
  <c r="B126" i="25"/>
  <c r="A126" i="25"/>
  <c r="I125" i="25"/>
  <c r="H124" i="25"/>
  <c r="I123" i="25"/>
  <c r="I122" i="25"/>
  <c r="B122" i="25"/>
  <c r="I121" i="25"/>
  <c r="I120" i="25"/>
  <c r="I119" i="25"/>
  <c r="B119" i="25"/>
  <c r="I118" i="25"/>
  <c r="I117" i="25"/>
  <c r="B117" i="25"/>
  <c r="I116" i="25"/>
  <c r="B116" i="25"/>
  <c r="I115" i="25"/>
  <c r="I114" i="25"/>
  <c r="B114" i="25"/>
  <c r="I113" i="25"/>
  <c r="I112" i="25"/>
  <c r="B112" i="25"/>
  <c r="I111" i="25"/>
  <c r="F111" i="25"/>
  <c r="B111" i="25"/>
  <c r="C7" i="21" s="1"/>
  <c r="B110" i="25"/>
  <c r="A110" i="25"/>
  <c r="I109" i="25"/>
  <c r="I108" i="25"/>
  <c r="G108" i="25"/>
  <c r="F108" i="25"/>
  <c r="B108" i="25"/>
  <c r="C5" i="21" s="1"/>
  <c r="I107" i="25"/>
  <c r="B107" i="25"/>
  <c r="I106" i="25"/>
  <c r="I105" i="25"/>
  <c r="B105" i="25"/>
  <c r="B104" i="25"/>
  <c r="I103" i="25"/>
  <c r="B103" i="25"/>
  <c r="B102" i="25"/>
  <c r="B101" i="25"/>
  <c r="B100" i="25"/>
  <c r="I99" i="25"/>
  <c r="B99" i="25"/>
  <c r="B98" i="25"/>
  <c r="B97" i="25"/>
  <c r="B96" i="25"/>
  <c r="I95" i="25"/>
  <c r="B95" i="25"/>
  <c r="I93" i="25"/>
  <c r="B92" i="25"/>
  <c r="I91" i="25"/>
  <c r="B91" i="25"/>
  <c r="I90" i="25"/>
  <c r="B90" i="25"/>
  <c r="B89" i="25"/>
  <c r="B88" i="25"/>
  <c r="I87" i="25"/>
  <c r="B87" i="25"/>
  <c r="B86" i="25"/>
  <c r="I85" i="25"/>
  <c r="B85" i="25"/>
  <c r="B84" i="25"/>
  <c r="B83" i="25"/>
  <c r="B82" i="25"/>
  <c r="I81" i="25"/>
  <c r="B81" i="25"/>
  <c r="B80" i="25"/>
  <c r="I79" i="25"/>
  <c r="I78" i="25"/>
  <c r="B78" i="25"/>
  <c r="I77" i="25"/>
  <c r="B77" i="25"/>
  <c r="B76" i="25"/>
  <c r="C75" i="25"/>
  <c r="B75" i="25"/>
  <c r="B74" i="25"/>
  <c r="B73" i="25"/>
  <c r="B72" i="25"/>
  <c r="I71" i="25"/>
  <c r="B71" i="25"/>
  <c r="I70" i="25"/>
  <c r="B70" i="25"/>
  <c r="I69" i="25"/>
  <c r="B69" i="25"/>
  <c r="B68" i="25"/>
  <c r="B67" i="25"/>
  <c r="C66" i="25"/>
  <c r="B66" i="25"/>
  <c r="B65" i="25"/>
  <c r="I64" i="25"/>
  <c r="B64" i="25"/>
  <c r="I63" i="25"/>
  <c r="B63" i="25"/>
  <c r="I62" i="25"/>
  <c r="B62" i="25"/>
  <c r="I61" i="25"/>
  <c r="B61" i="25"/>
  <c r="B60" i="25"/>
  <c r="I59" i="25"/>
  <c r="B59" i="25"/>
  <c r="B58" i="25"/>
  <c r="B57" i="25"/>
  <c r="I56" i="25"/>
  <c r="B56" i="25"/>
  <c r="I54" i="25"/>
  <c r="I53" i="25"/>
  <c r="B53" i="25"/>
  <c r="I52" i="25"/>
  <c r="B52" i="25"/>
  <c r="I51" i="25"/>
  <c r="B51" i="25"/>
  <c r="C50" i="25"/>
  <c r="B50" i="25"/>
  <c r="B49" i="25"/>
  <c r="I48" i="25"/>
  <c r="B48" i="25"/>
  <c r="I47" i="25"/>
  <c r="B47" i="25"/>
  <c r="B46" i="25"/>
  <c r="B45" i="25"/>
  <c r="I44" i="25"/>
  <c r="B44" i="25"/>
  <c r="E43" i="25"/>
  <c r="B43" i="25"/>
  <c r="B42" i="25"/>
  <c r="I41" i="25"/>
  <c r="B40" i="25"/>
  <c r="B39" i="25"/>
  <c r="I38" i="25"/>
  <c r="C38" i="25"/>
  <c r="B38" i="25"/>
  <c r="B37" i="25"/>
  <c r="B36" i="25"/>
  <c r="E35" i="25"/>
  <c r="B35" i="25"/>
  <c r="B34" i="25"/>
  <c r="B33" i="25"/>
  <c r="E32" i="25"/>
  <c r="B32" i="25"/>
  <c r="I31" i="25"/>
  <c r="B31" i="25"/>
  <c r="B30" i="25"/>
  <c r="B29" i="25"/>
  <c r="B28" i="25"/>
  <c r="I27" i="25"/>
  <c r="I26" i="25"/>
  <c r="C26" i="25"/>
  <c r="B26" i="25"/>
  <c r="I25" i="25"/>
  <c r="B25" i="25"/>
  <c r="B24" i="25"/>
  <c r="B23" i="25"/>
  <c r="I22" i="25"/>
  <c r="C22" i="25"/>
  <c r="B22" i="25"/>
  <c r="B21" i="25"/>
  <c r="B20" i="25"/>
  <c r="B19" i="25"/>
  <c r="I18" i="25"/>
  <c r="B18" i="25"/>
  <c r="B17" i="25"/>
  <c r="B16" i="25"/>
  <c r="B15" i="25"/>
  <c r="I14" i="25"/>
  <c r="C14" i="25"/>
  <c r="B14" i="25"/>
  <c r="I13" i="25"/>
  <c r="C13" i="25"/>
  <c r="B13" i="25"/>
  <c r="I12" i="25"/>
  <c r="C12" i="25"/>
  <c r="B12" i="25"/>
  <c r="I11" i="25"/>
  <c r="B11" i="25"/>
  <c r="E10" i="25"/>
  <c r="B10" i="25"/>
  <c r="I9" i="25"/>
  <c r="C9" i="25"/>
  <c r="B9" i="25"/>
  <c r="B8" i="25"/>
  <c r="B7" i="25"/>
  <c r="I6" i="25"/>
  <c r="E6" i="25"/>
  <c r="B6" i="25"/>
  <c r="M3" i="25"/>
  <c r="L3" i="25"/>
  <c r="E3" i="25"/>
  <c r="E50" i="25" s="1"/>
  <c r="C3" i="25"/>
  <c r="F52" i="13"/>
  <c r="E52" i="13"/>
  <c r="D52" i="13"/>
  <c r="C52" i="13"/>
  <c r="B135" i="25" s="1"/>
  <c r="F48" i="13"/>
  <c r="E48" i="13"/>
  <c r="D48" i="13"/>
  <c r="C48" i="13"/>
  <c r="B134" i="25" s="1"/>
  <c r="F41" i="13"/>
  <c r="E7" i="19" s="1"/>
  <c r="K7" i="19" s="1"/>
  <c r="E41" i="13"/>
  <c r="D7" i="19" s="1"/>
  <c r="D41" i="13"/>
  <c r="C41" i="13"/>
  <c r="F35" i="13"/>
  <c r="E35" i="13"/>
  <c r="D35" i="13"/>
  <c r="D42" i="13" s="1"/>
  <c r="C35" i="13"/>
  <c r="B131" i="25" s="1"/>
  <c r="F27" i="13"/>
  <c r="E27" i="13"/>
  <c r="D27" i="13"/>
  <c r="C4" i="19" s="1"/>
  <c r="I4" i="19" s="1"/>
  <c r="C27" i="13"/>
  <c r="F16" i="13"/>
  <c r="E16" i="13"/>
  <c r="E28" i="13" s="1"/>
  <c r="D16" i="13"/>
  <c r="C16" i="13"/>
  <c r="C28" i="13" s="1"/>
  <c r="B9" i="20" s="1"/>
  <c r="B118" i="25"/>
  <c r="B115" i="25"/>
  <c r="B113" i="25"/>
  <c r="F9" i="9"/>
  <c r="E9" i="9"/>
  <c r="D6" i="20" s="1"/>
  <c r="J6" i="20" s="1"/>
  <c r="D9" i="9"/>
  <c r="C6" i="20" s="1"/>
  <c r="I6" i="20" s="1"/>
  <c r="C9" i="9"/>
  <c r="B6" i="20" s="1"/>
  <c r="H6" i="20" s="1"/>
  <c r="F2" i="9"/>
  <c r="E2" i="9"/>
  <c r="D2" i="9"/>
  <c r="C2" i="9"/>
  <c r="H110" i="4"/>
  <c r="H109" i="4"/>
  <c r="F109" i="4"/>
  <c r="E109" i="4"/>
  <c r="C109" i="4"/>
  <c r="I108" i="4"/>
  <c r="H108" i="4"/>
  <c r="G108" i="4"/>
  <c r="I107" i="4"/>
  <c r="H107" i="4"/>
  <c r="G107" i="4"/>
  <c r="F107" i="4"/>
  <c r="E107" i="4"/>
  <c r="D107" i="4"/>
  <c r="D109" i="4" s="1"/>
  <c r="C107" i="4"/>
  <c r="B106" i="25" s="1"/>
  <c r="I106" i="4"/>
  <c r="H106" i="4"/>
  <c r="G106" i="4"/>
  <c r="I105" i="4"/>
  <c r="H105" i="4"/>
  <c r="G105" i="4"/>
  <c r="I104" i="4"/>
  <c r="H104" i="4"/>
  <c r="G104" i="4"/>
  <c r="I103" i="4"/>
  <c r="H103" i="4"/>
  <c r="G103" i="4"/>
  <c r="I102" i="4"/>
  <c r="H102" i="4"/>
  <c r="G102" i="4"/>
  <c r="I101" i="4"/>
  <c r="H101" i="4"/>
  <c r="G101" i="4"/>
  <c r="I100" i="4"/>
  <c r="H100" i="4"/>
  <c r="G100" i="4"/>
  <c r="I99" i="4"/>
  <c r="H99" i="4"/>
  <c r="G99" i="4"/>
  <c r="I98" i="4"/>
  <c r="H98" i="4"/>
  <c r="G98" i="4"/>
  <c r="I97" i="4"/>
  <c r="H97" i="4"/>
  <c r="G97" i="4"/>
  <c r="I96" i="4"/>
  <c r="H96" i="4"/>
  <c r="G96" i="4"/>
  <c r="I95" i="4"/>
  <c r="H95" i="4"/>
  <c r="G95" i="4"/>
  <c r="H94" i="4"/>
  <c r="H93" i="4"/>
  <c r="F93" i="4"/>
  <c r="E93" i="4"/>
  <c r="I93" i="4" s="1"/>
  <c r="D93" i="4"/>
  <c r="C93" i="4"/>
  <c r="B93" i="25" s="1"/>
  <c r="I92" i="4"/>
  <c r="H92" i="4"/>
  <c r="G92" i="4"/>
  <c r="I91" i="4"/>
  <c r="H91" i="4"/>
  <c r="G91" i="4"/>
  <c r="I90" i="4"/>
  <c r="H90" i="4"/>
  <c r="G90" i="4"/>
  <c r="I89" i="4"/>
  <c r="H89" i="4"/>
  <c r="G89" i="4"/>
  <c r="I88" i="4"/>
  <c r="H88" i="4"/>
  <c r="G88" i="4"/>
  <c r="I87" i="4"/>
  <c r="H87" i="4"/>
  <c r="G87" i="4"/>
  <c r="I86" i="4"/>
  <c r="H86" i="4"/>
  <c r="G86" i="4"/>
  <c r="I85" i="4"/>
  <c r="H85" i="4"/>
  <c r="G85" i="4"/>
  <c r="I84" i="4"/>
  <c r="H84" i="4"/>
  <c r="G84" i="4"/>
  <c r="I83" i="4"/>
  <c r="H83" i="4"/>
  <c r="G83" i="4"/>
  <c r="I82" i="4"/>
  <c r="H82" i="4"/>
  <c r="G82" i="4"/>
  <c r="I81" i="4"/>
  <c r="H81" i="4"/>
  <c r="G81" i="4"/>
  <c r="I80" i="4"/>
  <c r="H80" i="4"/>
  <c r="G80" i="4"/>
  <c r="I79" i="4"/>
  <c r="H79" i="4"/>
  <c r="G79" i="4"/>
  <c r="H78" i="4"/>
  <c r="F78" i="4"/>
  <c r="E78" i="4"/>
  <c r="D78" i="4"/>
  <c r="D94" i="4" s="1"/>
  <c r="C78" i="4"/>
  <c r="B79" i="25" s="1"/>
  <c r="I77" i="4"/>
  <c r="H77" i="4"/>
  <c r="G77" i="4"/>
  <c r="I76" i="4"/>
  <c r="H76" i="4"/>
  <c r="G76" i="4"/>
  <c r="I75" i="4"/>
  <c r="H75" i="4"/>
  <c r="G75" i="4"/>
  <c r="I74" i="4"/>
  <c r="H74" i="4"/>
  <c r="G74" i="4"/>
  <c r="I73" i="4"/>
  <c r="H73" i="4"/>
  <c r="G73" i="4"/>
  <c r="I72" i="4"/>
  <c r="H72" i="4"/>
  <c r="G72" i="4"/>
  <c r="I71" i="4"/>
  <c r="H71" i="4"/>
  <c r="G71" i="4"/>
  <c r="I70" i="4"/>
  <c r="H70" i="4"/>
  <c r="G70" i="4"/>
  <c r="I69" i="4"/>
  <c r="H69" i="4"/>
  <c r="G69" i="4"/>
  <c r="I68" i="4"/>
  <c r="H68" i="4"/>
  <c r="G68" i="4"/>
  <c r="I67" i="4"/>
  <c r="H67" i="4"/>
  <c r="G67" i="4"/>
  <c r="I66" i="4"/>
  <c r="H66" i="4"/>
  <c r="G66" i="4"/>
  <c r="I65" i="4"/>
  <c r="H65" i="4"/>
  <c r="G65" i="4"/>
  <c r="I64" i="4"/>
  <c r="H64" i="4"/>
  <c r="G64" i="4"/>
  <c r="I63" i="4"/>
  <c r="H63" i="4"/>
  <c r="G63" i="4"/>
  <c r="I62" i="4"/>
  <c r="H62" i="4"/>
  <c r="G62" i="4"/>
  <c r="I61" i="4"/>
  <c r="H61" i="4"/>
  <c r="G61" i="4"/>
  <c r="I60" i="4"/>
  <c r="H60" i="4"/>
  <c r="G60" i="4"/>
  <c r="I59" i="4"/>
  <c r="H59" i="4"/>
  <c r="G59" i="4"/>
  <c r="I58" i="4"/>
  <c r="H58" i="4"/>
  <c r="G58" i="4"/>
  <c r="I57" i="4"/>
  <c r="H57" i="4"/>
  <c r="G57" i="4"/>
  <c r="I56" i="4"/>
  <c r="H56" i="4"/>
  <c r="G56" i="4"/>
  <c r="I55" i="4"/>
  <c r="H55" i="4"/>
  <c r="G55" i="4"/>
  <c r="H54" i="4"/>
  <c r="G54" i="4"/>
  <c r="H53" i="4"/>
  <c r="H52" i="4"/>
  <c r="F52" i="4"/>
  <c r="F53" i="4" s="1"/>
  <c r="E52" i="4"/>
  <c r="I51" i="4"/>
  <c r="H51" i="4"/>
  <c r="G51" i="4"/>
  <c r="I50" i="4"/>
  <c r="H50" i="4"/>
  <c r="G50" i="4"/>
  <c r="I49" i="4"/>
  <c r="H49" i="4"/>
  <c r="G49" i="4"/>
  <c r="I48" i="4"/>
  <c r="H48" i="4"/>
  <c r="G48" i="4"/>
  <c r="I47" i="4"/>
  <c r="H47" i="4"/>
  <c r="G47" i="4"/>
  <c r="I46" i="4"/>
  <c r="H46" i="4"/>
  <c r="G46" i="4"/>
  <c r="I45" i="4"/>
  <c r="H45" i="4"/>
  <c r="G45" i="4"/>
  <c r="I44" i="4"/>
  <c r="H44" i="4"/>
  <c r="G44" i="4"/>
  <c r="I43" i="4"/>
  <c r="H43" i="4"/>
  <c r="G43" i="4"/>
  <c r="I42" i="4"/>
  <c r="H42" i="4"/>
  <c r="G42" i="4"/>
  <c r="I41" i="4"/>
  <c r="H41" i="4"/>
  <c r="G41" i="4"/>
  <c r="I40" i="4"/>
  <c r="H40" i="4"/>
  <c r="G40" i="4"/>
  <c r="I39" i="4"/>
  <c r="H39" i="4"/>
  <c r="F39" i="4"/>
  <c r="E39" i="4"/>
  <c r="D39" i="4"/>
  <c r="D52" i="4" s="1"/>
  <c r="C39" i="4"/>
  <c r="G39" i="4" s="1"/>
  <c r="I38" i="4"/>
  <c r="H38" i="4"/>
  <c r="G38" i="4"/>
  <c r="I37" i="4"/>
  <c r="H37" i="4"/>
  <c r="G37" i="4"/>
  <c r="I36" i="4"/>
  <c r="H36" i="4"/>
  <c r="G36" i="4"/>
  <c r="I35" i="4"/>
  <c r="H35" i="4"/>
  <c r="G35" i="4"/>
  <c r="I34" i="4"/>
  <c r="H34" i="4"/>
  <c r="G34" i="4"/>
  <c r="I33" i="4"/>
  <c r="H33" i="4"/>
  <c r="G33" i="4"/>
  <c r="I32" i="4"/>
  <c r="H32" i="4"/>
  <c r="G32" i="4"/>
  <c r="I31" i="4"/>
  <c r="H31" i="4"/>
  <c r="G31" i="4"/>
  <c r="I30" i="4"/>
  <c r="H30" i="4"/>
  <c r="G30" i="4"/>
  <c r="I29" i="4"/>
  <c r="H29" i="4"/>
  <c r="G29" i="4"/>
  <c r="I28" i="4"/>
  <c r="H28" i="4"/>
  <c r="G28" i="4"/>
  <c r="I27" i="4"/>
  <c r="H27" i="4"/>
  <c r="G27" i="4"/>
  <c r="I26" i="4"/>
  <c r="H26" i="4"/>
  <c r="G26" i="4"/>
  <c r="H25" i="4"/>
  <c r="G25" i="4"/>
  <c r="H24" i="4"/>
  <c r="F24" i="4"/>
  <c r="E24" i="4"/>
  <c r="I24" i="4" s="1"/>
  <c r="D24" i="4"/>
  <c r="C24" i="4"/>
  <c r="I23" i="4"/>
  <c r="H23" i="4"/>
  <c r="G23" i="4"/>
  <c r="I22" i="4"/>
  <c r="H22" i="4"/>
  <c r="G22" i="4"/>
  <c r="I21" i="4"/>
  <c r="H21" i="4"/>
  <c r="G21" i="4"/>
  <c r="I20" i="4"/>
  <c r="H20" i="4"/>
  <c r="G20" i="4"/>
  <c r="I19" i="4"/>
  <c r="H19" i="4"/>
  <c r="G19" i="4"/>
  <c r="I18" i="4"/>
  <c r="H18" i="4"/>
  <c r="G18" i="4"/>
  <c r="I17" i="4"/>
  <c r="H17" i="4"/>
  <c r="G17" i="4"/>
  <c r="I16" i="4"/>
  <c r="H16" i="4"/>
  <c r="G16" i="4"/>
  <c r="I15" i="4"/>
  <c r="H15" i="4"/>
  <c r="G15" i="4"/>
  <c r="I14" i="4"/>
  <c r="H14" i="4"/>
  <c r="G14" i="4"/>
  <c r="I13" i="4"/>
  <c r="H13" i="4"/>
  <c r="G13" i="4"/>
  <c r="I12" i="4"/>
  <c r="H12" i="4"/>
  <c r="G12" i="4"/>
  <c r="I11" i="4"/>
  <c r="H11" i="4"/>
  <c r="G11" i="4"/>
  <c r="I10" i="4"/>
  <c r="H10" i="4"/>
  <c r="G10" i="4"/>
  <c r="I9" i="4"/>
  <c r="H9" i="4"/>
  <c r="G9" i="4"/>
  <c r="I8" i="4"/>
  <c r="H8" i="4"/>
  <c r="G8" i="4"/>
  <c r="I7" i="4"/>
  <c r="H7" i="4"/>
  <c r="G7" i="4"/>
  <c r="I6" i="4"/>
  <c r="H6" i="4"/>
  <c r="G6" i="4"/>
  <c r="I5" i="4"/>
  <c r="H5" i="4"/>
  <c r="G5" i="4"/>
  <c r="I4" i="4"/>
  <c r="H4" i="4"/>
  <c r="G4" i="4"/>
  <c r="I3" i="4"/>
  <c r="H3" i="4"/>
  <c r="G3" i="4"/>
  <c r="H2" i="4"/>
  <c r="G2" i="4"/>
  <c r="D53" i="13" l="1"/>
  <c r="E53" i="13"/>
  <c r="F53" i="13"/>
  <c r="B9" i="19"/>
  <c r="H9" i="19" s="1"/>
  <c r="E42" i="13"/>
  <c r="F42" i="13"/>
  <c r="D5" i="19"/>
  <c r="J5" i="19" s="1"/>
  <c r="F28" i="13"/>
  <c r="F55" i="13" s="1"/>
  <c r="F57" i="13" s="1"/>
  <c r="D28" i="13"/>
  <c r="D55" i="13" s="1"/>
  <c r="D57" i="13" s="1"/>
  <c r="B3" i="19"/>
  <c r="H3" i="19" s="1"/>
  <c r="C9" i="20"/>
  <c r="I9" i="20" s="1"/>
  <c r="D3" i="19"/>
  <c r="D2" i="19" s="1"/>
  <c r="J2" i="19" s="1"/>
  <c r="B128" i="25"/>
  <c r="B130" i="25"/>
  <c r="C9" i="21" s="1"/>
  <c r="B38" i="8"/>
  <c r="B32" i="8"/>
  <c r="B75" i="8" s="1"/>
  <c r="D38" i="8"/>
  <c r="B39" i="8"/>
  <c r="F36" i="9"/>
  <c r="F39" i="9" s="1"/>
  <c r="F41" i="9" s="1"/>
  <c r="E10" i="20" s="1"/>
  <c r="K10" i="20" s="1"/>
  <c r="B151" i="25"/>
  <c r="B152" i="25"/>
  <c r="D110" i="4"/>
  <c r="I109" i="4"/>
  <c r="G109" i="4"/>
  <c r="F94" i="4"/>
  <c r="G93" i="4"/>
  <c r="E94" i="4"/>
  <c r="E110" i="4" s="1"/>
  <c r="F110" i="4"/>
  <c r="F111" i="4" s="1"/>
  <c r="G78" i="4"/>
  <c r="I78" i="4"/>
  <c r="C94" i="4"/>
  <c r="C110" i="4" s="1"/>
  <c r="B94" i="25"/>
  <c r="D28" i="8"/>
  <c r="D71" i="8" s="1"/>
  <c r="E28" i="8"/>
  <c r="E71" i="8" s="1"/>
  <c r="D53" i="4"/>
  <c r="D111" i="4" s="1"/>
  <c r="C52" i="4"/>
  <c r="I52" i="4" s="1"/>
  <c r="B41" i="25"/>
  <c r="B27" i="8"/>
  <c r="B70" i="8" s="1"/>
  <c r="C23" i="26"/>
  <c r="C2" i="26" s="1"/>
  <c r="C9" i="26" s="1"/>
  <c r="F23" i="26"/>
  <c r="F2" i="26" s="1"/>
  <c r="F9" i="26" s="1"/>
  <c r="B56" i="8"/>
  <c r="B27" i="25"/>
  <c r="B142" i="25" s="1"/>
  <c r="G24" i="4"/>
  <c r="B55" i="8"/>
  <c r="B28" i="8"/>
  <c r="B71" i="8" s="1"/>
  <c r="E53" i="4"/>
  <c r="E23" i="26"/>
  <c r="E2" i="26" s="1"/>
  <c r="E9" i="26" s="1"/>
  <c r="D23" i="26"/>
  <c r="D2" i="26" s="1"/>
  <c r="D9" i="26" s="1"/>
  <c r="B29" i="8"/>
  <c r="B72" i="8" s="1"/>
  <c r="B154" i="25"/>
  <c r="E38" i="8"/>
  <c r="B11" i="19"/>
  <c r="H11" i="19" s="1"/>
  <c r="M11" i="19" s="1"/>
  <c r="B171" i="25"/>
  <c r="B40" i="8"/>
  <c r="B6" i="19"/>
  <c r="H6" i="19" s="1"/>
  <c r="B161" i="25"/>
  <c r="D40" i="8"/>
  <c r="H9" i="20"/>
  <c r="C53" i="13"/>
  <c r="B136" i="25" s="1"/>
  <c r="C10" i="21" s="1"/>
  <c r="E40" i="8"/>
  <c r="B58" i="8"/>
  <c r="C36" i="9"/>
  <c r="B120" i="25" s="1"/>
  <c r="F3" i="23"/>
  <c r="H3" i="23" s="1"/>
  <c r="F7" i="23"/>
  <c r="H7" i="23" s="1"/>
  <c r="F4" i="23"/>
  <c r="H4" i="23" s="1"/>
  <c r="C3" i="26"/>
  <c r="D3" i="26"/>
  <c r="F3" i="26"/>
  <c r="E3" i="20"/>
  <c r="K3" i="20" s="1"/>
  <c r="E4" i="20"/>
  <c r="K4" i="20" s="1"/>
  <c r="B3" i="20"/>
  <c r="H3" i="20" s="1"/>
  <c r="E8" i="20"/>
  <c r="K8" i="20" s="1"/>
  <c r="D9" i="20"/>
  <c r="B4" i="20"/>
  <c r="H4" i="20" s="1"/>
  <c r="E9" i="20"/>
  <c r="E6" i="20"/>
  <c r="K6" i="20" s="1"/>
  <c r="K1" i="20"/>
  <c r="E7" i="20"/>
  <c r="K7" i="20" s="1"/>
  <c r="D8" i="19"/>
  <c r="J8" i="19" s="1"/>
  <c r="J10" i="19"/>
  <c r="K1" i="19"/>
  <c r="E4" i="19"/>
  <c r="K4" i="19" s="1"/>
  <c r="C9" i="19"/>
  <c r="B10" i="19"/>
  <c r="H10" i="19" s="1"/>
  <c r="H4" i="19"/>
  <c r="C6" i="19"/>
  <c r="J7" i="19"/>
  <c r="E9" i="19"/>
  <c r="C10" i="19"/>
  <c r="I10" i="19" s="1"/>
  <c r="B7" i="19"/>
  <c r="H7" i="19" s="1"/>
  <c r="K3" i="19"/>
  <c r="C3" i="19"/>
  <c r="E6" i="19"/>
  <c r="C7" i="19"/>
  <c r="I7" i="19" s="1"/>
  <c r="C12" i="22"/>
  <c r="C20" i="22"/>
  <c r="C18" i="22"/>
  <c r="C64" i="22"/>
  <c r="C80" i="22"/>
  <c r="D80" i="22" s="1"/>
  <c r="C87" i="22"/>
  <c r="C5" i="22"/>
  <c r="C13" i="22"/>
  <c r="C21" i="22"/>
  <c r="C25" i="22"/>
  <c r="C37" i="22"/>
  <c r="C62" i="22"/>
  <c r="C77" i="22"/>
  <c r="C69" i="22"/>
  <c r="C61" i="22"/>
  <c r="C53" i="22"/>
  <c r="C47" i="22"/>
  <c r="C41" i="22"/>
  <c r="C33" i="22"/>
  <c r="C28" i="22"/>
  <c r="C92" i="22"/>
  <c r="D92" i="22" s="1"/>
  <c r="C74" i="22"/>
  <c r="C66" i="22"/>
  <c r="C58" i="22"/>
  <c r="C50" i="22"/>
  <c r="C38" i="22"/>
  <c r="C89" i="22"/>
  <c r="C86" i="22"/>
  <c r="C79" i="22"/>
  <c r="C71" i="22"/>
  <c r="D71" i="22" s="1"/>
  <c r="C63" i="22"/>
  <c r="C55" i="22"/>
  <c r="C43" i="22"/>
  <c r="C35" i="22"/>
  <c r="C82" i="22"/>
  <c r="C76" i="22"/>
  <c r="C68" i="22"/>
  <c r="C60" i="22"/>
  <c r="D60" i="22" s="1"/>
  <c r="C52" i="22"/>
  <c r="C40" i="22"/>
  <c r="C32" i="22"/>
  <c r="C91" i="22"/>
  <c r="C85" i="22"/>
  <c r="C73" i="22"/>
  <c r="C65" i="22"/>
  <c r="C57" i="22"/>
  <c r="D57" i="22" s="1"/>
  <c r="C49" i="22"/>
  <c r="C75" i="22"/>
  <c r="C67" i="22"/>
  <c r="C59" i="22"/>
  <c r="C51" i="22"/>
  <c r="C8" i="22"/>
  <c r="C16" i="22"/>
  <c r="C36" i="22"/>
  <c r="E2" i="22"/>
  <c r="C11" i="22"/>
  <c r="C19" i="22"/>
  <c r="C26" i="22"/>
  <c r="C31" i="22"/>
  <c r="C42" i="22"/>
  <c r="C90" i="22"/>
  <c r="D90" i="22" s="1"/>
  <c r="C6" i="22"/>
  <c r="C14" i="22"/>
  <c r="C22" i="22"/>
  <c r="C30" i="22"/>
  <c r="C56" i="22"/>
  <c r="C72" i="22"/>
  <c r="C88" i="22"/>
  <c r="D27" i="8"/>
  <c r="D70" i="8" s="1"/>
  <c r="D48" i="8"/>
  <c r="E27" i="8"/>
  <c r="E70" i="8" s="1"/>
  <c r="E48" i="8"/>
  <c r="E69" i="8"/>
  <c r="B30" i="8"/>
  <c r="B73" i="8" s="1"/>
  <c r="C3" i="8"/>
  <c r="B36" i="8" s="1"/>
  <c r="C5" i="8"/>
  <c r="C7" i="8"/>
  <c r="C9" i="8"/>
  <c r="C11" i="8"/>
  <c r="C13" i="8"/>
  <c r="C15" i="8"/>
  <c r="B46" i="8" s="1"/>
  <c r="B66" i="8" s="1"/>
  <c r="C17" i="8"/>
  <c r="C19" i="8"/>
  <c r="C21" i="8"/>
  <c r="C23" i="8"/>
  <c r="B49" i="8" s="1"/>
  <c r="C25" i="8"/>
  <c r="B37" i="8"/>
  <c r="D3" i="8"/>
  <c r="D5" i="8"/>
  <c r="D7" i="8"/>
  <c r="D35" i="8" s="1"/>
  <c r="D9" i="8"/>
  <c r="D11" i="8"/>
  <c r="D13" i="8"/>
  <c r="D15" i="8"/>
  <c r="D17" i="8"/>
  <c r="D19" i="8"/>
  <c r="D39" i="8" s="1"/>
  <c r="D21" i="8"/>
  <c r="D23" i="8"/>
  <c r="D25" i="8"/>
  <c r="D32" i="8"/>
  <c r="D75" i="8" s="1"/>
  <c r="E3" i="8"/>
  <c r="E36" i="8" s="1"/>
  <c r="E5" i="8"/>
  <c r="E7" i="8"/>
  <c r="E50" i="8" s="1"/>
  <c r="E9" i="8"/>
  <c r="E11" i="8"/>
  <c r="E13" i="8"/>
  <c r="E15" i="8"/>
  <c r="E17" i="8"/>
  <c r="E19" i="8"/>
  <c r="E39" i="8" s="1"/>
  <c r="E21" i="8"/>
  <c r="E23" i="8"/>
  <c r="E25" i="8"/>
  <c r="E32" i="8"/>
  <c r="E75" i="8" s="1"/>
  <c r="C61" i="8"/>
  <c r="B42" i="8"/>
  <c r="B62" i="8" s="1"/>
  <c r="B43" i="8"/>
  <c r="B63" i="8" s="1"/>
  <c r="C2" i="8"/>
  <c r="B34" i="8" s="1"/>
  <c r="C4" i="8"/>
  <c r="C6" i="8"/>
  <c r="C8" i="8"/>
  <c r="C10" i="8"/>
  <c r="C12" i="8"/>
  <c r="C14" i="8"/>
  <c r="C16" i="8"/>
  <c r="B48" i="8" s="1"/>
  <c r="C18" i="8"/>
  <c r="C20" i="8"/>
  <c r="C22" i="8"/>
  <c r="C24" i="8"/>
  <c r="C130" i="25"/>
  <c r="D9" i="21" s="1"/>
  <c r="C137" i="25"/>
  <c r="C129" i="25"/>
  <c r="C126" i="25"/>
  <c r="C112" i="25"/>
  <c r="C166" i="25"/>
  <c r="C136" i="25"/>
  <c r="D10" i="21" s="1"/>
  <c r="C128" i="25"/>
  <c r="C119" i="25"/>
  <c r="C147" i="25"/>
  <c r="C135" i="25"/>
  <c r="C118" i="25"/>
  <c r="C156" i="25"/>
  <c r="C140" i="25"/>
  <c r="C134" i="25"/>
  <c r="C117" i="25"/>
  <c r="C111" i="25"/>
  <c r="D7" i="21" s="1"/>
  <c r="C102" i="25"/>
  <c r="C98" i="25"/>
  <c r="C89" i="25"/>
  <c r="C73" i="25"/>
  <c r="C69" i="25"/>
  <c r="C133" i="25"/>
  <c r="C127" i="25"/>
  <c r="C116" i="25"/>
  <c r="C92" i="25"/>
  <c r="C132" i="25"/>
  <c r="C115" i="25"/>
  <c r="C108" i="25"/>
  <c r="D5" i="21" s="1"/>
  <c r="C104" i="25"/>
  <c r="C100" i="25"/>
  <c r="C96" i="25"/>
  <c r="C91" i="25"/>
  <c r="C88" i="25"/>
  <c r="C74" i="25"/>
  <c r="C58" i="25"/>
  <c r="C53" i="25"/>
  <c r="C45" i="25"/>
  <c r="C33" i="25"/>
  <c r="C29" i="25"/>
  <c r="C25" i="25"/>
  <c r="C21" i="25"/>
  <c r="C17" i="25"/>
  <c r="C113" i="25"/>
  <c r="C106" i="25"/>
  <c r="C90" i="25"/>
  <c r="C72" i="25"/>
  <c r="C71" i="25"/>
  <c r="C70" i="25"/>
  <c r="C52" i="25"/>
  <c r="C44" i="25"/>
  <c r="C40" i="25"/>
  <c r="C36" i="25"/>
  <c r="C95" i="25"/>
  <c r="C86" i="25"/>
  <c r="C85" i="25"/>
  <c r="C80" i="25"/>
  <c r="C79" i="25"/>
  <c r="C78" i="25"/>
  <c r="C67" i="25"/>
  <c r="C60" i="25"/>
  <c r="C51" i="25"/>
  <c r="C23" i="25"/>
  <c r="C19" i="25"/>
  <c r="C15" i="25"/>
  <c r="C107" i="25"/>
  <c r="C97" i="25"/>
  <c r="C83" i="25"/>
  <c r="C77" i="25"/>
  <c r="C99" i="25"/>
  <c r="C93" i="25"/>
  <c r="C114" i="25"/>
  <c r="C110" i="25"/>
  <c r="C101" i="25"/>
  <c r="C170" i="25"/>
  <c r="C122" i="25"/>
  <c r="C103" i="25"/>
  <c r="C94" i="25"/>
  <c r="C84" i="25"/>
  <c r="C82" i="25"/>
  <c r="C81" i="25"/>
  <c r="C68" i="25"/>
  <c r="C56" i="25"/>
  <c r="C55" i="25"/>
  <c r="D4" i="21" s="1"/>
  <c r="C47" i="25"/>
  <c r="C43" i="25"/>
  <c r="C39" i="25"/>
  <c r="C35" i="25"/>
  <c r="C31" i="25"/>
  <c r="C27" i="25"/>
  <c r="C11" i="25"/>
  <c r="C7" i="25"/>
  <c r="D3" i="25"/>
  <c r="C8" i="25"/>
  <c r="E16" i="25"/>
  <c r="E28" i="25"/>
  <c r="E31" i="25"/>
  <c r="E38" i="25"/>
  <c r="E40" i="25"/>
  <c r="C42" i="25"/>
  <c r="E48" i="25"/>
  <c r="C61" i="25"/>
  <c r="C64" i="25"/>
  <c r="E166" i="25"/>
  <c r="E136" i="25"/>
  <c r="F10" i="21" s="1"/>
  <c r="E128" i="25"/>
  <c r="E119" i="25"/>
  <c r="E147" i="25"/>
  <c r="E135" i="25"/>
  <c r="E118" i="25"/>
  <c r="J169" i="25"/>
  <c r="E156" i="25"/>
  <c r="E140" i="25"/>
  <c r="E134" i="25"/>
  <c r="E117" i="25"/>
  <c r="E133" i="25"/>
  <c r="E127" i="25"/>
  <c r="E116" i="25"/>
  <c r="J109" i="25"/>
  <c r="E92" i="25"/>
  <c r="E132" i="25"/>
  <c r="J125" i="25"/>
  <c r="E123" i="25"/>
  <c r="E115" i="25"/>
  <c r="E108" i="25"/>
  <c r="F5" i="21" s="1"/>
  <c r="E104" i="25"/>
  <c r="E100" i="25"/>
  <c r="E96" i="25"/>
  <c r="E91" i="25"/>
  <c r="E79" i="25"/>
  <c r="E67" i="25"/>
  <c r="E170" i="25"/>
  <c r="J165" i="25"/>
  <c r="E131" i="25"/>
  <c r="E122" i="25"/>
  <c r="E114" i="25"/>
  <c r="E107" i="25"/>
  <c r="E103" i="25"/>
  <c r="E99" i="25"/>
  <c r="E95" i="25"/>
  <c r="E94" i="25"/>
  <c r="E90" i="25"/>
  <c r="E130" i="25"/>
  <c r="E121" i="25"/>
  <c r="E113" i="25"/>
  <c r="E110" i="25"/>
  <c r="E106" i="25"/>
  <c r="E93" i="25"/>
  <c r="E85" i="25"/>
  <c r="E81" i="25"/>
  <c r="G111" i="25"/>
  <c r="E78" i="25"/>
  <c r="E69" i="25"/>
  <c r="E60" i="25"/>
  <c r="E51" i="25"/>
  <c r="E23" i="25"/>
  <c r="E19" i="25"/>
  <c r="E15" i="25"/>
  <c r="E22" i="25"/>
  <c r="E14" i="25"/>
  <c r="E102" i="25"/>
  <c r="E97" i="25"/>
  <c r="E86" i="25"/>
  <c r="E83" i="25"/>
  <c r="E80" i="25"/>
  <c r="E77" i="25"/>
  <c r="E59" i="25"/>
  <c r="E46" i="25"/>
  <c r="E42" i="25"/>
  <c r="E34" i="25"/>
  <c r="E30" i="25"/>
  <c r="E18" i="25"/>
  <c r="J139" i="25"/>
  <c r="E111" i="25"/>
  <c r="F7" i="21" s="1"/>
  <c r="E75" i="25"/>
  <c r="E65" i="25"/>
  <c r="E64" i="25"/>
  <c r="E63" i="25"/>
  <c r="E62" i="25"/>
  <c r="E49" i="25"/>
  <c r="E41" i="25"/>
  <c r="E37" i="25"/>
  <c r="E13" i="25"/>
  <c r="E9" i="25"/>
  <c r="E101" i="25"/>
  <c r="E73" i="25"/>
  <c r="E120" i="25"/>
  <c r="E112" i="25"/>
  <c r="E89" i="25"/>
  <c r="E129" i="25"/>
  <c r="E126" i="25"/>
  <c r="E105" i="25"/>
  <c r="E87" i="25"/>
  <c r="E84" i="25"/>
  <c r="E82" i="25"/>
  <c r="E66" i="25"/>
  <c r="E88" i="25"/>
  <c r="E76" i="25"/>
  <c r="E74" i="25"/>
  <c r="E58" i="25"/>
  <c r="E53" i="25"/>
  <c r="E45" i="25"/>
  <c r="E33" i="25"/>
  <c r="E29" i="25"/>
  <c r="E25" i="25"/>
  <c r="E21" i="25"/>
  <c r="E17" i="25"/>
  <c r="E8" i="25"/>
  <c r="E27" i="25"/>
  <c r="E47" i="25"/>
  <c r="E52" i="25"/>
  <c r="E55" i="25"/>
  <c r="F4" i="21" s="1"/>
  <c r="C59" i="25"/>
  <c r="E70" i="25"/>
  <c r="E72" i="25"/>
  <c r="C76" i="25"/>
  <c r="C10" i="25"/>
  <c r="C24" i="25"/>
  <c r="E36" i="25"/>
  <c r="C41" i="25"/>
  <c r="C57" i="25"/>
  <c r="E61" i="25"/>
  <c r="E98" i="25"/>
  <c r="C54" i="25"/>
  <c r="C63" i="25"/>
  <c r="E68" i="25"/>
  <c r="O3" i="25"/>
  <c r="C20" i="25"/>
  <c r="E24" i="25"/>
  <c r="E26" i="25"/>
  <c r="C34" i="25"/>
  <c r="C37" i="25"/>
  <c r="C49" i="25"/>
  <c r="E54" i="25"/>
  <c r="E57" i="25"/>
  <c r="C105" i="25"/>
  <c r="C131" i="25"/>
  <c r="B145" i="25"/>
  <c r="E7" i="25"/>
  <c r="E12" i="25"/>
  <c r="C18" i="25"/>
  <c r="C30" i="25"/>
  <c r="C32" i="25"/>
  <c r="E39" i="25"/>
  <c r="C65" i="25"/>
  <c r="E71" i="25"/>
  <c r="E56" i="25"/>
  <c r="C6" i="25"/>
  <c r="E11" i="25"/>
  <c r="C16" i="25"/>
  <c r="E20" i="25"/>
  <c r="C28" i="25"/>
  <c r="E44" i="25"/>
  <c r="C46" i="25"/>
  <c r="C48" i="25"/>
  <c r="C62" i="25"/>
  <c r="C87" i="25"/>
  <c r="B153" i="25"/>
  <c r="B148" i="25"/>
  <c r="B157" i="25"/>
  <c r="B158" i="25"/>
  <c r="B150" i="25"/>
  <c r="E55" i="13"/>
  <c r="E57" i="13" s="1"/>
  <c r="C42" i="13"/>
  <c r="B133" i="25" s="1"/>
  <c r="E36" i="9"/>
  <c r="E39" i="9" s="1"/>
  <c r="E41" i="9" s="1"/>
  <c r="D10" i="20" s="1"/>
  <c r="J10" i="20" s="1"/>
  <c r="D36" i="9"/>
  <c r="D39" i="9" s="1"/>
  <c r="D41" i="9" s="1"/>
  <c r="C10" i="20" s="1"/>
  <c r="I10" i="20" s="1"/>
  <c r="G94" i="4"/>
  <c r="E137" i="25" l="1"/>
  <c r="J3" i="19"/>
  <c r="B2" i="19"/>
  <c r="H2" i="19" s="1"/>
  <c r="C38" i="8"/>
  <c r="F65" i="9"/>
  <c r="F66" i="9" s="1"/>
  <c r="C123" i="25"/>
  <c r="C160" i="25" s="1"/>
  <c r="C121" i="25"/>
  <c r="D8" i="21" s="1"/>
  <c r="C120" i="25"/>
  <c r="C39" i="9"/>
  <c r="B121" i="25" s="1"/>
  <c r="B172" i="25" s="1"/>
  <c r="D58" i="8"/>
  <c r="D68" i="22"/>
  <c r="D72" i="22"/>
  <c r="D51" i="22"/>
  <c r="D85" i="22"/>
  <c r="D79" i="22"/>
  <c r="G110" i="4"/>
  <c r="D65" i="22"/>
  <c r="I110" i="4"/>
  <c r="D36" i="8"/>
  <c r="D75" i="22"/>
  <c r="D55" i="22"/>
  <c r="D58" i="22"/>
  <c r="D49" i="22"/>
  <c r="D52" i="22"/>
  <c r="D63" i="22"/>
  <c r="D66" i="22"/>
  <c r="D88" i="22"/>
  <c r="D73" i="22"/>
  <c r="D76" i="22"/>
  <c r="D86" i="22"/>
  <c r="D62" i="22"/>
  <c r="I94" i="4"/>
  <c r="D89" i="22"/>
  <c r="D56" i="22"/>
  <c r="D59" i="22"/>
  <c r="D91" i="22"/>
  <c r="D67" i="22"/>
  <c r="B141" i="25"/>
  <c r="C44" i="22"/>
  <c r="C53" i="4"/>
  <c r="I53" i="4"/>
  <c r="D44" i="8"/>
  <c r="D64" i="8" s="1"/>
  <c r="D56" i="8"/>
  <c r="C50" i="8"/>
  <c r="D70" i="22"/>
  <c r="E111" i="4"/>
  <c r="G52" i="4"/>
  <c r="B54" i="25"/>
  <c r="E44" i="8"/>
  <c r="E64" i="8" s="1"/>
  <c r="E56" i="8"/>
  <c r="D50" i="8"/>
  <c r="B51" i="8"/>
  <c r="E162" i="25"/>
  <c r="D87" i="22"/>
  <c r="D64" i="22"/>
  <c r="G53" i="4"/>
  <c r="E159" i="25"/>
  <c r="F8" i="21"/>
  <c r="E152" i="25"/>
  <c r="M7" i="19"/>
  <c r="E172" i="25"/>
  <c r="F9" i="21"/>
  <c r="M10" i="19"/>
  <c r="M4" i="19"/>
  <c r="E173" i="25"/>
  <c r="D11" i="20"/>
  <c r="J11" i="20" s="1"/>
  <c r="J9" i="20"/>
  <c r="K9" i="20"/>
  <c r="E11" i="20"/>
  <c r="K11" i="20" s="1"/>
  <c r="C11" i="20"/>
  <c r="I11" i="20" s="1"/>
  <c r="I9" i="19"/>
  <c r="C8" i="19"/>
  <c r="I8" i="19" s="1"/>
  <c r="E8" i="19"/>
  <c r="K8" i="19" s="1"/>
  <c r="K9" i="19"/>
  <c r="B8" i="19"/>
  <c r="H8" i="19" s="1"/>
  <c r="I6" i="19"/>
  <c r="C5" i="19"/>
  <c r="I5" i="19" s="1"/>
  <c r="B5" i="19"/>
  <c r="H5" i="19" s="1"/>
  <c r="E5" i="19"/>
  <c r="K5" i="19" s="1"/>
  <c r="K6" i="19"/>
  <c r="I3" i="19"/>
  <c r="M3" i="19" s="1"/>
  <c r="C2" i="19"/>
  <c r="I2" i="19" s="1"/>
  <c r="E2" i="19"/>
  <c r="K2" i="19" s="1"/>
  <c r="D84" i="22"/>
  <c r="D50" i="22"/>
  <c r="D78" i="22"/>
  <c r="D53" i="22"/>
  <c r="D61" i="22"/>
  <c r="D74" i="22"/>
  <c r="D69" i="22"/>
  <c r="E89" i="22"/>
  <c r="E86" i="22"/>
  <c r="E79" i="22"/>
  <c r="E71" i="22"/>
  <c r="E63" i="22"/>
  <c r="E55" i="22"/>
  <c r="E43" i="22"/>
  <c r="E35" i="22"/>
  <c r="E30" i="22"/>
  <c r="E22" i="22"/>
  <c r="E76" i="22"/>
  <c r="E68" i="22"/>
  <c r="E60" i="22"/>
  <c r="E52" i="22"/>
  <c r="E40" i="22"/>
  <c r="E32" i="22"/>
  <c r="E27" i="22"/>
  <c r="E91" i="22"/>
  <c r="E85" i="22"/>
  <c r="E82" i="22"/>
  <c r="E73" i="22"/>
  <c r="E65" i="22"/>
  <c r="E57" i="22"/>
  <c r="E49" i="22"/>
  <c r="E45" i="22"/>
  <c r="F45" i="22" s="1"/>
  <c r="E37" i="22"/>
  <c r="E88" i="22"/>
  <c r="E78" i="22"/>
  <c r="E70" i="22"/>
  <c r="E62" i="22"/>
  <c r="E54" i="22"/>
  <c r="E42" i="22"/>
  <c r="E34" i="22"/>
  <c r="F34" i="22" s="1"/>
  <c r="E29" i="22"/>
  <c r="E75" i="22"/>
  <c r="E67" i="22"/>
  <c r="E59" i="22"/>
  <c r="E51" i="22"/>
  <c r="E77" i="22"/>
  <c r="E69" i="22"/>
  <c r="E61" i="22"/>
  <c r="E53" i="22"/>
  <c r="E41" i="22"/>
  <c r="E90" i="22"/>
  <c r="E74" i="22"/>
  <c r="E58" i="22"/>
  <c r="E36" i="22"/>
  <c r="E16" i="22"/>
  <c r="E8" i="22"/>
  <c r="F8" i="22" s="1"/>
  <c r="G2" i="22"/>
  <c r="E17" i="22"/>
  <c r="E92" i="22"/>
  <c r="F92" i="22" s="1"/>
  <c r="E47" i="22"/>
  <c r="E44" i="22"/>
  <c r="E21" i="22"/>
  <c r="E13" i="22"/>
  <c r="E5" i="22"/>
  <c r="F5" i="22" s="1"/>
  <c r="E38" i="22"/>
  <c r="E33" i="22"/>
  <c r="E25" i="22"/>
  <c r="E18" i="22"/>
  <c r="E10" i="22"/>
  <c r="E4" i="22"/>
  <c r="E87" i="22"/>
  <c r="E80" i="22"/>
  <c r="F80" i="22" s="1"/>
  <c r="E64" i="22"/>
  <c r="E24" i="22"/>
  <c r="E15" i="22"/>
  <c r="E7" i="22"/>
  <c r="E39" i="22"/>
  <c r="E23" i="22"/>
  <c r="E9" i="22"/>
  <c r="E66" i="22"/>
  <c r="E50" i="22"/>
  <c r="E20" i="22"/>
  <c r="E12" i="22"/>
  <c r="E72" i="22"/>
  <c r="E84" i="22"/>
  <c r="F84" i="22" s="1"/>
  <c r="E28" i="22"/>
  <c r="E14" i="22"/>
  <c r="E6" i="22"/>
  <c r="F6" i="22" s="1"/>
  <c r="E26" i="22"/>
  <c r="E19" i="22"/>
  <c r="E56" i="22"/>
  <c r="E11" i="22"/>
  <c r="E31" i="22"/>
  <c r="D77" i="22"/>
  <c r="D54" i="22"/>
  <c r="D51" i="8"/>
  <c r="D29" i="8"/>
  <c r="D72" i="8" s="1"/>
  <c r="C40" i="8"/>
  <c r="C27" i="8"/>
  <c r="C70" i="8" s="1"/>
  <c r="C28" i="8"/>
  <c r="C71" i="8" s="1"/>
  <c r="B35" i="8"/>
  <c r="E37" i="8"/>
  <c r="E34" i="8"/>
  <c r="C58" i="8"/>
  <c r="C48" i="8"/>
  <c r="C36" i="8"/>
  <c r="C35" i="8"/>
  <c r="B45" i="8"/>
  <c r="B65" i="8" s="1"/>
  <c r="C52" i="8"/>
  <c r="C43" i="8"/>
  <c r="C63" i="8" s="1"/>
  <c r="D55" i="8"/>
  <c r="B50" i="8"/>
  <c r="B53" i="8"/>
  <c r="C53" i="8"/>
  <c r="C44" i="8"/>
  <c r="C64" i="8" s="1"/>
  <c r="C32" i="8"/>
  <c r="C75" i="8" s="1"/>
  <c r="C55" i="8"/>
  <c r="C30" i="8"/>
  <c r="C73" i="8" s="1"/>
  <c r="D49" i="8"/>
  <c r="D46" i="8"/>
  <c r="D66" i="8" s="1"/>
  <c r="D42" i="8"/>
  <c r="D62" i="8" s="1"/>
  <c r="D45" i="8"/>
  <c r="D65" i="8" s="1"/>
  <c r="C39" i="8"/>
  <c r="E30" i="8"/>
  <c r="E73" i="8" s="1"/>
  <c r="E58" i="8"/>
  <c r="D52" i="8"/>
  <c r="D43" i="8"/>
  <c r="D63" i="8" s="1"/>
  <c r="C34" i="8"/>
  <c r="C37" i="8"/>
  <c r="D30" i="8"/>
  <c r="D73" i="8" s="1"/>
  <c r="C45" i="8"/>
  <c r="C65" i="8" s="1"/>
  <c r="C49" i="8"/>
  <c r="C46" i="8"/>
  <c r="C66" i="8" s="1"/>
  <c r="C42" i="8"/>
  <c r="C62" i="8" s="1"/>
  <c r="C31" i="8"/>
  <c r="C74" i="8" s="1"/>
  <c r="E49" i="8"/>
  <c r="E46" i="8"/>
  <c r="E66" i="8" s="1"/>
  <c r="E42" i="8"/>
  <c r="E62" i="8" s="1"/>
  <c r="E45" i="8"/>
  <c r="E65" i="8" s="1"/>
  <c r="C29" i="8"/>
  <c r="C72" i="8" s="1"/>
  <c r="C51" i="8"/>
  <c r="B52" i="8"/>
  <c r="E51" i="8"/>
  <c r="E29" i="8"/>
  <c r="E72" i="8" s="1"/>
  <c r="E52" i="8"/>
  <c r="E43" i="8"/>
  <c r="E63" i="8" s="1"/>
  <c r="D37" i="8"/>
  <c r="D34" i="8"/>
  <c r="B44" i="8"/>
  <c r="B64" i="8" s="1"/>
  <c r="C56" i="8"/>
  <c r="E55" i="8"/>
  <c r="E35" i="8"/>
  <c r="C142" i="25"/>
  <c r="C141" i="25"/>
  <c r="C153" i="25"/>
  <c r="C151" i="25"/>
  <c r="C158" i="25"/>
  <c r="E142" i="25"/>
  <c r="E141" i="25"/>
  <c r="C145" i="25"/>
  <c r="E167" i="25"/>
  <c r="C152" i="25"/>
  <c r="C168" i="25"/>
  <c r="M147" i="25"/>
  <c r="E143" i="25"/>
  <c r="F6" i="21" s="1"/>
  <c r="E145" i="25"/>
  <c r="E153" i="25"/>
  <c r="C143" i="25"/>
  <c r="D6" i="21" s="1"/>
  <c r="C161" i="25"/>
  <c r="C157" i="25"/>
  <c r="E151" i="25"/>
  <c r="E158" i="25"/>
  <c r="E148" i="25"/>
  <c r="E168" i="25"/>
  <c r="D137" i="25"/>
  <c r="M137" i="25" s="1"/>
  <c r="D129" i="25"/>
  <c r="M129" i="25" s="1"/>
  <c r="D126" i="25"/>
  <c r="D120" i="25"/>
  <c r="D166" i="25"/>
  <c r="N166" i="25" s="1"/>
  <c r="D136" i="25"/>
  <c r="D128" i="25"/>
  <c r="M128" i="25" s="1"/>
  <c r="D119" i="25"/>
  <c r="N119" i="25" s="1"/>
  <c r="D147" i="25"/>
  <c r="N147" i="25" s="1"/>
  <c r="D135" i="25"/>
  <c r="M135" i="25" s="1"/>
  <c r="D118" i="25"/>
  <c r="N118" i="25" s="1"/>
  <c r="D156" i="25"/>
  <c r="N156" i="25" s="1"/>
  <c r="D140" i="25"/>
  <c r="N140" i="25" s="1"/>
  <c r="D134" i="25"/>
  <c r="D117" i="25"/>
  <c r="H117" i="25" s="1"/>
  <c r="D111" i="25"/>
  <c r="M111" i="25" s="1"/>
  <c r="D102" i="25"/>
  <c r="H102" i="25" s="1"/>
  <c r="D98" i="25"/>
  <c r="H98" i="25" s="1"/>
  <c r="D89" i="25"/>
  <c r="H89" i="25" s="1"/>
  <c r="D133" i="25"/>
  <c r="N133" i="25" s="1"/>
  <c r="D127" i="25"/>
  <c r="H127" i="25" s="1"/>
  <c r="D116" i="25"/>
  <c r="M116" i="25" s="1"/>
  <c r="D92" i="25"/>
  <c r="H92" i="25" s="1"/>
  <c r="D84" i="25"/>
  <c r="H84" i="25" s="1"/>
  <c r="D80" i="25"/>
  <c r="H80" i="25" s="1"/>
  <c r="D76" i="25"/>
  <c r="H76" i="25" s="1"/>
  <c r="D132" i="25"/>
  <c r="M132" i="25" s="1"/>
  <c r="D123" i="25"/>
  <c r="M123" i="25" s="1"/>
  <c r="D115" i="25"/>
  <c r="M115" i="25" s="1"/>
  <c r="D108" i="25"/>
  <c r="E5" i="21" s="1"/>
  <c r="D104" i="25"/>
  <c r="H104" i="25" s="1"/>
  <c r="D100" i="25"/>
  <c r="H100" i="25" s="1"/>
  <c r="D96" i="25"/>
  <c r="H96" i="25" s="1"/>
  <c r="D91" i="25"/>
  <c r="M91" i="25" s="1"/>
  <c r="D170" i="25"/>
  <c r="N170" i="25" s="1"/>
  <c r="D131" i="25"/>
  <c r="H131" i="25" s="1"/>
  <c r="D122" i="25"/>
  <c r="M122" i="25" s="1"/>
  <c r="D114" i="25"/>
  <c r="M114" i="25" s="1"/>
  <c r="D107" i="25"/>
  <c r="M107" i="25" s="1"/>
  <c r="D103" i="25"/>
  <c r="M103" i="25" s="1"/>
  <c r="D99" i="25"/>
  <c r="M99" i="25" s="1"/>
  <c r="D95" i="25"/>
  <c r="M95" i="25" s="1"/>
  <c r="D94" i="25"/>
  <c r="J94" i="25" s="1"/>
  <c r="D90" i="25"/>
  <c r="D86" i="25"/>
  <c r="H86" i="25" s="1"/>
  <c r="D82" i="25"/>
  <c r="H82" i="25" s="1"/>
  <c r="D113" i="25"/>
  <c r="D106" i="25"/>
  <c r="J106" i="25" s="1"/>
  <c r="D72" i="25"/>
  <c r="H72" i="25" s="1"/>
  <c r="D71" i="25"/>
  <c r="J71" i="25" s="1"/>
  <c r="D70" i="25"/>
  <c r="D52" i="25"/>
  <c r="D44" i="25"/>
  <c r="N44" i="25" s="1"/>
  <c r="D40" i="25"/>
  <c r="H40" i="25" s="1"/>
  <c r="D36" i="25"/>
  <c r="H36" i="25" s="1"/>
  <c r="D8" i="25"/>
  <c r="H8" i="25" s="1"/>
  <c r="D23" i="25"/>
  <c r="H23" i="25" s="1"/>
  <c r="D15" i="25"/>
  <c r="H15" i="25" s="1"/>
  <c r="D121" i="25"/>
  <c r="D85" i="25"/>
  <c r="M85" i="25" s="1"/>
  <c r="D79" i="25"/>
  <c r="D78" i="25"/>
  <c r="N78" i="25" s="1"/>
  <c r="D69" i="25"/>
  <c r="D67" i="25"/>
  <c r="H67" i="25" s="1"/>
  <c r="D60" i="25"/>
  <c r="H60" i="25" s="1"/>
  <c r="D51" i="25"/>
  <c r="M51" i="25" s="1"/>
  <c r="D19" i="25"/>
  <c r="H19" i="25" s="1"/>
  <c r="D130" i="25"/>
  <c r="E9" i="21" s="1"/>
  <c r="D97" i="25"/>
  <c r="H97" i="25" s="1"/>
  <c r="D83" i="25"/>
  <c r="H83" i="25" s="1"/>
  <c r="D77" i="25"/>
  <c r="D59" i="25"/>
  <c r="M59" i="25" s="1"/>
  <c r="D46" i="25"/>
  <c r="H46" i="25" s="1"/>
  <c r="D42" i="25"/>
  <c r="H42" i="25" s="1"/>
  <c r="D34" i="25"/>
  <c r="H34" i="25" s="1"/>
  <c r="D30" i="25"/>
  <c r="H30" i="25" s="1"/>
  <c r="D22" i="25"/>
  <c r="D18" i="25"/>
  <c r="M18" i="25" s="1"/>
  <c r="D14" i="25"/>
  <c r="D10" i="25"/>
  <c r="H10" i="25" s="1"/>
  <c r="N3" i="25"/>
  <c r="D65" i="25"/>
  <c r="H65" i="25" s="1"/>
  <c r="D93" i="25"/>
  <c r="M93" i="25" s="1"/>
  <c r="D75" i="25"/>
  <c r="H75" i="25" s="1"/>
  <c r="D110" i="25"/>
  <c r="D101" i="25"/>
  <c r="H101" i="25" s="1"/>
  <c r="D112" i="25"/>
  <c r="H112" i="25" s="1"/>
  <c r="D81" i="25"/>
  <c r="H81" i="25" s="1"/>
  <c r="D68" i="25"/>
  <c r="H68" i="25" s="1"/>
  <c r="D105" i="25"/>
  <c r="N105" i="25" s="1"/>
  <c r="D87" i="25"/>
  <c r="N87" i="25" s="1"/>
  <c r="D66" i="25"/>
  <c r="H66" i="25" s="1"/>
  <c r="D54" i="25"/>
  <c r="N54" i="25" s="1"/>
  <c r="D50" i="25"/>
  <c r="H50" i="25" s="1"/>
  <c r="D38" i="25"/>
  <c r="D26" i="25"/>
  <c r="D6" i="25"/>
  <c r="D58" i="25"/>
  <c r="H58" i="25" s="1"/>
  <c r="D53" i="25"/>
  <c r="M53" i="25" s="1"/>
  <c r="D35" i="25"/>
  <c r="H35" i="25" s="1"/>
  <c r="D32" i="25"/>
  <c r="H32" i="25" s="1"/>
  <c r="D25" i="25"/>
  <c r="M25" i="25" s="1"/>
  <c r="D49" i="25"/>
  <c r="H49" i="25" s="1"/>
  <c r="D74" i="25"/>
  <c r="H74" i="25" s="1"/>
  <c r="D37" i="25"/>
  <c r="H37" i="25" s="1"/>
  <c r="D20" i="25"/>
  <c r="H20" i="25" s="1"/>
  <c r="D11" i="25"/>
  <c r="N11" i="25" s="1"/>
  <c r="D48" i="25"/>
  <c r="H48" i="25" s="1"/>
  <c r="D63" i="25"/>
  <c r="H63" i="25" s="1"/>
  <c r="D56" i="25"/>
  <c r="M56" i="25" s="1"/>
  <c r="D39" i="25"/>
  <c r="H39" i="25" s="1"/>
  <c r="D12" i="25"/>
  <c r="D9" i="25"/>
  <c r="D7" i="25"/>
  <c r="H7" i="25" s="1"/>
  <c r="D41" i="25"/>
  <c r="M41" i="25" s="1"/>
  <c r="D31" i="25"/>
  <c r="N31" i="25" s="1"/>
  <c r="D28" i="25"/>
  <c r="H28" i="25" s="1"/>
  <c r="D73" i="25"/>
  <c r="H73" i="25" s="1"/>
  <c r="D57" i="25"/>
  <c r="H57" i="25" s="1"/>
  <c r="D45" i="25"/>
  <c r="H45" i="25" s="1"/>
  <c r="D24" i="25"/>
  <c r="H24" i="25" s="1"/>
  <c r="D16" i="25"/>
  <c r="H16" i="25" s="1"/>
  <c r="D43" i="25"/>
  <c r="H43" i="25" s="1"/>
  <c r="D29" i="25"/>
  <c r="H29" i="25" s="1"/>
  <c r="D17" i="25"/>
  <c r="H17" i="25" s="1"/>
  <c r="D13" i="25"/>
  <c r="D88" i="25"/>
  <c r="H88" i="25" s="1"/>
  <c r="D64" i="25"/>
  <c r="M64" i="25" s="1"/>
  <c r="D61" i="25"/>
  <c r="N61" i="25" s="1"/>
  <c r="D33" i="25"/>
  <c r="H33" i="25" s="1"/>
  <c r="D62" i="25"/>
  <c r="D55" i="25"/>
  <c r="D47" i="25"/>
  <c r="J47" i="25" s="1"/>
  <c r="D27" i="25"/>
  <c r="M27" i="25" s="1"/>
  <c r="D21" i="25"/>
  <c r="H21" i="25" s="1"/>
  <c r="M47" i="25"/>
  <c r="C171" i="25"/>
  <c r="C154" i="25"/>
  <c r="E160" i="25"/>
  <c r="E164" i="25"/>
  <c r="E163" i="25"/>
  <c r="E154" i="25"/>
  <c r="M133" i="25"/>
  <c r="E161" i="25"/>
  <c r="E150" i="25"/>
  <c r="E149" i="25"/>
  <c r="E157" i="25"/>
  <c r="E171" i="25"/>
  <c r="M170" i="25"/>
  <c r="C167" i="25"/>
  <c r="M140" i="25"/>
  <c r="M166" i="25"/>
  <c r="C55" i="13"/>
  <c r="B137" i="25" s="1"/>
  <c r="B173" i="25" s="1"/>
  <c r="D65" i="9"/>
  <c r="D66" i="9" s="1"/>
  <c r="E65" i="9"/>
  <c r="E66" i="9" s="1"/>
  <c r="C41" i="9"/>
  <c r="M127" i="25" l="1"/>
  <c r="M9" i="19"/>
  <c r="H130" i="25"/>
  <c r="M130" i="25"/>
  <c r="M2" i="19"/>
  <c r="C159" i="25"/>
  <c r="B159" i="25"/>
  <c r="M120" i="25"/>
  <c r="C172" i="25"/>
  <c r="J120" i="25"/>
  <c r="C173" i="25"/>
  <c r="C8" i="21"/>
  <c r="H51" i="25"/>
  <c r="M106" i="25"/>
  <c r="F19" i="22"/>
  <c r="F20" i="22"/>
  <c r="F24" i="22"/>
  <c r="F33" i="22"/>
  <c r="F17" i="22"/>
  <c r="F41" i="22"/>
  <c r="F26" i="22"/>
  <c r="F50" i="22"/>
  <c r="F38" i="22"/>
  <c r="F29" i="22"/>
  <c r="F37" i="22"/>
  <c r="F14" i="22"/>
  <c r="F9" i="22"/>
  <c r="H44" i="25"/>
  <c r="F28" i="22"/>
  <c r="F23" i="22"/>
  <c r="F4" i="22"/>
  <c r="F21" i="22"/>
  <c r="F36" i="22"/>
  <c r="F77" i="22"/>
  <c r="F54" i="22"/>
  <c r="F57" i="22"/>
  <c r="F40" i="22"/>
  <c r="F43" i="22"/>
  <c r="F66" i="22"/>
  <c r="F31" i="22"/>
  <c r="F39" i="22"/>
  <c r="F10" i="22"/>
  <c r="F44" i="22"/>
  <c r="B55" i="25"/>
  <c r="H55" i="25" s="1"/>
  <c r="C45" i="22"/>
  <c r="C111" i="4"/>
  <c r="F11" i="22"/>
  <c r="F7" i="22"/>
  <c r="F18" i="22"/>
  <c r="F12" i="22"/>
  <c r="F15" i="22"/>
  <c r="F25" i="22"/>
  <c r="H56" i="25"/>
  <c r="M63" i="25"/>
  <c r="F64" i="22"/>
  <c r="F13" i="22"/>
  <c r="H31" i="25"/>
  <c r="H18" i="25"/>
  <c r="M31" i="25"/>
  <c r="F72" i="22"/>
  <c r="F74" i="22"/>
  <c r="F59" i="22"/>
  <c r="F70" i="22"/>
  <c r="F73" i="22"/>
  <c r="F60" i="22"/>
  <c r="F63" i="22"/>
  <c r="K31" i="22"/>
  <c r="H53" i="25"/>
  <c r="M54" i="25"/>
  <c r="F56" i="22"/>
  <c r="F75" i="22"/>
  <c r="F88" i="22"/>
  <c r="C149" i="25"/>
  <c r="E4" i="21"/>
  <c r="C164" i="25"/>
  <c r="F53" i="22"/>
  <c r="M11" i="25"/>
  <c r="M136" i="25"/>
  <c r="E10" i="21"/>
  <c r="H119" i="25"/>
  <c r="B10" i="20"/>
  <c r="B123" i="25"/>
  <c r="J123" i="25" s="1"/>
  <c r="L111" i="25"/>
  <c r="E7" i="21"/>
  <c r="J112" i="25"/>
  <c r="M121" i="25"/>
  <c r="E8" i="21"/>
  <c r="H133" i="25"/>
  <c r="M119" i="25"/>
  <c r="J137" i="25"/>
  <c r="M8" i="19"/>
  <c r="M6" i="19"/>
  <c r="M5" i="19"/>
  <c r="F58" i="22"/>
  <c r="F51" i="22"/>
  <c r="F62" i="22"/>
  <c r="F65" i="22"/>
  <c r="F52" i="22"/>
  <c r="F55" i="22"/>
  <c r="F90" i="22"/>
  <c r="F67" i="22"/>
  <c r="F78" i="22"/>
  <c r="F68" i="22"/>
  <c r="F71" i="22"/>
  <c r="F85" i="22"/>
  <c r="F76" i="22"/>
  <c r="F79" i="22"/>
  <c r="F91" i="22"/>
  <c r="F22" i="22"/>
  <c r="F86" i="22"/>
  <c r="F61" i="22"/>
  <c r="F27" i="22"/>
  <c r="F30" i="22"/>
  <c r="F89" i="22"/>
  <c r="G91" i="22"/>
  <c r="G85" i="22"/>
  <c r="G73" i="22"/>
  <c r="G65" i="22"/>
  <c r="G57" i="22"/>
  <c r="G49" i="22"/>
  <c r="G45" i="22"/>
  <c r="H45" i="22" s="1"/>
  <c r="G37" i="22"/>
  <c r="G24" i="22"/>
  <c r="G88" i="22"/>
  <c r="G82" i="22"/>
  <c r="G78" i="22"/>
  <c r="G70" i="22"/>
  <c r="G62" i="22"/>
  <c r="G54" i="22"/>
  <c r="G42" i="22"/>
  <c r="G34" i="22"/>
  <c r="G29" i="22"/>
  <c r="G75" i="22"/>
  <c r="G67" i="22"/>
  <c r="G59" i="22"/>
  <c r="G51" i="22"/>
  <c r="G39" i="22"/>
  <c r="H39" i="22" s="1"/>
  <c r="G90" i="22"/>
  <c r="G87" i="22"/>
  <c r="G84" i="22"/>
  <c r="G80" i="22"/>
  <c r="H80" i="22" s="1"/>
  <c r="G72" i="22"/>
  <c r="G64" i="22"/>
  <c r="G56" i="22"/>
  <c r="G44" i="22"/>
  <c r="H44" i="22" s="1"/>
  <c r="G36" i="22"/>
  <c r="G31" i="22"/>
  <c r="G77" i="22"/>
  <c r="G69" i="22"/>
  <c r="G61" i="22"/>
  <c r="G53" i="22"/>
  <c r="G41" i="22"/>
  <c r="G89" i="22"/>
  <c r="G86" i="22"/>
  <c r="G79" i="22"/>
  <c r="G71" i="22"/>
  <c r="G63" i="22"/>
  <c r="G55" i="22"/>
  <c r="G47" i="22"/>
  <c r="G43" i="22"/>
  <c r="G92" i="22"/>
  <c r="H92" i="22" s="1"/>
  <c r="G40" i="22"/>
  <c r="G33" i="22"/>
  <c r="H33" i="22" s="1"/>
  <c r="G32" i="22"/>
  <c r="G25" i="22"/>
  <c r="G18" i="22"/>
  <c r="G10" i="22"/>
  <c r="G6" i="22"/>
  <c r="G27" i="22"/>
  <c r="H27" i="22" s="1"/>
  <c r="G22" i="22"/>
  <c r="G76" i="22"/>
  <c r="G60" i="22"/>
  <c r="G15" i="22"/>
  <c r="G7" i="22"/>
  <c r="G68" i="22"/>
  <c r="G20" i="22"/>
  <c r="G12" i="22"/>
  <c r="H12" i="22" s="1"/>
  <c r="G4" i="22"/>
  <c r="G66" i="22"/>
  <c r="G50" i="22"/>
  <c r="G38" i="22"/>
  <c r="G23" i="22"/>
  <c r="G17" i="22"/>
  <c r="G9" i="22"/>
  <c r="G52" i="22"/>
  <c r="G26" i="22"/>
  <c r="G19" i="22"/>
  <c r="H19" i="22" s="1"/>
  <c r="G11" i="22"/>
  <c r="G58" i="22"/>
  <c r="H58" i="22" s="1"/>
  <c r="G28" i="22"/>
  <c r="G14" i="22"/>
  <c r="G74" i="22"/>
  <c r="G35" i="22"/>
  <c r="H35" i="22" s="1"/>
  <c r="G30" i="22"/>
  <c r="G16" i="22"/>
  <c r="H16" i="22" s="1"/>
  <c r="G8" i="22"/>
  <c r="G5" i="22"/>
  <c r="G13" i="22"/>
  <c r="I2" i="22"/>
  <c r="G21" i="22"/>
  <c r="F87" i="22"/>
  <c r="F16" i="22"/>
  <c r="F69" i="22"/>
  <c r="F42" i="22"/>
  <c r="F49" i="22"/>
  <c r="F32" i="22"/>
  <c r="F35" i="22"/>
  <c r="N113" i="25"/>
  <c r="H113" i="25"/>
  <c r="N116" i="25"/>
  <c r="J116" i="25"/>
  <c r="J78" i="25"/>
  <c r="N22" i="25"/>
  <c r="H22" i="25"/>
  <c r="M22" i="25"/>
  <c r="J22" i="25"/>
  <c r="D145" i="25"/>
  <c r="G145" i="25" s="1"/>
  <c r="N79" i="25"/>
  <c r="H79" i="25"/>
  <c r="J79" i="25"/>
  <c r="N122" i="25"/>
  <c r="H122" i="25"/>
  <c r="D153" i="25"/>
  <c r="N153" i="25" s="1"/>
  <c r="N115" i="25"/>
  <c r="J115" i="25"/>
  <c r="D171" i="25"/>
  <c r="N171" i="25" s="1"/>
  <c r="N127" i="25"/>
  <c r="J127" i="25"/>
  <c r="J27" i="25"/>
  <c r="H107" i="25"/>
  <c r="H153" i="25"/>
  <c r="J133" i="25"/>
  <c r="J118" i="25"/>
  <c r="J122" i="25"/>
  <c r="J105" i="25"/>
  <c r="N62" i="25"/>
  <c r="J62" i="25"/>
  <c r="N69" i="25"/>
  <c r="J69" i="25"/>
  <c r="D152" i="25"/>
  <c r="H152" i="25" s="1"/>
  <c r="N114" i="25"/>
  <c r="H114" i="25"/>
  <c r="M113" i="25"/>
  <c r="M62" i="25"/>
  <c r="H136" i="25"/>
  <c r="M55" i="25"/>
  <c r="N64" i="25"/>
  <c r="H64" i="25"/>
  <c r="N9" i="25"/>
  <c r="M9" i="25"/>
  <c r="H9" i="25"/>
  <c r="N53" i="25"/>
  <c r="J53" i="25"/>
  <c r="D168" i="25"/>
  <c r="M168" i="25" s="1"/>
  <c r="N93" i="25"/>
  <c r="H93" i="25"/>
  <c r="J93" i="25"/>
  <c r="N130" i="25"/>
  <c r="D172" i="25"/>
  <c r="J130" i="25"/>
  <c r="N85" i="25"/>
  <c r="J85" i="25"/>
  <c r="H85" i="25"/>
  <c r="N52" i="25"/>
  <c r="H52" i="25"/>
  <c r="J52" i="25"/>
  <c r="N90" i="25"/>
  <c r="J90" i="25"/>
  <c r="H90" i="25"/>
  <c r="N131" i="25"/>
  <c r="J131" i="25"/>
  <c r="D160" i="25"/>
  <c r="N160" i="25" s="1"/>
  <c r="D164" i="25"/>
  <c r="N164" i="25" s="1"/>
  <c r="D163" i="25"/>
  <c r="N163" i="25" s="1"/>
  <c r="N123" i="25"/>
  <c r="N120" i="25"/>
  <c r="D162" i="25"/>
  <c r="H120" i="25"/>
  <c r="J9" i="25"/>
  <c r="H87" i="25"/>
  <c r="H105" i="25"/>
  <c r="C162" i="25"/>
  <c r="C148" i="25"/>
  <c r="H62" i="25"/>
  <c r="J119" i="25"/>
  <c r="N107" i="25"/>
  <c r="J107" i="25"/>
  <c r="D167" i="25"/>
  <c r="N167" i="25" s="1"/>
  <c r="N108" i="25"/>
  <c r="J108" i="25"/>
  <c r="M69" i="25"/>
  <c r="N121" i="25"/>
  <c r="D159" i="25"/>
  <c r="M159" i="25" s="1"/>
  <c r="H121" i="25"/>
  <c r="N70" i="25"/>
  <c r="J70" i="25"/>
  <c r="D143" i="25"/>
  <c r="E6" i="21" s="1"/>
  <c r="N94" i="25"/>
  <c r="H94" i="25"/>
  <c r="N132" i="25"/>
  <c r="H132" i="25"/>
  <c r="M94" i="25"/>
  <c r="M87" i="25"/>
  <c r="M118" i="25"/>
  <c r="M52" i="25"/>
  <c r="M105" i="25"/>
  <c r="J55" i="25"/>
  <c r="H59" i="25"/>
  <c r="J64" i="25"/>
  <c r="J31" i="25"/>
  <c r="N77" i="25"/>
  <c r="J77" i="25"/>
  <c r="H77" i="25"/>
  <c r="N48" i="25"/>
  <c r="J48" i="25"/>
  <c r="N18" i="25"/>
  <c r="J18" i="25"/>
  <c r="N134" i="25"/>
  <c r="H134" i="25"/>
  <c r="J134" i="25"/>
  <c r="H78" i="25"/>
  <c r="H69" i="25"/>
  <c r="M134" i="25"/>
  <c r="J121" i="25"/>
  <c r="M90" i="25"/>
  <c r="D142" i="25"/>
  <c r="N142" i="25" s="1"/>
  <c r="D141" i="25"/>
  <c r="J141" i="25" s="1"/>
  <c r="N27" i="25"/>
  <c r="N13" i="25"/>
  <c r="J13" i="25"/>
  <c r="H13" i="25"/>
  <c r="M13" i="25"/>
  <c r="N6" i="25"/>
  <c r="J6" i="25"/>
  <c r="N51" i="25"/>
  <c r="J51" i="25"/>
  <c r="N71" i="25"/>
  <c r="H71" i="25"/>
  <c r="N95" i="25"/>
  <c r="H95" i="25"/>
  <c r="J95" i="25"/>
  <c r="N91" i="25"/>
  <c r="H91" i="25"/>
  <c r="J91" i="25"/>
  <c r="N135" i="25"/>
  <c r="J135" i="25"/>
  <c r="H135" i="25"/>
  <c r="N129" i="25"/>
  <c r="H129" i="25"/>
  <c r="J129" i="25"/>
  <c r="M131" i="25"/>
  <c r="H6" i="25"/>
  <c r="H25" i="25"/>
  <c r="M44" i="25"/>
  <c r="H70" i="25"/>
  <c r="H115" i="25"/>
  <c r="M61" i="25"/>
  <c r="H118" i="25"/>
  <c r="M79" i="25"/>
  <c r="M112" i="25"/>
  <c r="J61" i="25"/>
  <c r="J11" i="25"/>
  <c r="J113" i="25"/>
  <c r="N128" i="25"/>
  <c r="J128" i="25"/>
  <c r="N41" i="25"/>
  <c r="J41" i="25"/>
  <c r="H116" i="25"/>
  <c r="H128" i="25"/>
  <c r="N12" i="25"/>
  <c r="M12" i="25"/>
  <c r="H12" i="25"/>
  <c r="H108" i="25"/>
  <c r="H11" i="25"/>
  <c r="H41" i="25"/>
  <c r="N47" i="25"/>
  <c r="H47" i="25"/>
  <c r="N56" i="25"/>
  <c r="J56" i="25"/>
  <c r="N26" i="25"/>
  <c r="H26" i="25"/>
  <c r="M26" i="25"/>
  <c r="N81" i="25"/>
  <c r="J81" i="25"/>
  <c r="N99" i="25"/>
  <c r="J99" i="25"/>
  <c r="H99" i="25"/>
  <c r="N137" i="25"/>
  <c r="D173" i="25"/>
  <c r="H137" i="25"/>
  <c r="C150" i="25"/>
  <c r="M6" i="25"/>
  <c r="M78" i="25"/>
  <c r="M70" i="25"/>
  <c r="H27" i="25"/>
  <c r="H61" i="25"/>
  <c r="J44" i="25"/>
  <c r="J132" i="25"/>
  <c r="J12" i="25"/>
  <c r="N25" i="25"/>
  <c r="J25" i="25"/>
  <c r="N14" i="25"/>
  <c r="H14" i="25"/>
  <c r="J14" i="25"/>
  <c r="M14" i="25"/>
  <c r="N117" i="25"/>
  <c r="D154" i="25"/>
  <c r="N154" i="25" s="1"/>
  <c r="J117" i="25"/>
  <c r="M77" i="25"/>
  <c r="N136" i="25"/>
  <c r="J136" i="25"/>
  <c r="M108" i="25"/>
  <c r="M117" i="25"/>
  <c r="N55" i="25"/>
  <c r="N63" i="25"/>
  <c r="J63" i="25"/>
  <c r="N38" i="25"/>
  <c r="M38" i="25"/>
  <c r="H38" i="25"/>
  <c r="J38" i="25"/>
  <c r="D151" i="25"/>
  <c r="N151" i="25" s="1"/>
  <c r="N112" i="25"/>
  <c r="D158" i="25"/>
  <c r="N158" i="25" s="1"/>
  <c r="D148" i="25"/>
  <c r="N148" i="25" s="1"/>
  <c r="N59" i="25"/>
  <c r="J59" i="25"/>
  <c r="N106" i="25"/>
  <c r="H106" i="25"/>
  <c r="N103" i="25"/>
  <c r="J103" i="25"/>
  <c r="D161" i="25"/>
  <c r="N161" i="25" s="1"/>
  <c r="D150" i="25"/>
  <c r="N150" i="25" s="1"/>
  <c r="D149" i="25"/>
  <c r="N149" i="25" s="1"/>
  <c r="N111" i="25"/>
  <c r="D157" i="25"/>
  <c r="N157" i="25" s="1"/>
  <c r="J111" i="25"/>
  <c r="J114" i="25"/>
  <c r="M71" i="25"/>
  <c r="M48" i="25"/>
  <c r="H54" i="25"/>
  <c r="C163" i="25"/>
  <c r="M81" i="25"/>
  <c r="M156" i="25"/>
  <c r="H103" i="25"/>
  <c r="J87" i="25"/>
  <c r="J54" i="25"/>
  <c r="J26" i="25"/>
  <c r="C57" i="13"/>
  <c r="C65" i="9"/>
  <c r="C66" i="9" s="1"/>
  <c r="M173" i="25" l="1"/>
  <c r="H173" i="25"/>
  <c r="J161" i="25"/>
  <c r="M153" i="25"/>
  <c r="H55" i="22"/>
  <c r="H50" i="22"/>
  <c r="H60" i="22"/>
  <c r="H71" i="22"/>
  <c r="H63" i="22"/>
  <c r="H66" i="22"/>
  <c r="H76" i="22"/>
  <c r="H79" i="22"/>
  <c r="H69" i="22"/>
  <c r="H52" i="22"/>
  <c r="H74" i="22"/>
  <c r="H31" i="22"/>
  <c r="H34" i="22"/>
  <c r="H24" i="22"/>
  <c r="H30" i="22"/>
  <c r="H26" i="22"/>
  <c r="H4" i="22"/>
  <c r="H22" i="22"/>
  <c r="H40" i="22"/>
  <c r="H36" i="22"/>
  <c r="H9" i="22"/>
  <c r="H41" i="22"/>
  <c r="H14" i="22"/>
  <c r="H17" i="22"/>
  <c r="H10" i="22"/>
  <c r="H43" i="22"/>
  <c r="H13" i="22"/>
  <c r="H28" i="22"/>
  <c r="H23" i="22"/>
  <c r="H7" i="22"/>
  <c r="H18" i="22"/>
  <c r="H6" i="22"/>
  <c r="H5" i="22"/>
  <c r="H38" i="22"/>
  <c r="H15" i="22"/>
  <c r="H25" i="22"/>
  <c r="D29" i="22"/>
  <c r="D22" i="22"/>
  <c r="D28" i="22"/>
  <c r="D23" i="22"/>
  <c r="D16" i="22"/>
  <c r="D24" i="22"/>
  <c r="D5" i="22"/>
  <c r="D35" i="22"/>
  <c r="D12" i="22"/>
  <c r="D31" i="22"/>
  <c r="D45" i="22"/>
  <c r="D21" i="22"/>
  <c r="D15" i="22"/>
  <c r="D38" i="22"/>
  <c r="D30" i="22"/>
  <c r="D10" i="22"/>
  <c r="D44" i="22"/>
  <c r="D4" i="22"/>
  <c r="D9" i="22"/>
  <c r="D41" i="22"/>
  <c r="D33" i="22"/>
  <c r="D32" i="22"/>
  <c r="D40" i="22"/>
  <c r="D26" i="22"/>
  <c r="D13" i="22"/>
  <c r="D8" i="22"/>
  <c r="D43" i="22"/>
  <c r="D14" i="22"/>
  <c r="D17" i="22"/>
  <c r="D42" i="22"/>
  <c r="D7" i="22"/>
  <c r="D25" i="22"/>
  <c r="D36" i="22"/>
  <c r="D27" i="22"/>
  <c r="D37" i="22"/>
  <c r="D34" i="22"/>
  <c r="D6" i="22"/>
  <c r="D20" i="22"/>
  <c r="D39" i="22"/>
  <c r="D18" i="22"/>
  <c r="D19" i="22"/>
  <c r="D11" i="22"/>
  <c r="H21" i="22"/>
  <c r="H20" i="22"/>
  <c r="J150" i="25"/>
  <c r="H8" i="22"/>
  <c r="H11" i="22"/>
  <c r="H32" i="22"/>
  <c r="H29" i="22"/>
  <c r="C4" i="21"/>
  <c r="B167" i="25"/>
  <c r="B143" i="25"/>
  <c r="C6" i="21" s="1"/>
  <c r="B168" i="25"/>
  <c r="H168" i="25" s="1"/>
  <c r="B162" i="25"/>
  <c r="B149" i="25"/>
  <c r="J149" i="25" s="1"/>
  <c r="H56" i="22"/>
  <c r="H51" i="22"/>
  <c r="H62" i="22"/>
  <c r="H49" i="22"/>
  <c r="J143" i="25"/>
  <c r="H142" i="25"/>
  <c r="M167" i="25"/>
  <c r="M142" i="25"/>
  <c r="M141" i="25"/>
  <c r="H61" i="22"/>
  <c r="H72" i="22"/>
  <c r="H67" i="22"/>
  <c r="H78" i="22"/>
  <c r="H65" i="22"/>
  <c r="G141" i="25"/>
  <c r="J151" i="25"/>
  <c r="H154" i="25"/>
  <c r="B164" i="25"/>
  <c r="B160" i="25"/>
  <c r="J160" i="25" s="1"/>
  <c r="B163" i="25"/>
  <c r="H163" i="25" s="1"/>
  <c r="J154" i="25"/>
  <c r="H10" i="20"/>
  <c r="B11" i="20"/>
  <c r="H11" i="20" s="1"/>
  <c r="J153" i="25"/>
  <c r="M152" i="25"/>
  <c r="M151" i="25"/>
  <c r="M154" i="25"/>
  <c r="H123" i="25"/>
  <c r="H161" i="25"/>
  <c r="J171" i="25"/>
  <c r="M161" i="25"/>
  <c r="I82" i="22"/>
  <c r="I75" i="22"/>
  <c r="I67" i="22"/>
  <c r="I59" i="22"/>
  <c r="I51" i="22"/>
  <c r="I39" i="22"/>
  <c r="I26" i="22"/>
  <c r="I90" i="22"/>
  <c r="I87" i="22"/>
  <c r="I84" i="22"/>
  <c r="I80" i="22"/>
  <c r="J80" i="22" s="1"/>
  <c r="L80" i="22" s="1"/>
  <c r="I72" i="22"/>
  <c r="I64" i="22"/>
  <c r="I56" i="22"/>
  <c r="I44" i="22"/>
  <c r="I36" i="22"/>
  <c r="I31" i="22"/>
  <c r="I77" i="22"/>
  <c r="I69" i="22"/>
  <c r="I61" i="22"/>
  <c r="I53" i="22"/>
  <c r="I41" i="22"/>
  <c r="I33" i="22"/>
  <c r="I92" i="22"/>
  <c r="J92" i="22" s="1"/>
  <c r="L92" i="22" s="1"/>
  <c r="I74" i="22"/>
  <c r="I66" i="22"/>
  <c r="I58" i="22"/>
  <c r="I50" i="22"/>
  <c r="I38" i="22"/>
  <c r="I89" i="22"/>
  <c r="I86" i="22"/>
  <c r="I79" i="22"/>
  <c r="I71" i="22"/>
  <c r="I63" i="22"/>
  <c r="J63" i="22" s="1"/>
  <c r="L63" i="22" s="1"/>
  <c r="I55" i="22"/>
  <c r="J55" i="22" s="1"/>
  <c r="L55" i="22" s="1"/>
  <c r="I43" i="22"/>
  <c r="I91" i="22"/>
  <c r="I85" i="22"/>
  <c r="N80" i="22"/>
  <c r="I73" i="22"/>
  <c r="J73" i="22" s="1"/>
  <c r="I65" i="22"/>
  <c r="J65" i="22" s="1"/>
  <c r="I57" i="22"/>
  <c r="J57" i="22" s="1"/>
  <c r="I49" i="22"/>
  <c r="J49" i="22" s="1"/>
  <c r="I45" i="22"/>
  <c r="J45" i="22" s="1"/>
  <c r="I76" i="22"/>
  <c r="J76" i="22" s="1"/>
  <c r="L76" i="22" s="1"/>
  <c r="I60" i="22"/>
  <c r="J60" i="22" s="1"/>
  <c r="L60" i="22" s="1"/>
  <c r="I47" i="22"/>
  <c r="I42" i="22"/>
  <c r="I24" i="22"/>
  <c r="I20" i="22"/>
  <c r="I12" i="22"/>
  <c r="I4" i="22"/>
  <c r="O80" i="22"/>
  <c r="O66" i="22"/>
  <c r="I37" i="22"/>
  <c r="I23" i="22"/>
  <c r="I17" i="22"/>
  <c r="I9" i="22"/>
  <c r="J9" i="22" s="1"/>
  <c r="I78" i="22"/>
  <c r="J78" i="22" s="1"/>
  <c r="I62" i="22"/>
  <c r="J62" i="22" s="1"/>
  <c r="L62" i="22" s="1"/>
  <c r="I28" i="22"/>
  <c r="I14" i="22"/>
  <c r="I6" i="22"/>
  <c r="I34" i="22"/>
  <c r="I27" i="22"/>
  <c r="I22" i="22"/>
  <c r="I19" i="22"/>
  <c r="I11" i="22"/>
  <c r="I8" i="22"/>
  <c r="I21" i="22"/>
  <c r="I13" i="22"/>
  <c r="I68" i="22"/>
  <c r="J68" i="22" s="1"/>
  <c r="I52" i="22"/>
  <c r="J52" i="22" s="1"/>
  <c r="L52" i="22" s="1"/>
  <c r="I35" i="22"/>
  <c r="I30" i="22"/>
  <c r="I29" i="22"/>
  <c r="I16" i="22"/>
  <c r="J16" i="22" s="1"/>
  <c r="I5" i="22"/>
  <c r="J5" i="22" s="1"/>
  <c r="I70" i="22"/>
  <c r="J70" i="22" s="1"/>
  <c r="I54" i="22"/>
  <c r="J54" i="22" s="1"/>
  <c r="I32" i="22"/>
  <c r="I25" i="22"/>
  <c r="I18" i="22"/>
  <c r="I10" i="22"/>
  <c r="I88" i="22"/>
  <c r="I15" i="22"/>
  <c r="J15" i="22" s="1"/>
  <c r="I7" i="22"/>
  <c r="I40" i="22"/>
  <c r="H68" i="22"/>
  <c r="H53" i="22"/>
  <c r="H64" i="22"/>
  <c r="H59" i="22"/>
  <c r="H70" i="22"/>
  <c r="H57" i="22"/>
  <c r="L57" i="22" s="1"/>
  <c r="H75" i="22"/>
  <c r="H73" i="22"/>
  <c r="H77" i="22"/>
  <c r="H84" i="22"/>
  <c r="H88" i="22"/>
  <c r="H85" i="22"/>
  <c r="H87" i="22"/>
  <c r="H91" i="22"/>
  <c r="H86" i="22"/>
  <c r="H90" i="22"/>
  <c r="H42" i="22"/>
  <c r="H37" i="22"/>
  <c r="H89" i="22"/>
  <c r="H54" i="22"/>
  <c r="N143" i="25"/>
  <c r="N172" i="25"/>
  <c r="J172" i="25"/>
  <c r="H171" i="25"/>
  <c r="M164" i="25"/>
  <c r="M145" i="25"/>
  <c r="M143" i="25"/>
  <c r="G161" i="25"/>
  <c r="M157" i="25"/>
  <c r="M171" i="25"/>
  <c r="J145" i="25"/>
  <c r="J158" i="25"/>
  <c r="N141" i="25"/>
  <c r="H141" i="25"/>
  <c r="M158" i="25"/>
  <c r="J148" i="25"/>
  <c r="M148" i="25"/>
  <c r="H148" i="25"/>
  <c r="H172" i="25"/>
  <c r="M160" i="25"/>
  <c r="N173" i="25"/>
  <c r="J173" i="25"/>
  <c r="J163" i="25"/>
  <c r="J142" i="25"/>
  <c r="N162" i="25"/>
  <c r="J162" i="25"/>
  <c r="M172" i="25"/>
  <c r="M163" i="25"/>
  <c r="N159" i="25"/>
  <c r="J159" i="25"/>
  <c r="G142" i="25"/>
  <c r="N168" i="25"/>
  <c r="J157" i="25"/>
  <c r="M162" i="25"/>
  <c r="H162" i="25"/>
  <c r="N145" i="25"/>
  <c r="H145" i="25"/>
  <c r="H151" i="25"/>
  <c r="M150" i="25"/>
  <c r="H150" i="25"/>
  <c r="N152" i="25"/>
  <c r="J152" i="25"/>
  <c r="M149" i="25"/>
  <c r="H149" i="25" l="1"/>
  <c r="H160" i="25"/>
  <c r="L49" i="22"/>
  <c r="J34" i="22"/>
  <c r="H143" i="25"/>
  <c r="L45" i="22"/>
  <c r="J88" i="22"/>
  <c r="L9" i="22"/>
  <c r="N55" i="22"/>
  <c r="L65" i="22"/>
  <c r="L15" i="22"/>
  <c r="L5" i="22"/>
  <c r="L34" i="22"/>
  <c r="J79" i="22"/>
  <c r="L79" i="22" s="1"/>
  <c r="J86" i="22"/>
  <c r="J168" i="25"/>
  <c r="L16" i="22"/>
  <c r="G143" i="25"/>
  <c r="J167" i="25"/>
  <c r="H167" i="25"/>
  <c r="L54" i="22"/>
  <c r="L78" i="22"/>
  <c r="L86" i="22"/>
  <c r="J89" i="22"/>
  <c r="L89" i="22" s="1"/>
  <c r="J91" i="22"/>
  <c r="N91" i="22" s="1"/>
  <c r="J50" i="22"/>
  <c r="J85" i="22"/>
  <c r="L85" i="22" s="1"/>
  <c r="L73" i="22"/>
  <c r="J77" i="22"/>
  <c r="L77" i="22" s="1"/>
  <c r="N86" i="22"/>
  <c r="J74" i="22"/>
  <c r="J10" i="22"/>
  <c r="L10" i="22" s="1"/>
  <c r="J21" i="22"/>
  <c r="L21" i="22" s="1"/>
  <c r="J43" i="22"/>
  <c r="J90" i="22"/>
  <c r="L70" i="22"/>
  <c r="J18" i="22"/>
  <c r="L18" i="22" s="1"/>
  <c r="J29" i="22"/>
  <c r="L29" i="22" s="1"/>
  <c r="J8" i="22"/>
  <c r="L8" i="22" s="1"/>
  <c r="J6" i="22"/>
  <c r="J58" i="22"/>
  <c r="O45" i="22"/>
  <c r="N34" i="22"/>
  <c r="L88" i="22"/>
  <c r="N5" i="22"/>
  <c r="J25" i="22"/>
  <c r="L25" i="22" s="1"/>
  <c r="J30" i="22"/>
  <c r="L30" i="22" s="1"/>
  <c r="J11" i="22"/>
  <c r="L11" i="22" s="1"/>
  <c r="J14" i="22"/>
  <c r="L14" i="22" s="1"/>
  <c r="J24" i="22"/>
  <c r="N62" i="22"/>
  <c r="J53" i="22"/>
  <c r="N53" i="22" s="1"/>
  <c r="J56" i="22"/>
  <c r="J13" i="22"/>
  <c r="J17" i="22"/>
  <c r="L17" i="22" s="1"/>
  <c r="N76" i="22"/>
  <c r="J40" i="22"/>
  <c r="L40" i="22" s="1"/>
  <c r="J32" i="22"/>
  <c r="L32" i="22" s="1"/>
  <c r="J35" i="22"/>
  <c r="L35" i="22" s="1"/>
  <c r="J19" i="22"/>
  <c r="J28" i="22"/>
  <c r="J42" i="22"/>
  <c r="J71" i="22"/>
  <c r="L71" i="22" s="1"/>
  <c r="J66" i="22"/>
  <c r="L66" i="22" s="1"/>
  <c r="J61" i="22"/>
  <c r="J64" i="22"/>
  <c r="N64" i="22" s="1"/>
  <c r="J4" i="22"/>
  <c r="L4" i="22" s="1"/>
  <c r="L53" i="22"/>
  <c r="J7" i="22"/>
  <c r="N70" i="22"/>
  <c r="J69" i="22"/>
  <c r="L69" i="22" s="1"/>
  <c r="J59" i="22"/>
  <c r="L59" i="22" s="1"/>
  <c r="L68" i="22"/>
  <c r="J27" i="22"/>
  <c r="L27" i="22" s="1"/>
  <c r="J67" i="22"/>
  <c r="L67" i="22" s="1"/>
  <c r="J84" i="22"/>
  <c r="L84" i="22" s="1"/>
  <c r="H164" i="25"/>
  <c r="J164" i="25"/>
  <c r="N11" i="22"/>
  <c r="N15" i="22"/>
  <c r="J41" i="22"/>
  <c r="N73" i="22"/>
  <c r="J44" i="22"/>
  <c r="J87" i="22"/>
  <c r="L87" i="22" s="1"/>
  <c r="N63" i="22"/>
  <c r="N9" i="22"/>
  <c r="J22" i="22"/>
  <c r="J23" i="22"/>
  <c r="N49" i="22"/>
  <c r="N60" i="22"/>
  <c r="J26" i="22"/>
  <c r="N71" i="22"/>
  <c r="N52" i="22"/>
  <c r="J37" i="22"/>
  <c r="N37" i="22" s="1"/>
  <c r="J12" i="22"/>
  <c r="N69" i="22"/>
  <c r="J38" i="22"/>
  <c r="N78" i="22"/>
  <c r="N30" i="22"/>
  <c r="J75" i="22"/>
  <c r="N75" i="22" s="1"/>
  <c r="O79" i="22"/>
  <c r="N17" i="22"/>
  <c r="N16" i="22"/>
  <c r="N88" i="22"/>
  <c r="N57" i="22"/>
  <c r="J31" i="22"/>
  <c r="N68" i="22"/>
  <c r="J20" i="22"/>
  <c r="N54" i="22"/>
  <c r="J72" i="22"/>
  <c r="J39" i="22"/>
  <c r="O92" i="22"/>
  <c r="J33" i="22"/>
  <c r="N65" i="22"/>
  <c r="J36" i="22"/>
  <c r="J51" i="22"/>
  <c r="N29" i="22" l="1"/>
  <c r="N84" i="22"/>
  <c r="N89" i="22"/>
  <c r="N10" i="22"/>
  <c r="N8" i="22"/>
  <c r="N25" i="22"/>
  <c r="O18" i="22"/>
  <c r="N32" i="22"/>
  <c r="N77" i="22"/>
  <c r="N21" i="22"/>
  <c r="L50" i="22"/>
  <c r="N50" i="22"/>
  <c r="N35" i="22"/>
  <c r="L37" i="22"/>
  <c r="N4" i="22"/>
  <c r="L74" i="22"/>
  <c r="N74" i="22"/>
  <c r="L91" i="22"/>
  <c r="N59" i="22"/>
  <c r="L64" i="22"/>
  <c r="L58" i="22"/>
  <c r="N58" i="22"/>
  <c r="L43" i="22"/>
  <c r="N43" i="22"/>
  <c r="L42" i="22"/>
  <c r="N42" i="22"/>
  <c r="L6" i="22"/>
  <c r="N6" i="22"/>
  <c r="L61" i="22"/>
  <c r="N61" i="22"/>
  <c r="L24" i="22"/>
  <c r="N24" i="22"/>
  <c r="L75" i="22"/>
  <c r="N27" i="22"/>
  <c r="N67" i="22"/>
  <c r="N7" i="22"/>
  <c r="L7" i="22"/>
  <c r="L28" i="22"/>
  <c r="N28" i="22"/>
  <c r="L13" i="22"/>
  <c r="N13" i="22"/>
  <c r="L19" i="22"/>
  <c r="N19" i="22"/>
  <c r="L56" i="22"/>
  <c r="N56" i="22"/>
  <c r="L90" i="22"/>
  <c r="N90" i="22"/>
  <c r="N14" i="22"/>
  <c r="N40" i="22"/>
  <c r="N23" i="22"/>
  <c r="L23" i="22"/>
  <c r="L36" i="22"/>
  <c r="N36" i="22"/>
  <c r="N33" i="22"/>
  <c r="L33" i="22"/>
  <c r="L20" i="22"/>
  <c r="N20" i="22"/>
  <c r="L72" i="22"/>
  <c r="N72" i="22"/>
  <c r="N31" i="22"/>
  <c r="L31" i="22"/>
  <c r="L22" i="22"/>
  <c r="N22" i="22"/>
  <c r="L41" i="22"/>
  <c r="N41" i="22"/>
  <c r="L44" i="22"/>
  <c r="O44" i="22"/>
  <c r="L39" i="22"/>
  <c r="N39" i="22"/>
  <c r="L38" i="22"/>
  <c r="N38" i="22"/>
  <c r="L51" i="22"/>
  <c r="N51" i="22"/>
  <c r="N12" i="22"/>
  <c r="L12" i="22"/>
  <c r="L26" i="22"/>
  <c r="N26" i="22"/>
</calcChain>
</file>

<file path=xl/sharedStrings.xml><?xml version="1.0" encoding="utf-8"?>
<sst xmlns="http://schemas.openxmlformats.org/spreadsheetml/2006/main" count="1134" uniqueCount="843">
  <si>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</si>
  <si>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</si>
  <si>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</si>
  <si>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</si>
  <si>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</si>
  <si>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</si>
  <si>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</si>
  <si>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</si>
  <si>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</si>
  <si>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</si>
  <si>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</si>
  <si>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</si>
  <si>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</si>
  <si>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</si>
  <si>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</si>
  <si>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</si>
  <si>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</si>
  <si>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</si>
  <si>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</si>
  <si>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</si>
  <si>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</si>
  <si>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</si>
  <si>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</si>
  <si>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</si>
  <si>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</si>
  <si>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</si>
  <si>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</si>
  <si>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</si>
  <si>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</si>
  <si>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</si>
  <si>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</si>
  <si>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</si>
  <si>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</si>
  <si>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</si>
  <si>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</si>
  <si>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</si>
  <si>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</si>
  <si>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</si>
  <si>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</si>
  <si>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</si>
  <si>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</si>
  <si>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</si>
  <si>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</si>
  <si>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</si>
  <si>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</si>
  <si>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</si>
  <si>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</si>
  <si>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</si>
  <si>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</si>
  <si>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</si>
  <si>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</si>
  <si>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</si>
  <si>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</si>
  <si>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</si>
  <si>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</si>
  <si>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</si>
  <si>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</si>
  <si>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</si>
  <si>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</si>
  <si>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</si>
  <si>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</si>
  <si>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</si>
  <si>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</si>
  <si>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</si>
  <si>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</si>
  <si>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</si>
  <si>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</si>
  <si>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</si>
  <si>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</si>
  <si>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</si>
  <si>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</si>
  <si>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</si>
  <si>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</si>
  <si>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</si>
  <si>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</si>
  <si>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</si>
  <si>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</si>
  <si>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</si>
  <si>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</si>
  <si>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</si>
  <si>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</si>
  <si>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</si>
  <si>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</si>
  <si>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</si>
  <si>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</si>
  <si>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</si>
  <si>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</si>
  <si>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</si>
  <si>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</si>
  <si>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</si>
  <si>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</si>
  <si>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</si>
  <si>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</si>
  <si>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</si>
  <si>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</si>
  <si>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</si>
  <si>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</si>
  <si>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</si>
  <si>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</si>
  <si>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</si>
  <si>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</si>
  <si>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</si>
  <si>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</si>
  <si>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</si>
  <si>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</si>
  <si>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</si>
  <si>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</si>
  <si>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</si>
  <si>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</si>
  <si>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</si>
  <si>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</si>
  <si>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</si>
  <si>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</si>
  <si>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</si>
  <si>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</si>
  <si>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</si>
  <si>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</si>
  <si>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</si>
  <si>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</si>
  <si>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</si>
  <si>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</si>
  <si>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</si>
  <si>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</si>
  <si>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</si>
  <si>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</si>
  <si>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</si>
  <si>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</si>
  <si>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</si>
  <si>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</si>
  <si>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</si>
  <si>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</si>
  <si>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</si>
  <si>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</si>
  <si>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</si>
  <si>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</si>
  <si>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</si>
  <si>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</si>
  <si>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</si>
  <si>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</si>
  <si>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</si>
  <si>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</si>
  <si>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</si>
  <si>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</si>
  <si>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</si>
  <si>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</si>
  <si>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</si>
  <si>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</si>
  <si>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</si>
  <si>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</si>
  <si>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</si>
  <si>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</si>
  <si>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</si>
  <si>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</si>
  <si>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</si>
  <si>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</si>
  <si>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</si>
  <si>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</si>
  <si>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</si>
  <si>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</si>
  <si>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</si>
  <si>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</si>
  <si>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</si>
  <si>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</si>
  <si>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</si>
  <si>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</si>
  <si>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</si>
  <si>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</si>
  <si>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</si>
  <si>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</si>
  <si>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</si>
  <si>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</si>
  <si>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</si>
  <si>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</si>
  <si>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</si>
  <si>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</si>
  <si>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</si>
  <si>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</si>
  <si>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</si>
  <si>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</si>
  <si>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</si>
  <si>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</si>
  <si>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</si>
  <si>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</si>
  <si>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</si>
  <si>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</si>
  <si>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</si>
  <si>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</si>
  <si>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</si>
  <si>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</si>
  <si>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</si>
  <si>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</si>
  <si>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</si>
  <si>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</si>
  <si>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</si>
  <si>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</si>
  <si>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</si>
  <si>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</si>
  <si>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</si>
  <si>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</si>
  <si>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</si>
  <si>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</si>
  <si>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</si>
  <si>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</si>
  <si>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</si>
  <si>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</si>
  <si>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</si>
  <si>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</si>
  <si>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</si>
  <si>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</si>
  <si>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</si>
  <si>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</si>
  <si>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</si>
  <si>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</si>
  <si>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</si>
  <si>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</si>
  <si>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</si>
  <si>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</si>
  <si>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</si>
  <si>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</si>
  <si>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</si>
  <si>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</si>
  <si>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</si>
  <si>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</si>
  <si>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</si>
  <si>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</si>
  <si>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</si>
  <si>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</si>
  <si>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</si>
  <si>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</si>
  <si>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</si>
  <si>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</si>
  <si>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</si>
  <si>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</si>
  <si>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</si>
  <si>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</si>
  <si>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</si>
  <si>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</si>
  <si>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</si>
  <si>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</si>
  <si>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</si>
  <si>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</si>
  <si>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</si>
  <si>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</si>
  <si>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</si>
  <si>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</si>
  <si>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</si>
  <si>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</si>
  <si>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</si>
  <si>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</si>
  <si>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</si>
  <si>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</si>
  <si>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</si>
  <si>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</si>
  <si>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</si>
  <si>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</si>
  <si>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</si>
  <si>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</si>
  <si>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</si>
  <si>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</si>
  <si>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</si>
  <si>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</si>
  <si>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</si>
  <si>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</si>
  <si>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</si>
  <si>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</si>
  <si>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</si>
  <si>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</si>
  <si>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</si>
  <si>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</si>
  <si>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</si>
  <si>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</si>
  <si>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</si>
  <si>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</si>
  <si>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</si>
  <si>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</si>
  <si>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</si>
  <si>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</si>
  <si>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</si>
  <si>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</si>
  <si>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</si>
  <si>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</si>
  <si>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</si>
  <si>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</si>
  <si>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</si>
  <si>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</si>
  <si>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</si>
  <si>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</si>
  <si>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</si>
  <si>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</si>
  <si>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</si>
  <si>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</si>
  <si>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</si>
  <si>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</si>
  <si>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</si>
  <si>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</si>
  <si>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</si>
  <si>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</si>
  <si>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</si>
  <si>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</si>
  <si>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</si>
  <si>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</si>
  <si>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</si>
  <si>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</si>
  <si>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</si>
  <si>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</si>
  <si>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</si>
  <si>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</si>
  <si>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</si>
  <si>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</si>
  <si>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</si>
  <si>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</si>
  <si>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</si>
  <si>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</si>
  <si>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</si>
  <si>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</si>
  <si>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</si>
  <si>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</si>
  <si>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</si>
  <si>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</si>
  <si>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</si>
  <si>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</si>
  <si>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</si>
  <si>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</si>
  <si>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</si>
  <si>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</si>
  <si>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</si>
  <si>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</si>
  <si>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</si>
  <si>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</si>
  <si>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</si>
  <si>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</si>
  <si>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</si>
  <si>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</si>
  <si>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</si>
  <si>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</si>
  <si>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</si>
  <si>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</si>
  <si>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</si>
  <si>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</si>
  <si>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</si>
  <si>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</si>
  <si>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</si>
  <si>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</si>
  <si>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</si>
  <si>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</si>
  <si>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</si>
  <si>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</si>
  <si>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</si>
  <si>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</si>
  <si>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</si>
  <si>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</si>
  <si>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</si>
  <si>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</si>
  <si>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</si>
  <si>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</si>
  <si>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</si>
  <si>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</si>
  <si>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</si>
  <si>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</si>
  <si>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</si>
  <si>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</si>
  <si>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</si>
  <si>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</si>
  <si>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</si>
  <si>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</si>
  <si>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</si>
  <si>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</si>
  <si>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</si>
  <si>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</si>
  <si>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</si>
  <si>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</si>
  <si>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</si>
  <si>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</si>
  <si>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</si>
  <si>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</si>
  <si>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</si>
  <si>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</si>
  <si>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</si>
  <si>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</si>
  <si>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</si>
  <si>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</si>
  <si>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</si>
  <si>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</si>
  <si>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</si>
  <si>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</si>
  <si>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</si>
  <si>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</si>
  <si>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</si>
  <si>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</si>
  <si>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</si>
  <si>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</si>
  <si>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</si>
  <si>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</si>
  <si>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</si>
  <si>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</si>
  <si>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</si>
  <si>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</si>
  <si>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</si>
  <si>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</si>
  <si>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</si>
  <si>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</si>
  <si>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</si>
  <si>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</si>
  <si>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</si>
  <si>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</si>
  <si>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</si>
  <si>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</si>
  <si>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</si>
  <si>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</si>
  <si>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</si>
  <si>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</si>
  <si>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</si>
  <si>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</si>
  <si>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</si>
  <si>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</si>
  <si>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</si>
  <si>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</si>
  <si>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</si>
  <si>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</si>
  <si>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</si>
  <si>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</si>
  <si>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</si>
  <si>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</si>
  <si>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</si>
  <si>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</si>
  <si>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</si>
  <si>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</si>
  <si>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</si>
  <si>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</si>
  <si>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</si>
  <si>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</si>
  <si>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</si>
  <si>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</si>
  <si>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</si>
  <si>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</si>
  <si>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</si>
  <si>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</si>
  <si>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</si>
  <si>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</si>
  <si>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</si>
  <si>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</si>
  <si>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</si>
  <si>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</si>
  <si>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</si>
  <si>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</si>
  <si>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</si>
  <si>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</si>
  <si>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</si>
  <si>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</si>
  <si>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</si>
  <si>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</si>
  <si>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</si>
  <si>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</si>
  <si>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</si>
  <si>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</si>
  <si>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</si>
  <si>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</si>
  <si>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</si>
  <si>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</si>
  <si>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</si>
  <si>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</si>
  <si>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</si>
  <si>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</si>
  <si>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</si>
  <si>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</si>
  <si>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</si>
  <si>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</si>
  <si>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</si>
  <si>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</si>
  <si>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</si>
  <si>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</si>
  <si>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</si>
  <si>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</si>
  <si>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</si>
  <si>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</si>
  <si>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</si>
  <si>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</si>
  <si>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</si>
  <si>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</si>
  <si>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</si>
  <si>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</si>
  <si>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</si>
  <si>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</si>
  <si>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</si>
  <si>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</si>
  <si>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</si>
  <si>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</si>
  <si>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</si>
  <si>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</si>
  <si>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</si>
  <si>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</si>
  <si>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</si>
  <si>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</si>
  <si>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</si>
  <si>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</si>
  <si>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</si>
  <si>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</si>
  <si>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</si>
  <si>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</si>
  <si>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</si>
  <si>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</si>
  <si>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</si>
  <si>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</si>
  <si>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</si>
  <si>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</si>
  <si>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</si>
  <si>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</si>
  <si>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</si>
  <si>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</si>
  <si>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</si>
  <si>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</si>
  <si>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</si>
  <si>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</si>
  <si>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</si>
  <si>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</si>
  <si>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</si>
  <si>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</si>
  <si>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</si>
  <si>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</si>
  <si>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</si>
  <si>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</si>
  <si>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</si>
  <si>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</si>
  <si>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</si>
  <si>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</si>
  <si>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</si>
  <si>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</si>
  <si>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项目</t>
  </si>
  <si>
    <t>（合并）</t>
  </si>
  <si>
    <t>资产负债表</t>
  </si>
  <si>
    <t>筛选列，4个报表全都不为0</t>
  </si>
  <si>
    <t>同比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</si>
  <si>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</si>
  <si>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</si>
  <si>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</si>
  <si>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</si>
  <si>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</si>
  <si>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</si>
  <si>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</si>
  <si>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</si>
  <si>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</si>
  <si>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</si>
  <si>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</si>
  <si>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</si>
  <si>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</si>
  <si>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</si>
  <si>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</si>
  <si>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</si>
  <si>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</si>
  <si>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</si>
  <si>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</si>
  <si>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</si>
  <si>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</si>
  <si>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</si>
  <si>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</si>
  <si>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</si>
  <si>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</si>
  <si>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</si>
  <si>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</si>
  <si>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</si>
  <si>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</si>
  <si>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</si>
  <si>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</si>
  <si>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</si>
  <si>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</si>
  <si>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</si>
  <si>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</si>
  <si>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</si>
  <si>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</si>
  <si>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</si>
  <si>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</si>
  <si>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</si>
  <si>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</si>
  <si>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</si>
  <si>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</si>
  <si>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</si>
  <si>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</si>
  <si>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</si>
  <si>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</si>
  <si>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</si>
  <si>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</si>
  <si>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</si>
  <si>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</si>
  <si>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</si>
  <si>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</si>
  <si>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</si>
  <si>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</si>
  <si>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</si>
  <si>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</si>
  <si>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</si>
  <si>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</si>
  <si>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</si>
  <si>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</si>
  <si>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</si>
  <si>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</si>
  <si>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</si>
  <si>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</si>
  <si>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</si>
  <si>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</si>
  <si>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</si>
  <si>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</si>
  <si>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</si>
  <si>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</si>
  <si>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</si>
  <si>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</si>
  <si>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</si>
  <si>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</si>
  <si>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</si>
  <si>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</si>
  <si>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</si>
  <si>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</si>
  <si>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</si>
  <si>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</si>
  <si>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</si>
  <si>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</si>
  <si>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</si>
  <si>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</si>
  <si>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</si>
  <si>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</si>
  <si>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</si>
  <si>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</si>
  <si>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</si>
  <si>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</si>
  <si>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</si>
  <si>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</si>
  <si>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</si>
  <si>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</si>
  <si>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</si>
  <si>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</si>
  <si>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</si>
  <si>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</si>
  <si>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</si>
  <si>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</si>
  <si>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</si>
  <si>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</si>
  <si>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</si>
  <si>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</si>
  <si>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</si>
  <si>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</si>
  <si>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</si>
  <si>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</si>
  <si>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</si>
  <si>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</si>
  <si>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</si>
  <si>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</si>
  <si>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</si>
  <si>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</si>
  <si>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</si>
  <si>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</si>
  <si>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</si>
  <si>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</si>
  <si>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</si>
  <si>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</si>
  <si>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</si>
  <si>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</si>
  <si>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</si>
  <si>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</si>
  <si>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</si>
  <si>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</si>
  <si>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</si>
  <si>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</si>
  <si>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</si>
  <si>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</si>
  <si>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</si>
  <si>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</si>
  <si>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</si>
  <si>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</si>
  <si>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</si>
  <si>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</si>
  <si>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</si>
  <si>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</si>
  <si>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</si>
  <si>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</si>
  <si>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</si>
  <si>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</si>
  <si>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</si>
  <si>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</si>
  <si>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</si>
  <si>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</si>
  <si>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</si>
  <si>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</si>
  <si>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</si>
  <si>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</si>
  <si>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</si>
  <si>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</si>
  <si>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</si>
  <si>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</si>
  <si>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</si>
  <si>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</si>
  <si>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</si>
  <si>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</si>
  <si>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</si>
  <si>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</si>
  <si>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</si>
  <si>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</si>
  <si>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</si>
  <si>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</si>
  <si>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</si>
  <si>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</si>
  <si>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</si>
  <si>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</si>
  <si>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</si>
  <si>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</si>
  <si>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</si>
  <si>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</si>
  <si>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</si>
  <si>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</si>
  <si>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</si>
  <si>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</si>
  <si>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</si>
  <si>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</si>
  <si>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</si>
  <si>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拟承租人</t>
  </si>
  <si>
    <t>拟担保人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</si>
  <si>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</si>
  <si>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</si>
  <si>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</si>
  <si>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</si>
  <si>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</si>
  <si>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</si>
  <si>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</si>
  <si>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</si>
  <si>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</si>
  <si>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</si>
  <si>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</si>
  <si>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</si>
  <si>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</si>
  <si>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</si>
  <si>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</si>
  <si>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</si>
  <si>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</si>
  <si>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</si>
  <si>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</si>
  <si>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</si>
  <si>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</si>
  <si>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</si>
  <si>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</si>
  <si>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</si>
  <si>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</si>
  <si>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</si>
  <si>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</si>
  <si>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</si>
  <si>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</si>
  <si>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</si>
  <si>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</si>
  <si>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</si>
  <si>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</si>
  <si>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</si>
  <si>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</si>
  <si>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</si>
  <si>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</si>
  <si>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</si>
  <si>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</si>
  <si>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</si>
  <si>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</si>
  <si>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</si>
  <si>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</si>
  <si>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</si>
  <si>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</si>
  <si>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</si>
  <si>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</si>
  <si>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</si>
  <si>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</si>
  <si>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</si>
  <si>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</si>
  <si>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</si>
  <si>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</si>
  <si>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</si>
  <si>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</si>
  <si>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</si>
  <si>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</si>
  <si>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</si>
  <si>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</si>
  <si>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</si>
  <si>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</si>
  <si>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</si>
  <si>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</si>
  <si>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</si>
  <si>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</si>
  <si>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</si>
  <si>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</si>
  <si>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</si>
  <si>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</si>
  <si>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</si>
  <si>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</si>
  <si>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</si>
  <si>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</si>
  <si>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</si>
  <si>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</si>
  <si>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</si>
  <si>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</si>
  <si>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</si>
  <si>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</si>
  <si>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</si>
  <si>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</si>
  <si>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</si>
  <si>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</si>
  <si>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</si>
  <si>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</si>
  <si>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</si>
  <si>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</si>
  <si>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</si>
  <si>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</si>
  <si>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</si>
  <si>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</si>
  <si>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</si>
  <si>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</si>
  <si>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</si>
  <si>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</si>
  <si>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</si>
  <si>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</si>
  <si>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</si>
  <si>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</si>
  <si>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</si>
  <si>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</si>
  <si>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</si>
  <si>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</si>
  <si>
    <t>2024.12</t>
    <phoneticPr fontId="49" type="noConversion"/>
  </si>
  <si>
    <t>总资产</t>
    <phoneticPr fontId="49" type="noConversion"/>
  </si>
  <si>
    <t>总负债</t>
    <phoneticPr fontId="49" type="noConversion"/>
  </si>
  <si>
    <t>总资产情况</t>
    <phoneticPr fontId="49" type="noConversion"/>
  </si>
  <si>
    <t>流动资产总体情况</t>
    <phoneticPr fontId="49" type="noConversion"/>
  </si>
  <si>
    <t>占比大于2%的科目分析</t>
    <phoneticPr fontId="49" type="noConversion"/>
  </si>
  <si>
    <t>非流动资产总体情况</t>
    <phoneticPr fontId="49" type="noConversion"/>
  </si>
  <si>
    <t>总负债</t>
    <phoneticPr fontId="49" type="noConversion"/>
  </si>
  <si>
    <t>固定资产</t>
    <phoneticPr fontId="49" type="noConversion"/>
  </si>
  <si>
    <t>固定资产净额</t>
  </si>
  <si>
    <t>无形资产</t>
  </si>
  <si>
    <t>长期待摊费用</t>
  </si>
  <si>
    <t>递延所得税资产</t>
  </si>
  <si>
    <t>其他非流动资产</t>
  </si>
  <si>
    <t>应付账款</t>
  </si>
  <si>
    <t>合同负债</t>
  </si>
  <si>
    <t>应付职工薪酬</t>
  </si>
  <si>
    <t>一年内到期的非流动负债</t>
  </si>
  <si>
    <t>预计负债</t>
  </si>
  <si>
    <t>递延收益</t>
  </si>
  <si>
    <t>所有者权益（或股东权益）合计</t>
  </si>
  <si>
    <t>净资产</t>
    <phoneticPr fontId="49" type="noConversion"/>
  </si>
  <si>
    <t>营业总收入</t>
    <phoneticPr fontId="49" type="noConversion"/>
  </si>
  <si>
    <t>刚性债务=短期借款+应付票据+一年内到期的长期借款+应付短期融资券+长期借款+应付债券+其他具期债务</t>
    <phoneticPr fontId="49" type="noConversion"/>
  </si>
  <si>
    <t>盈利能力分析</t>
    <phoneticPr fontId="49" type="noConversion"/>
  </si>
  <si>
    <t>长期股权投资</t>
    <phoneticPr fontId="4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</si>
</sst>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 * #,##0.00_ ;_ * \-#,##0.00_ ;_ * &quot;-&quot;??_ ;_ @_ "/>
    <numFmt numFmtId="176" formatCode="_(* #,##0.00_);_(* \(#,##0.00\);_(* &quot;-&quot;??_);_(@_)"/>
    <numFmt numFmtId="177" formatCode="0&quot;.&quot;00,,&quot;亿&quot;"/>
    <numFmt numFmtId="178" formatCode="yyyy&quot;年&quot;m&quot;月&quot;;@"/>
    <numFmt numFmtId="179" formatCode="#,##0.00_ "/>
    <numFmt numFmtId="180" formatCode="0_);[Red]\(0\)"/>
    <numFmt numFmtId="181" formatCode="yyyy/m/d;@"/>
    <numFmt numFmtId="182" formatCode="yyyy&quot;年&quot;mm&quot;月&quot;;@"/>
    <numFmt numFmtId="183" formatCode="yyyy&quot;年&quot;;@"/>
    <numFmt numFmtId="184" formatCode="0.00_);[Red]\(0.00\)"/>
    <numFmt numFmtId="185" formatCode="#,##0_ "/>
    <numFmt numFmtId="186" formatCode="0.00_ "/>
    <numFmt numFmtId="187" formatCode="#,##0.00_);[Red]\(#,##0.00\)"/>
    <numFmt numFmtId="188" formatCode="###,##0.00"/>
    <numFmt numFmtId="189" formatCode="###,##0"/>
  </numFmts>
  <fonts count="51">
    <font>
      <sz val="10"/>
      <name val="Arial"/>
      <charset val="134"/>
    </font>
    <font>
      <b/>
      <sz val="11"/>
      <color indexed="9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12"/>
      <color rgb="FF000000"/>
      <name val="仿宋"/>
      <family val="3"/>
      <charset val="134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sz val="9"/>
      <color rgb="FF000000"/>
      <name val="Dialog.plain"/>
      <family val="1"/>
    </font>
    <font>
      <b/>
      <sz val="9"/>
      <color indexed="8"/>
      <name val="Dialog.plain"/>
      <family val="1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9"/>
      <name val="Arial"/>
      <family val="2"/>
    </font>
    <font>
      <sz val="10"/>
      <name val="等线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3754081850645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6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0" fillId="0" borderId="0">
      <alignment vertical="center"/>
    </xf>
  </cellStyleXfs>
  <cellXfs count="199">
    <xf numFmtId="0" fontId="0" fillId="0" borderId="0" xfId="0"/>
    <xf numFmtId="0" fontId="1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0" borderId="4" xfId="0" applyNumberFormat="1" applyFont="1" applyBorder="1" applyAlignment="1">
      <alignment vertical="center"/>
    </xf>
    <xf numFmtId="1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9" fontId="3" fillId="0" borderId="4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justify" wrapText="1"/>
    </xf>
    <xf numFmtId="0" fontId="4" fillId="3" borderId="4" xfId="0" applyFont="1" applyFill="1" applyBorder="1" applyAlignment="1">
      <alignment horizontal="right" wrapText="1"/>
    </xf>
    <xf numFmtId="0" fontId="5" fillId="0" borderId="4" xfId="0" applyFont="1" applyBorder="1" applyAlignment="1">
      <alignment horizontal="justify" wrapText="1"/>
    </xf>
    <xf numFmtId="14" fontId="5" fillId="0" borderId="4" xfId="0" applyNumberFormat="1" applyFont="1" applyBorder="1" applyAlignment="1">
      <alignment horizontal="justify" wrapText="1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0" applyNumberFormat="1" applyFont="1" applyBorder="1" applyAlignment="1">
      <alignment horizontal="right" wrapText="1"/>
    </xf>
    <xf numFmtId="180" fontId="5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/>
    <xf numFmtId="0" fontId="0" fillId="0" borderId="4" xfId="0" applyBorder="1"/>
    <xf numFmtId="179" fontId="0" fillId="0" borderId="4" xfId="0" applyNumberFormat="1" applyBorder="1"/>
    <xf numFmtId="0" fontId="7" fillId="0" borderId="0" xfId="0" applyFont="1"/>
    <xf numFmtId="0" fontId="6" fillId="0" borderId="0" xfId="0" applyFont="1"/>
    <xf numFmtId="0" fontId="8" fillId="4" borderId="0" xfId="0" applyFont="1" applyFill="1"/>
    <xf numFmtId="49" fontId="8" fillId="0" borderId="0" xfId="0" applyNumberFormat="1" applyFon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5" xfId="0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182" fontId="9" fillId="0" borderId="7" xfId="0" applyNumberFormat="1" applyFont="1" applyBorder="1" applyAlignment="1">
      <alignment horizontal="center" vertical="center" wrapText="1"/>
    </xf>
    <xf numFmtId="183" fontId="9" fillId="0" borderId="7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77" fontId="10" fillId="0" borderId="10" xfId="0" applyNumberFormat="1" applyFont="1" applyBorder="1" applyAlignment="1">
      <alignment horizontal="center" vertical="center" wrapText="1"/>
    </xf>
    <xf numFmtId="177" fontId="10" fillId="0" borderId="11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177" fontId="10" fillId="0" borderId="13" xfId="0" applyNumberFormat="1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182" fontId="0" fillId="0" borderId="0" xfId="0" applyNumberFormat="1"/>
    <xf numFmtId="176" fontId="0" fillId="0" borderId="0" xfId="1" applyFont="1"/>
    <xf numFmtId="0" fontId="11" fillId="0" borderId="0" xfId="0" applyFont="1" applyAlignment="1">
      <alignment horizontal="left" vertical="center"/>
    </xf>
    <xf numFmtId="184" fontId="0" fillId="0" borderId="0" xfId="0" applyNumberFormat="1"/>
    <xf numFmtId="0" fontId="12" fillId="0" borderId="10" xfId="0" applyFont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3" fontId="15" fillId="0" borderId="16" xfId="0" applyNumberFormat="1" applyFont="1" applyBorder="1" applyAlignment="1">
      <alignment horizontal="center" vertical="center" wrapText="1"/>
    </xf>
    <xf numFmtId="10" fontId="16" fillId="0" borderId="16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7" fillId="6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18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9" fillId="0" borderId="4" xfId="0" applyFont="1" applyBorder="1" applyAlignment="1">
      <alignment horizontal="center" wrapText="1"/>
    </xf>
    <xf numFmtId="179" fontId="20" fillId="0" borderId="4" xfId="1" applyNumberFormat="1" applyFont="1" applyBorder="1" applyAlignment="1">
      <alignment horizontal="right"/>
    </xf>
    <xf numFmtId="0" fontId="8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11" fillId="7" borderId="4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4" fontId="11" fillId="0" borderId="4" xfId="0" applyNumberFormat="1" applyFont="1" applyBorder="1" applyAlignment="1" applyProtection="1">
      <alignment horizontal="center" vertical="center"/>
      <protection locked="0"/>
    </xf>
    <xf numFmtId="17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179" fontId="11" fillId="0" borderId="4" xfId="0" applyNumberFormat="1" applyFont="1" applyBorder="1" applyAlignment="1">
      <alignment horizontal="left" vertical="center"/>
    </xf>
    <xf numFmtId="179" fontId="11" fillId="0" borderId="4" xfId="0" applyNumberFormat="1" applyFont="1" applyBorder="1" applyAlignment="1" applyProtection="1">
      <alignment horizontal="center" vertical="center"/>
      <protection locked="0"/>
    </xf>
    <xf numFmtId="179" fontId="11" fillId="0" borderId="4" xfId="0" applyNumberFormat="1" applyFont="1" applyBorder="1" applyAlignment="1" applyProtection="1">
      <alignment horizontal="right" vertical="center"/>
      <protection locked="0"/>
    </xf>
    <xf numFmtId="181" fontId="11" fillId="7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/>
    </xf>
    <xf numFmtId="57" fontId="0" fillId="0" borderId="4" xfId="0" applyNumberFormat="1" applyBorder="1"/>
    <xf numFmtId="178" fontId="0" fillId="0" borderId="4" xfId="0" applyNumberFormat="1" applyBorder="1"/>
    <xf numFmtId="176" fontId="0" fillId="9" borderId="4" xfId="1" applyFont="1" applyFill="1" applyBorder="1" applyAlignment="1"/>
    <xf numFmtId="0" fontId="22" fillId="0" borderId="4" xfId="0" applyFont="1" applyBorder="1" applyAlignment="1">
      <alignment horizontal="center" vertical="center"/>
    </xf>
    <xf numFmtId="185" fontId="13" fillId="0" borderId="4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176" fontId="0" fillId="0" borderId="4" xfId="1" applyFont="1" applyBorder="1" applyAlignment="1"/>
    <xf numFmtId="0" fontId="14" fillId="0" borderId="4" xfId="0" applyFont="1" applyBorder="1" applyAlignment="1">
      <alignment horizontal="center" vertical="center"/>
    </xf>
    <xf numFmtId="185" fontId="16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6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185" fontId="26" fillId="0" borderId="4" xfId="0" applyNumberFormat="1" applyFont="1" applyBorder="1" applyAlignment="1">
      <alignment horizontal="center" vertical="center"/>
    </xf>
    <xf numFmtId="10" fontId="26" fillId="0" borderId="4" xfId="2" applyNumberFormat="1" applyFont="1" applyBorder="1" applyAlignment="1">
      <alignment horizontal="center" vertical="center"/>
    </xf>
    <xf numFmtId="185" fontId="26" fillId="0" borderId="4" xfId="1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10" fontId="25" fillId="0" borderId="4" xfId="2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3" fontId="26" fillId="0" borderId="0" xfId="0" applyNumberFormat="1" applyFont="1" applyAlignment="1">
      <alignment horizontal="center" vertical="center"/>
    </xf>
    <xf numFmtId="10" fontId="26" fillId="0" borderId="0" xfId="2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0" borderId="0" xfId="0" applyFont="1"/>
    <xf numFmtId="9" fontId="0" fillId="0" borderId="0" xfId="2" applyFont="1"/>
    <xf numFmtId="185" fontId="0" fillId="0" borderId="0" xfId="0" applyNumberFormat="1"/>
    <xf numFmtId="0" fontId="30" fillId="0" borderId="0" xfId="3">
      <alignment vertical="center"/>
    </xf>
    <xf numFmtId="0" fontId="30" fillId="0" borderId="0" xfId="3" applyAlignment="1">
      <alignment horizontal="center" vertical="center"/>
    </xf>
    <xf numFmtId="0" fontId="31" fillId="8" borderId="4" xfId="3" applyFont="1" applyFill="1" applyBorder="1" applyAlignment="1">
      <alignment horizontal="center" wrapText="1"/>
    </xf>
    <xf numFmtId="14" fontId="32" fillId="10" borderId="4" xfId="3" applyNumberFormat="1" applyFont="1" applyFill="1" applyBorder="1" applyAlignment="1">
      <alignment horizontal="center" wrapText="1"/>
    </xf>
    <xf numFmtId="14" fontId="32" fillId="10" borderId="4" xfId="3" applyNumberFormat="1" applyFont="1" applyFill="1" applyBorder="1" applyAlignment="1">
      <alignment horizontal="center"/>
    </xf>
    <xf numFmtId="0" fontId="31" fillId="0" borderId="4" xfId="3" applyFont="1" applyBorder="1" applyAlignment="1">
      <alignment horizontal="center" wrapText="1"/>
    </xf>
    <xf numFmtId="3" fontId="33" fillId="0" borderId="4" xfId="3" applyNumberFormat="1" applyFont="1" applyBorder="1" applyAlignment="1">
      <alignment horizontal="center" wrapText="1"/>
    </xf>
    <xf numFmtId="0" fontId="34" fillId="11" borderId="0" xfId="3" applyFont="1" applyFill="1">
      <alignment vertical="center"/>
    </xf>
    <xf numFmtId="0" fontId="35" fillId="0" borderId="0" xfId="3" applyFont="1" applyAlignment="1">
      <alignment horizontal="center" wrapText="1"/>
    </xf>
    <xf numFmtId="186" fontId="36" fillId="0" borderId="4" xfId="3" applyNumberFormat="1" applyFont="1" applyBorder="1" applyAlignment="1">
      <alignment horizontal="center" wrapText="1"/>
    </xf>
    <xf numFmtId="10" fontId="36" fillId="0" borderId="4" xfId="2" applyNumberFormat="1" applyFont="1" applyBorder="1" applyAlignment="1">
      <alignment horizontal="center" wrapText="1"/>
    </xf>
    <xf numFmtId="10" fontId="36" fillId="0" borderId="4" xfId="2" applyNumberFormat="1" applyFont="1" applyFill="1" applyBorder="1" applyAlignment="1">
      <alignment horizontal="center" wrapText="1"/>
    </xf>
    <xf numFmtId="10" fontId="36" fillId="0" borderId="4" xfId="3" applyNumberFormat="1" applyFont="1" applyBorder="1" applyAlignment="1">
      <alignment horizontal="center" wrapText="1"/>
    </xf>
    <xf numFmtId="0" fontId="31" fillId="8" borderId="19" xfId="3" applyFont="1" applyFill="1" applyBorder="1" applyAlignment="1">
      <alignment horizontal="center" wrapText="1"/>
    </xf>
    <xf numFmtId="14" fontId="32" fillId="10" borderId="19" xfId="3" applyNumberFormat="1" applyFont="1" applyFill="1" applyBorder="1" applyAlignment="1">
      <alignment horizontal="center" wrapText="1"/>
    </xf>
    <xf numFmtId="181" fontId="37" fillId="0" borderId="22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12" borderId="15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left" vertical="center" wrapText="1"/>
    </xf>
    <xf numFmtId="179" fontId="10" fillId="0" borderId="16" xfId="0" applyNumberFormat="1" applyFont="1" applyBorder="1" applyAlignment="1">
      <alignment horizontal="right" vertical="center"/>
    </xf>
    <xf numFmtId="179" fontId="0" fillId="0" borderId="0" xfId="0" applyNumberFormat="1"/>
    <xf numFmtId="0" fontId="9" fillId="0" borderId="15" xfId="0" applyFont="1" applyBorder="1" applyAlignment="1">
      <alignment horizontal="left" vertical="center" wrapText="1"/>
    </xf>
    <xf numFmtId="181" fontId="0" fillId="0" borderId="0" xfId="0" applyNumberFormat="1"/>
    <xf numFmtId="181" fontId="37" fillId="12" borderId="16" xfId="0" applyNumberFormat="1" applyFont="1" applyFill="1" applyBorder="1" applyAlignment="1">
      <alignment horizontal="center" vertical="center"/>
    </xf>
    <xf numFmtId="0" fontId="37" fillId="0" borderId="15" xfId="0" applyFont="1" applyBorder="1" applyAlignment="1">
      <alignment horizontal="left" vertical="center"/>
    </xf>
    <xf numFmtId="179" fontId="10" fillId="0" borderId="16" xfId="2" applyNumberFormat="1" applyFont="1" applyBorder="1" applyAlignment="1">
      <alignment horizontal="right" vertical="center"/>
    </xf>
    <xf numFmtId="10" fontId="10" fillId="0" borderId="16" xfId="2" applyNumberFormat="1" applyFont="1" applyFill="1" applyBorder="1" applyAlignment="1">
      <alignment horizontal="right" vertical="center"/>
    </xf>
    <xf numFmtId="0" fontId="10" fillId="0" borderId="16" xfId="0" applyFont="1" applyBorder="1" applyAlignment="1">
      <alignment horizontal="right" vertical="center"/>
    </xf>
    <xf numFmtId="179" fontId="10" fillId="0" borderId="9" xfId="0" applyNumberFormat="1" applyFont="1" applyBorder="1" applyAlignment="1">
      <alignment horizontal="right" vertical="center"/>
    </xf>
    <xf numFmtId="10" fontId="10" fillId="0" borderId="16" xfId="2" applyNumberFormat="1" applyFont="1" applyBorder="1" applyAlignment="1">
      <alignment horizontal="right" vertical="center"/>
    </xf>
    <xf numFmtId="0" fontId="38" fillId="13" borderId="15" xfId="0" applyFont="1" applyFill="1" applyBorder="1" applyAlignment="1">
      <alignment horizontal="left" vertical="center"/>
    </xf>
    <xf numFmtId="176" fontId="38" fillId="13" borderId="15" xfId="1" applyFont="1" applyFill="1" applyBorder="1" applyAlignment="1">
      <alignment horizontal="center" vertical="center"/>
    </xf>
    <xf numFmtId="0" fontId="37" fillId="0" borderId="15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14" fontId="11" fillId="7" borderId="0" xfId="0" applyNumberFormat="1" applyFont="1" applyFill="1" applyAlignment="1">
      <alignment horizontal="center" vertical="center"/>
    </xf>
    <xf numFmtId="181" fontId="11" fillId="7" borderId="0" xfId="0" applyNumberFormat="1" applyFont="1" applyFill="1" applyAlignment="1">
      <alignment horizontal="center" vertical="center"/>
    </xf>
    <xf numFmtId="43" fontId="40" fillId="0" borderId="0" xfId="0" applyNumberFormat="1" applyFont="1"/>
    <xf numFmtId="4" fontId="11" fillId="9" borderId="0" xfId="0" applyNumberFormat="1" applyFont="1" applyFill="1" applyAlignment="1" applyProtection="1">
      <alignment horizontal="right" vertical="center"/>
      <protection locked="0"/>
    </xf>
    <xf numFmtId="43" fontId="11" fillId="9" borderId="0" xfId="0" applyNumberFormat="1" applyFont="1" applyFill="1" applyAlignment="1" applyProtection="1">
      <alignment horizontal="right" vertical="center"/>
      <protection locked="0"/>
    </xf>
    <xf numFmtId="0" fontId="41" fillId="0" borderId="0" xfId="0" applyFont="1" applyAlignment="1">
      <alignment horizontal="left" vertical="center"/>
    </xf>
    <xf numFmtId="187" fontId="11" fillId="9" borderId="0" xfId="0" applyNumberFormat="1" applyFont="1" applyFill="1" applyAlignment="1" applyProtection="1">
      <alignment horizontal="right" vertical="center"/>
      <protection locked="0"/>
    </xf>
    <xf numFmtId="43" fontId="39" fillId="9" borderId="0" xfId="0" applyNumberFormat="1" applyFont="1" applyFill="1" applyAlignment="1" applyProtection="1">
      <alignment horizontal="right" vertical="center"/>
      <protection locked="0"/>
    </xf>
    <xf numFmtId="187" fontId="11" fillId="0" borderId="0" xfId="0" applyNumberFormat="1" applyFont="1" applyAlignment="1" applyProtection="1">
      <alignment horizontal="right" vertical="center"/>
      <protection locked="0"/>
    </xf>
    <xf numFmtId="0" fontId="42" fillId="0" borderId="0" xfId="0" applyFont="1"/>
    <xf numFmtId="0" fontId="0" fillId="0" borderId="0" xfId="0" applyAlignment="1">
      <alignment vertical="center"/>
    </xf>
    <xf numFmtId="0" fontId="43" fillId="0" borderId="0" xfId="0" applyFont="1" applyAlignment="1">
      <alignment horizontal="left" vertical="center"/>
    </xf>
    <xf numFmtId="4" fontId="11" fillId="14" borderId="0" xfId="0" applyNumberFormat="1" applyFont="1" applyFill="1" applyAlignment="1" applyProtection="1">
      <alignment horizontal="right" vertical="center"/>
      <protection locked="0"/>
    </xf>
    <xf numFmtId="0" fontId="44" fillId="0" borderId="0" xfId="0" applyFont="1" applyAlignment="1">
      <alignment horizontal="left" vertical="center"/>
    </xf>
    <xf numFmtId="4" fontId="44" fillId="15" borderId="0" xfId="0" applyNumberFormat="1" applyFont="1" applyFill="1" applyAlignment="1" applyProtection="1">
      <alignment horizontal="right" vertical="center"/>
      <protection locked="0"/>
    </xf>
    <xf numFmtId="4" fontId="11" fillId="15" borderId="0" xfId="0" applyNumberFormat="1" applyFont="1" applyFill="1" applyAlignment="1" applyProtection="1">
      <alignment horizontal="right" vertical="center"/>
      <protection locked="0"/>
    </xf>
    <xf numFmtId="0" fontId="45" fillId="0" borderId="0" xfId="0" applyFont="1" applyAlignment="1">
      <alignment horizontal="left" vertical="center"/>
    </xf>
    <xf numFmtId="0" fontId="46" fillId="0" borderId="0" xfId="0" applyFont="1"/>
    <xf numFmtId="0" fontId="47" fillId="0" borderId="0" xfId="0" applyFont="1"/>
    <xf numFmtId="188" fontId="46" fillId="0" borderId="0" xfId="0" applyNumberFormat="1" applyFont="1"/>
    <xf numFmtId="189" fontId="46" fillId="0" borderId="0" xfId="0" applyNumberFormat="1" applyFont="1"/>
    <xf numFmtId="4" fontId="11" fillId="17" borderId="0" xfId="0" applyNumberFormat="1" applyFont="1" applyFill="1" applyAlignment="1" applyProtection="1">
      <alignment horizontal="right" vertical="center"/>
      <protection locked="0"/>
    </xf>
    <xf numFmtId="43" fontId="40" fillId="16" borderId="0" xfId="0" applyNumberFormat="1" applyFont="1" applyFill="1"/>
    <xf numFmtId="187" fontId="11" fillId="16" borderId="0" xfId="0" applyNumberFormat="1" applyFont="1" applyFill="1" applyAlignment="1" applyProtection="1">
      <alignment horizontal="right" vertical="center"/>
      <protection locked="0"/>
    </xf>
    <xf numFmtId="43" fontId="39" fillId="16" borderId="0" xfId="0" applyNumberFormat="1" applyFont="1" applyFill="1" applyAlignment="1" applyProtection="1">
      <alignment horizontal="right" vertical="center"/>
      <protection locked="0"/>
    </xf>
    <xf numFmtId="187" fontId="39" fillId="16" borderId="0" xfId="0" applyNumberFormat="1" applyFont="1" applyFill="1" applyAlignment="1" applyProtection="1">
      <alignment horizontal="right" vertical="center"/>
      <protection locked="0"/>
    </xf>
    <xf numFmtId="187" fontId="0" fillId="16" borderId="0" xfId="0" applyNumberFormat="1" applyFill="1"/>
    <xf numFmtId="0" fontId="0" fillId="16" borderId="0" xfId="0" applyFill="1"/>
    <xf numFmtId="43" fontId="0" fillId="16" borderId="0" xfId="0" applyNumberFormat="1" applyFill="1"/>
    <xf numFmtId="43" fontId="11" fillId="16" borderId="0" xfId="0" applyNumberFormat="1" applyFont="1" applyFill="1" applyAlignment="1">
      <alignment horizontal="right" vertical="center"/>
    </xf>
    <xf numFmtId="4" fontId="11" fillId="16" borderId="0" xfId="0" applyNumberFormat="1" applyFont="1" applyFill="1" applyAlignment="1" applyProtection="1">
      <alignment horizontal="right" vertical="center"/>
      <protection locked="0"/>
    </xf>
    <xf numFmtId="4" fontId="0" fillId="16" borderId="0" xfId="0" applyNumberFormat="1" applyFill="1"/>
    <xf numFmtId="0" fontId="24" fillId="0" borderId="0" xfId="0" applyFont="1"/>
    <xf numFmtId="9" fontId="50" fillId="0" borderId="0" xfId="2" applyFont="1"/>
    <xf numFmtId="9" fontId="6" fillId="0" borderId="0" xfId="2" applyFont="1"/>
    <xf numFmtId="57" fontId="14" fillId="0" borderId="4" xfId="0" applyNumberFormat="1" applyFont="1" applyBorder="1" applyAlignment="1">
      <alignment horizontal="center" vertical="center"/>
    </xf>
    <xf numFmtId="178" fontId="14" fillId="0" borderId="4" xfId="0" applyNumberFormat="1" applyFont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0" borderId="18" xfId="0" applyFont="1" applyBorder="1" applyAlignment="1">
      <alignment horizontal="right" vertical="center"/>
    </xf>
    <xf numFmtId="0" fontId="37" fillId="12" borderId="15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justify" vertical="center"/>
    </xf>
    <xf numFmtId="0" fontId="37" fillId="0" borderId="21" xfId="0" applyFont="1" applyBorder="1" applyAlignment="1">
      <alignment horizontal="center" vertical="center"/>
    </xf>
    <xf numFmtId="0" fontId="37" fillId="12" borderId="20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left" vertical="center"/>
    </xf>
    <xf numFmtId="0" fontId="37" fillId="0" borderId="15" xfId="0" applyFont="1" applyBorder="1" applyAlignment="1">
      <alignment horizontal="center" vertical="center"/>
    </xf>
    <xf numFmtId="0" fontId="31" fillId="0" borderId="1" xfId="3" applyFont="1" applyBorder="1" applyAlignment="1">
      <alignment horizontal="center" wrapText="1"/>
    </xf>
    <xf numFmtId="0" fontId="31" fillId="0" borderId="2" xfId="3" applyFont="1" applyBorder="1" applyAlignment="1">
      <alignment horizontal="center" wrapText="1"/>
    </xf>
    <xf numFmtId="0" fontId="31" fillId="0" borderId="18" xfId="3" applyFont="1" applyBorder="1" applyAlignment="1">
      <alignment horizontal="center" wrapText="1"/>
    </xf>
    <xf numFmtId="0" fontId="31" fillId="0" borderId="17" xfId="3" applyFont="1" applyBorder="1" applyAlignment="1">
      <alignment horizontal="center"/>
    </xf>
    <xf numFmtId="0" fontId="31" fillId="0" borderId="18" xfId="3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14" fontId="26" fillId="0" borderId="1" xfId="0" applyNumberFormat="1" applyFont="1" applyBorder="1" applyAlignment="1">
      <alignment horizontal="center" vertical="center"/>
    </xf>
    <xf numFmtId="14" fontId="26" fillId="0" borderId="3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4" fontId="26" fillId="0" borderId="4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7" fillId="6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171875" defaultRowHeight="14.35"/>
  <cols>
    <col min="1" max="1" width="71.41015625" style="152"/>
    <col min="2" max="5" width="20.5859375" style="152"/>
    <col min="6" max="16384" width="9.1171875" style="152"/>
  </cols>
  <sheetData>
    <row r="1" spans="1:5">
      <c r="A1" s="152" t="s">
        <v>0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10</v>
      </c>
    </row>
    <row r="5" spans="1:5">
      <c r="A5" s="152" t="s">
        <v>11</v>
      </c>
      <c r="B5" s="154">
        <v>1971684695.2</v>
      </c>
      <c r="C5" s="154">
        <v>1644387091.55</v>
      </c>
      <c r="D5" s="154">
        <v>3525239782.4099998</v>
      </c>
      <c r="E5" s="154">
        <v>3274422624.23</v>
      </c>
    </row>
    <row r="6" spans="1:5">
      <c r="A6" s="152" t="s">
        <v>12</v>
      </c>
      <c r="B6" s="154">
        <v>1867700</v>
      </c>
      <c r="C6" s="154">
        <v>1561800</v>
      </c>
      <c r="D6" s="154">
        <v>1637800</v>
      </c>
      <c r="E6" s="154">
        <v>1749900</v>
      </c>
    </row>
    <row r="7" spans="1:5">
      <c r="A7" s="152" t="s">
        <v>13</v>
      </c>
    </row>
    <row r="8" spans="1:5">
      <c r="A8" s="152" t="s">
        <v>14</v>
      </c>
      <c r="B8" s="154">
        <v>5248071278.21</v>
      </c>
      <c r="C8" s="154">
        <v>4066756248.5900002</v>
      </c>
      <c r="D8" s="154">
        <v>4368732482.1899996</v>
      </c>
      <c r="E8" s="154">
        <v>4747565171.6999998</v>
      </c>
    </row>
    <row r="9" spans="1:5">
      <c r="A9" s="152" t="s">
        <v>15</v>
      </c>
      <c r="B9" s="154">
        <v>212944184.36000001</v>
      </c>
      <c r="C9" s="154">
        <v>24833328</v>
      </c>
      <c r="D9" s="154">
        <v>94344643.689999998</v>
      </c>
      <c r="E9" s="154">
        <v>145595025.19</v>
      </c>
    </row>
    <row r="10" spans="1:5">
      <c r="A10" s="152" t="s">
        <v>16</v>
      </c>
      <c r="B10" s="154">
        <v>5035127093.8500004</v>
      </c>
      <c r="C10" s="154">
        <v>4041922920.5900002</v>
      </c>
      <c r="D10" s="154">
        <v>4274387838.5</v>
      </c>
      <c r="E10" s="154">
        <v>4601970146.5100002</v>
      </c>
    </row>
    <row r="11" spans="1:5">
      <c r="A11" s="152" t="s">
        <v>17</v>
      </c>
    </row>
    <row r="12" spans="1:5">
      <c r="A12" s="152" t="s">
        <v>18</v>
      </c>
      <c r="B12" s="154">
        <v>5399158.4400000004</v>
      </c>
      <c r="C12" s="154">
        <v>11704460.939999999</v>
      </c>
      <c r="D12" s="154">
        <v>30927129.649999999</v>
      </c>
      <c r="E12" s="154">
        <v>34867756.869999997</v>
      </c>
    </row>
    <row r="13" spans="1:5">
      <c r="A13" s="152" t="s">
        <v>19</v>
      </c>
      <c r="B13" s="154">
        <v>6775908117.7399998</v>
      </c>
      <c r="C13" s="154">
        <v>8322665310.6899996</v>
      </c>
      <c r="D13" s="154">
        <v>8314524146.4899998</v>
      </c>
      <c r="E13" s="154">
        <v>8501476634.0900002</v>
      </c>
    </row>
    <row r="14" spans="1:5">
      <c r="A14" s="152" t="s">
        <v>20</v>
      </c>
    </row>
    <row r="15" spans="1:5">
      <c r="A15" s="152" t="s">
        <v>21</v>
      </c>
      <c r="B15" s="154">
        <v>13303064369.440001</v>
      </c>
      <c r="C15" s="154">
        <v>11540673632.16</v>
      </c>
      <c r="D15" s="154">
        <v>9612453155.3899994</v>
      </c>
      <c r="E15" s="154">
        <v>8839419968.1900005</v>
      </c>
    </row>
    <row r="16" spans="1:5">
      <c r="A16" s="152" t="s">
        <v>22</v>
      </c>
    </row>
    <row r="17" spans="1:5">
      <c r="A17" s="152" t="s">
        <v>23</v>
      </c>
    </row>
    <row r="18" spans="1:5">
      <c r="A18" s="152" t="s">
        <v>24</v>
      </c>
      <c r="B18" s="154">
        <v>2590545.15</v>
      </c>
      <c r="C18" s="154">
        <v>2590545.15</v>
      </c>
      <c r="D18" s="154">
        <v>3242409.77</v>
      </c>
      <c r="E18" s="154">
        <v>762788.56</v>
      </c>
    </row>
    <row r="19" spans="1:5">
      <c r="A19" s="152" t="s">
        <v>25</v>
      </c>
    </row>
    <row r="20" spans="1:5">
      <c r="A20" s="152" t="s">
        <v>26</v>
      </c>
    </row>
    <row r="21" spans="1:5">
      <c r="A21" s="152" t="s">
        <v>27</v>
      </c>
    </row>
    <row r="22" spans="1:5">
      <c r="A22" s="152" t="s">
        <v>28</v>
      </c>
    </row>
    <row r="23" spans="1:5">
      <c r="A23" s="152" t="s">
        <v>29</v>
      </c>
    </row>
    <row r="24" spans="1:5">
      <c r="A24" s="152" t="s">
        <v>30</v>
      </c>
    </row>
    <row r="25" spans="1:5">
      <c r="A25" s="153" t="s">
        <v>31</v>
      </c>
      <c r="B25" s="154">
        <v>27308585864.18</v>
      </c>
      <c r="C25" s="154">
        <v>25590339089.080002</v>
      </c>
      <c r="D25" s="154">
        <v>25856756905.900002</v>
      </c>
      <c r="E25" s="154">
        <v>25400264843.639999</v>
      </c>
    </row>
    <row r="26" spans="1:5">
      <c r="A26" s="153" t="s">
        <v>32</v>
      </c>
    </row>
    <row r="27" spans="1:5">
      <c r="A27" s="152" t="s">
        <v>33</v>
      </c>
    </row>
    <row r="28" spans="1:5">
      <c r="A28" s="152" t="s">
        <v>34</v>
      </c>
    </row>
    <row r="29" spans="1:5">
      <c r="A29" s="152" t="s">
        <v>35</v>
      </c>
    </row>
    <row r="30" spans="1:5">
      <c r="A30" s="152" t="s">
        <v>36</v>
      </c>
    </row>
    <row r="31" spans="1:5">
      <c r="A31" s="152" t="s">
        <v>37</v>
      </c>
    </row>
    <row r="32" spans="1:5">
      <c r="A32" s="152" t="s">
        <v>38</v>
      </c>
      <c r="E32" s="154">
        <v>161072380</v>
      </c>
    </row>
    <row r="33" spans="1:5">
      <c r="A33" s="152" t="s">
        <v>39</v>
      </c>
      <c r="B33" s="154">
        <v>455301273.83999997</v>
      </c>
      <c r="C33" s="154">
        <v>455301273.83999997</v>
      </c>
      <c r="D33" s="154">
        <v>204177380</v>
      </c>
    </row>
    <row r="34" spans="1:5">
      <c r="A34" s="152" t="s">
        <v>40</v>
      </c>
    </row>
    <row r="35" spans="1:5">
      <c r="A35" s="152" t="s">
        <v>41</v>
      </c>
      <c r="B35" s="154">
        <v>30295000</v>
      </c>
      <c r="C35" s="154">
        <v>30295000</v>
      </c>
      <c r="D35" s="154">
        <v>23550001</v>
      </c>
    </row>
    <row r="36" spans="1:5">
      <c r="A36" s="152" t="s">
        <v>42</v>
      </c>
    </row>
    <row r="37" spans="1:5">
      <c r="A37" s="152" t="s">
        <v>43</v>
      </c>
      <c r="B37" s="154">
        <v>549367902.63</v>
      </c>
      <c r="C37" s="154">
        <v>549657918.88</v>
      </c>
      <c r="D37" s="154">
        <v>80923934</v>
      </c>
      <c r="E37" s="154">
        <v>80678934</v>
      </c>
    </row>
    <row r="38" spans="1:5">
      <c r="A38" s="152" t="s">
        <v>44</v>
      </c>
      <c r="B38" s="154">
        <v>4358247750</v>
      </c>
      <c r="C38" s="154">
        <v>4358247750</v>
      </c>
      <c r="D38" s="154">
        <v>4255722350</v>
      </c>
      <c r="E38" s="154">
        <v>3962784824</v>
      </c>
    </row>
    <row r="39" spans="1:5">
      <c r="A39" s="152" t="s">
        <v>45</v>
      </c>
      <c r="B39" s="154">
        <v>343623844.00999999</v>
      </c>
      <c r="C39" s="154">
        <v>335414818.14999998</v>
      </c>
      <c r="D39" s="154">
        <v>442342099.70999998</v>
      </c>
      <c r="E39" s="154">
        <v>461241350.10000002</v>
      </c>
    </row>
    <row r="40" spans="1:5">
      <c r="A40" s="152" t="s">
        <v>46</v>
      </c>
      <c r="B40" s="154">
        <v>343623844.00999999</v>
      </c>
      <c r="C40" s="154">
        <v>335414818.14999998</v>
      </c>
      <c r="D40" s="154">
        <v>442342099.70999998</v>
      </c>
      <c r="E40" s="154">
        <v>461241350.10000002</v>
      </c>
    </row>
    <row r="41" spans="1:5">
      <c r="A41" s="152" t="s">
        <v>47</v>
      </c>
    </row>
    <row r="42" spans="1:5">
      <c r="A42" s="152" t="s">
        <v>48</v>
      </c>
      <c r="B42" s="154">
        <v>1058689932.91</v>
      </c>
      <c r="C42" s="154">
        <v>995990059.13999999</v>
      </c>
      <c r="D42" s="154">
        <v>898885960.53999996</v>
      </c>
      <c r="E42" s="154">
        <v>831507926.99000001</v>
      </c>
    </row>
    <row r="43" spans="1:5">
      <c r="A43" s="152" t="s">
        <v>49</v>
      </c>
    </row>
    <row r="44" spans="1:5">
      <c r="A44" s="152" t="s">
        <v>50</v>
      </c>
    </row>
    <row r="45" spans="1:5">
      <c r="A45" s="152" t="s">
        <v>51</v>
      </c>
    </row>
    <row r="46" spans="1:5">
      <c r="A46" s="152" t="s">
        <v>52</v>
      </c>
      <c r="B46" s="154">
        <v>284163494.89999998</v>
      </c>
      <c r="C46" s="154">
        <v>21897889.93</v>
      </c>
      <c r="D46" s="154">
        <v>22492761.420000002</v>
      </c>
      <c r="E46" s="154">
        <v>23071277.280000001</v>
      </c>
    </row>
    <row r="47" spans="1:5">
      <c r="A47" s="152" t="s">
        <v>53</v>
      </c>
    </row>
    <row r="48" spans="1:5">
      <c r="A48" s="152" t="s">
        <v>54</v>
      </c>
    </row>
    <row r="49" spans="1:5">
      <c r="A49" s="152" t="s">
        <v>55</v>
      </c>
      <c r="B49" s="154">
        <v>2839903.92</v>
      </c>
      <c r="C49" s="154">
        <v>3062157.03</v>
      </c>
      <c r="D49" s="154">
        <v>1970481.55</v>
      </c>
      <c r="E49" s="154">
        <v>2132211.46</v>
      </c>
    </row>
    <row r="50" spans="1:5">
      <c r="A50" s="152" t="s">
        <v>56</v>
      </c>
      <c r="B50" s="154">
        <v>917652.1</v>
      </c>
      <c r="C50" s="154">
        <v>735501.53</v>
      </c>
      <c r="D50" s="154">
        <v>706564.53</v>
      </c>
      <c r="E50" s="154">
        <v>1211348.67</v>
      </c>
    </row>
    <row r="51" spans="1:5">
      <c r="A51" s="152" t="s">
        <v>57</v>
      </c>
    </row>
    <row r="52" spans="1:5">
      <c r="A52" s="152" t="s">
        <v>58</v>
      </c>
    </row>
    <row r="53" spans="1:5">
      <c r="A53" s="152" t="s">
        <v>59</v>
      </c>
    </row>
    <row r="54" spans="1:5">
      <c r="A54" s="153" t="s">
        <v>60</v>
      </c>
      <c r="B54" s="154">
        <v>7083446754.3100004</v>
      </c>
      <c r="C54" s="154">
        <v>6750602368.5</v>
      </c>
      <c r="D54" s="154">
        <v>5930771532.75</v>
      </c>
      <c r="E54" s="154">
        <v>5523700252.5</v>
      </c>
    </row>
    <row r="55" spans="1:5">
      <c r="A55" s="152" t="s">
        <v>61</v>
      </c>
    </row>
    <row r="56" spans="1:5">
      <c r="A56" s="152" t="s">
        <v>62</v>
      </c>
    </row>
    <row r="57" spans="1:5">
      <c r="A57" s="153" t="s">
        <v>63</v>
      </c>
      <c r="B57" s="154">
        <v>34392032618.489998</v>
      </c>
      <c r="C57" s="154">
        <v>32340941457.580002</v>
      </c>
      <c r="D57" s="154">
        <v>31787528438.650002</v>
      </c>
      <c r="E57" s="154">
        <v>30923965096.139999</v>
      </c>
    </row>
    <row r="58" spans="1:5">
      <c r="A58" s="153" t="s">
        <v>64</v>
      </c>
    </row>
    <row r="59" spans="1:5">
      <c r="A59" s="152" t="s">
        <v>65</v>
      </c>
      <c r="B59" s="154">
        <v>1855000000</v>
      </c>
      <c r="C59" s="154">
        <v>1136900000</v>
      </c>
      <c r="D59" s="154">
        <v>1061500000</v>
      </c>
      <c r="E59" s="154">
        <v>863000000</v>
      </c>
    </row>
    <row r="60" spans="1:5">
      <c r="A60" s="152" t="s">
        <v>66</v>
      </c>
    </row>
    <row r="61" spans="1:5">
      <c r="A61" s="152" t="s">
        <v>67</v>
      </c>
    </row>
    <row r="62" spans="1:5">
      <c r="A62" s="152" t="s">
        <v>68</v>
      </c>
      <c r="B62" s="154">
        <v>674143373.15999997</v>
      </c>
      <c r="C62" s="154">
        <v>745011335.40999997</v>
      </c>
      <c r="D62" s="154">
        <v>982811067.04999995</v>
      </c>
      <c r="E62" s="154">
        <v>1072093443.8</v>
      </c>
    </row>
    <row r="63" spans="1:5">
      <c r="A63" s="152" t="s">
        <v>69</v>
      </c>
      <c r="B63" s="154">
        <v>23880393.780000001</v>
      </c>
      <c r="C63" s="154">
        <v>17451125.289999999</v>
      </c>
      <c r="D63" s="154">
        <v>5181717.6500000004</v>
      </c>
      <c r="E63" s="154">
        <v>49509857.18</v>
      </c>
    </row>
    <row r="64" spans="1:5">
      <c r="A64" s="152" t="s">
        <v>70</v>
      </c>
      <c r="B64" s="154">
        <v>1111107.5900000001</v>
      </c>
      <c r="C64" s="154">
        <v>3274922.39</v>
      </c>
      <c r="D64" s="154">
        <v>29674290.289999999</v>
      </c>
    </row>
    <row r="65" spans="1:5">
      <c r="A65" s="152" t="s">
        <v>71</v>
      </c>
    </row>
    <row r="66" spans="1:5">
      <c r="A66" s="152" t="s">
        <v>72</v>
      </c>
      <c r="B66" s="154">
        <v>170284.11</v>
      </c>
      <c r="C66" s="154">
        <v>2443278.5299999998</v>
      </c>
      <c r="D66" s="154">
        <v>1978314.29</v>
      </c>
      <c r="E66" s="154">
        <v>14430</v>
      </c>
    </row>
    <row r="67" spans="1:5">
      <c r="A67" s="152" t="s">
        <v>73</v>
      </c>
      <c r="B67" s="154">
        <v>467158140.51999998</v>
      </c>
      <c r="C67" s="154">
        <v>451671818.11000001</v>
      </c>
      <c r="D67" s="154">
        <v>426918988.92000002</v>
      </c>
      <c r="E67" s="154">
        <v>411794944.43000001</v>
      </c>
    </row>
    <row r="68" spans="1:5">
      <c r="A68" s="152" t="s">
        <v>74</v>
      </c>
      <c r="B68" s="154">
        <v>73305187.810000002</v>
      </c>
      <c r="C68" s="154">
        <v>100254744.68000001</v>
      </c>
      <c r="D68" s="154">
        <v>61084509.439999998</v>
      </c>
      <c r="E68" s="154">
        <v>179912689.63</v>
      </c>
    </row>
    <row r="69" spans="1:5">
      <c r="A69" s="152" t="s">
        <v>75</v>
      </c>
    </row>
    <row r="70" spans="1:5">
      <c r="A70" s="152" t="s">
        <v>76</v>
      </c>
      <c r="B70" s="154">
        <v>3405846696.8099999</v>
      </c>
      <c r="C70" s="154">
        <v>2365430991.5500002</v>
      </c>
      <c r="D70" s="154">
        <v>1735451140.4200001</v>
      </c>
      <c r="E70" s="154">
        <v>3570289200</v>
      </c>
    </row>
    <row r="71" spans="1:5">
      <c r="A71" s="152" t="s">
        <v>77</v>
      </c>
    </row>
    <row r="72" spans="1:5">
      <c r="A72" s="152" t="s">
        <v>78</v>
      </c>
    </row>
    <row r="73" spans="1:5">
      <c r="A73" s="152" t="s">
        <v>79</v>
      </c>
    </row>
    <row r="74" spans="1:5">
      <c r="A74" s="152" t="s">
        <v>80</v>
      </c>
      <c r="B74" s="154">
        <v>500052818.48000002</v>
      </c>
      <c r="C74" s="154">
        <v>500163624.80000001</v>
      </c>
      <c r="D74" s="154">
        <v>502194006.69999999</v>
      </c>
    </row>
    <row r="75" spans="1:5">
      <c r="A75" s="152" t="s">
        <v>81</v>
      </c>
    </row>
    <row r="76" spans="1:5">
      <c r="A76" s="152" t="s">
        <v>82</v>
      </c>
    </row>
    <row r="77" spans="1:5">
      <c r="A77" s="152" t="s">
        <v>83</v>
      </c>
    </row>
    <row r="78" spans="1:5">
      <c r="A78" s="153" t="s">
        <v>84</v>
      </c>
      <c r="B78" s="154">
        <v>7000668002.2600002</v>
      </c>
      <c r="C78" s="154">
        <v>5322601840.7600002</v>
      </c>
      <c r="D78" s="154">
        <v>4806794034.7600002</v>
      </c>
      <c r="E78" s="154">
        <v>6146614565.04</v>
      </c>
    </row>
    <row r="79" spans="1:5">
      <c r="A79" s="153" t="s">
        <v>85</v>
      </c>
    </row>
    <row r="80" spans="1:5">
      <c r="A80" s="152" t="s">
        <v>86</v>
      </c>
      <c r="B80" s="154">
        <v>11711339500</v>
      </c>
      <c r="C80" s="154">
        <v>10619019100</v>
      </c>
      <c r="D80" s="154">
        <v>10820969300</v>
      </c>
      <c r="E80" s="154">
        <v>11324293265</v>
      </c>
    </row>
    <row r="81" spans="1:5">
      <c r="A81" s="152" t="s">
        <v>87</v>
      </c>
      <c r="B81" s="154">
        <v>1629235030.28</v>
      </c>
      <c r="C81" s="154">
        <v>2529125115.1300001</v>
      </c>
      <c r="D81" s="154">
        <v>2690000000</v>
      </c>
      <c r="E81" s="154">
        <v>1290000000</v>
      </c>
    </row>
    <row r="82" spans="1:5">
      <c r="A82" s="152" t="s">
        <v>88</v>
      </c>
    </row>
    <row r="83" spans="1:5">
      <c r="A83" s="152" t="s">
        <v>89</v>
      </c>
    </row>
    <row r="84" spans="1:5">
      <c r="A84" s="152" t="s">
        <v>90</v>
      </c>
    </row>
    <row r="85" spans="1:5">
      <c r="A85" s="152" t="s">
        <v>91</v>
      </c>
    </row>
    <row r="86" spans="1:5">
      <c r="A86" s="152" t="s">
        <v>92</v>
      </c>
      <c r="B86" s="154">
        <v>309884594.05000001</v>
      </c>
      <c r="C86" s="154">
        <v>309907869.05000001</v>
      </c>
      <c r="D86" s="154">
        <v>303410975.49000001</v>
      </c>
      <c r="E86" s="154">
        <v>299089463.99000001</v>
      </c>
    </row>
    <row r="87" spans="1:5">
      <c r="A87" s="152" t="s">
        <v>93</v>
      </c>
    </row>
    <row r="88" spans="1:5">
      <c r="A88" s="152" t="s">
        <v>94</v>
      </c>
    </row>
    <row r="89" spans="1:5">
      <c r="A89" s="152" t="s">
        <v>95</v>
      </c>
    </row>
    <row r="90" spans="1:5">
      <c r="A90" s="152" t="s">
        <v>96</v>
      </c>
    </row>
    <row r="91" spans="1:5">
      <c r="A91" s="153" t="s">
        <v>97</v>
      </c>
      <c r="B91" s="154">
        <v>13650459124.33</v>
      </c>
      <c r="C91" s="154">
        <v>13458052084.18</v>
      </c>
      <c r="D91" s="154">
        <v>13814380275.49</v>
      </c>
      <c r="E91" s="154">
        <v>12913382728.99</v>
      </c>
    </row>
    <row r="92" spans="1:5">
      <c r="A92" s="152" t="s">
        <v>98</v>
      </c>
    </row>
    <row r="93" spans="1:5">
      <c r="A93" s="152" t="s">
        <v>99</v>
      </c>
    </row>
    <row r="94" spans="1:5">
      <c r="A94" s="153" t="s">
        <v>100</v>
      </c>
      <c r="B94" s="154">
        <v>20651127126.59</v>
      </c>
      <c r="C94" s="154">
        <v>18780653924.939999</v>
      </c>
      <c r="D94" s="154">
        <v>18621174310.25</v>
      </c>
      <c r="E94" s="154">
        <v>19059997294.029999</v>
      </c>
    </row>
    <row r="95" spans="1:5">
      <c r="A95" s="153" t="s">
        <v>101</v>
      </c>
    </row>
    <row r="96" spans="1:5">
      <c r="A96" s="152" t="s">
        <v>102</v>
      </c>
      <c r="B96" s="154">
        <v>5000000000</v>
      </c>
      <c r="C96" s="154">
        <v>5000000000</v>
      </c>
      <c r="D96" s="154">
        <v>5000000000</v>
      </c>
      <c r="E96" s="154">
        <v>5000000000</v>
      </c>
    </row>
    <row r="97" spans="1:5">
      <c r="A97" s="152" t="s">
        <v>103</v>
      </c>
    </row>
    <row r="98" spans="1:5">
      <c r="A98" s="152" t="s">
        <v>104</v>
      </c>
    </row>
    <row r="99" spans="1:5">
      <c r="A99" s="152" t="s">
        <v>105</v>
      </c>
    </row>
    <row r="100" spans="1:5">
      <c r="A100" s="152" t="s">
        <v>106</v>
      </c>
      <c r="B100" s="154">
        <v>5112102959.0200005</v>
      </c>
      <c r="C100" s="154">
        <v>5112102959.0200005</v>
      </c>
      <c r="D100" s="154">
        <v>5112975470.1999998</v>
      </c>
      <c r="E100" s="154">
        <v>4206123659.8800001</v>
      </c>
    </row>
    <row r="101" spans="1:5">
      <c r="A101" s="152" t="s">
        <v>107</v>
      </c>
    </row>
    <row r="102" spans="1:5">
      <c r="A102" s="152" t="s">
        <v>108</v>
      </c>
      <c r="B102" s="154">
        <v>1121080.68</v>
      </c>
      <c r="C102" s="154">
        <v>1121080.68</v>
      </c>
    </row>
    <row r="103" spans="1:5">
      <c r="A103" s="152" t="s">
        <v>109</v>
      </c>
    </row>
    <row r="104" spans="1:5">
      <c r="A104" s="152" t="s">
        <v>110</v>
      </c>
      <c r="B104" s="154">
        <v>73594417.200000003</v>
      </c>
      <c r="C104" s="154">
        <v>73594417.200000003</v>
      </c>
      <c r="D104" s="154">
        <v>63625119.780000001</v>
      </c>
      <c r="E104" s="154">
        <v>53461949.119999997</v>
      </c>
    </row>
    <row r="105" spans="1:5">
      <c r="A105" s="152" t="s">
        <v>111</v>
      </c>
    </row>
    <row r="106" spans="1:5">
      <c r="A106" s="152" t="s">
        <v>112</v>
      </c>
      <c r="B106" s="154">
        <v>2914776287.8000002</v>
      </c>
      <c r="C106" s="154">
        <v>2737926005.0700002</v>
      </c>
      <c r="D106" s="154">
        <v>2393279836.21</v>
      </c>
      <c r="E106" s="154">
        <v>2051239103.95</v>
      </c>
    </row>
    <row r="107" spans="1:5">
      <c r="A107" s="152" t="s">
        <v>113</v>
      </c>
    </row>
    <row r="108" spans="1:5">
      <c r="A108" s="152" t="s">
        <v>114</v>
      </c>
    </row>
    <row r="109" spans="1:5">
      <c r="A109" s="152" t="s">
        <v>115</v>
      </c>
    </row>
    <row r="110" spans="1:5">
      <c r="A110" s="152" t="s">
        <v>116</v>
      </c>
    </row>
    <row r="111" spans="1:5">
      <c r="A111" s="153" t="s">
        <v>117</v>
      </c>
      <c r="B111" s="154">
        <v>13101594744.700001</v>
      </c>
      <c r="C111" s="154">
        <v>12924744461.969999</v>
      </c>
      <c r="D111" s="154">
        <v>12569880426.190001</v>
      </c>
      <c r="E111" s="154">
        <v>11310824712.950001</v>
      </c>
    </row>
    <row r="112" spans="1:5">
      <c r="A112" s="152" t="s">
        <v>118</v>
      </c>
      <c r="B112" s="154">
        <v>639310747.20000005</v>
      </c>
      <c r="C112" s="154">
        <v>635543070.66999996</v>
      </c>
      <c r="D112" s="154">
        <v>596473702.21000004</v>
      </c>
      <c r="E112" s="154">
        <v>553143089.15999997</v>
      </c>
    </row>
    <row r="113" spans="1:5">
      <c r="A113" s="153" t="s">
        <v>119</v>
      </c>
      <c r="B113" s="154">
        <v>13740905491.9</v>
      </c>
      <c r="C113" s="154">
        <v>13560287532.639999</v>
      </c>
      <c r="D113" s="154">
        <v>13166354128.4</v>
      </c>
      <c r="E113" s="154">
        <v>11863967802.110001</v>
      </c>
    </row>
    <row r="114" spans="1:5">
      <c r="A114" s="152" t="s">
        <v>120</v>
      </c>
    </row>
    <row r="115" spans="1:5">
      <c r="A115" s="152" t="s">
        <v>121</v>
      </c>
    </row>
    <row r="116" spans="1:5">
      <c r="A116" s="152" t="s">
        <v>122</v>
      </c>
      <c r="B116" s="154">
        <v>34392032618.489998</v>
      </c>
      <c r="C116" s="154">
        <v>32340941457.580002</v>
      </c>
      <c r="D116" s="154">
        <v>31787528438.650002</v>
      </c>
      <c r="E116" s="154">
        <v>30923965096.139999</v>
      </c>
    </row>
    <row r="117" spans="1:5">
      <c r="A117" s="152" t="s">
        <v>123</v>
      </c>
      <c r="B117" s="152" t="s">
        <v>124</v>
      </c>
      <c r="C117" s="152" t="s">
        <v>124</v>
      </c>
      <c r="D117" s="152" t="s">
        <v>124</v>
      </c>
      <c r="E117" s="152" t="s">
        <v>124</v>
      </c>
    </row>
    <row r="118" spans="1:5">
      <c r="A118" s="152" t="s">
        <v>125</v>
      </c>
      <c r="B118" s="152" t="s">
        <v>124</v>
      </c>
      <c r="C118" s="152" t="s">
        <v>124</v>
      </c>
      <c r="D118" s="152" t="s">
        <v>124</v>
      </c>
      <c r="E118" s="152" t="s">
        <v>124</v>
      </c>
    </row>
    <row r="119" spans="1:5">
      <c r="A119" s="152" t="s">
        <v>126</v>
      </c>
      <c r="B119" s="155">
        <v>1</v>
      </c>
      <c r="C119" s="155">
        <v>1</v>
      </c>
      <c r="D119" s="155">
        <v>1</v>
      </c>
      <c r="E119" s="155">
        <v>1</v>
      </c>
    </row>
    <row r="120" spans="1:5">
      <c r="A120" s="152" t="s">
        <v>127</v>
      </c>
      <c r="B120" s="152" t="s">
        <v>128</v>
      </c>
      <c r="C120" s="152" t="s">
        <v>128</v>
      </c>
      <c r="D120" s="152" t="s">
        <v>128</v>
      </c>
      <c r="E120" s="152" t="s">
        <v>128</v>
      </c>
    </row>
    <row r="121" spans="1:5">
      <c r="A121" s="152" t="s">
        <v>129</v>
      </c>
      <c r="D121" s="154">
        <v>25</v>
      </c>
    </row>
    <row r="122" spans="1:5">
      <c r="A122" s="152" t="s">
        <v>130</v>
      </c>
    </row>
    <row r="123" spans="1:5">
      <c r="A123" s="152" t="s">
        <v>131</v>
      </c>
      <c r="C123" s="152" t="s">
        <v>132</v>
      </c>
      <c r="D123" s="152" t="s">
        <v>132</v>
      </c>
      <c r="E123" s="152" t="s">
        <v>132</v>
      </c>
    </row>
    <row r="124" spans="1:5">
      <c r="A124" s="152" t="s">
        <v>133</v>
      </c>
    </row>
    <row r="125" spans="1:5">
      <c r="A125" s="152" t="s">
        <v>134</v>
      </c>
    </row>
    <row r="126" spans="1:5">
      <c r="A126" s="152" t="s">
        <v>135</v>
      </c>
    </row>
    <row r="127" spans="1:5">
      <c r="A127" s="152" t="s">
        <v>136</v>
      </c>
      <c r="B127" s="152" t="s">
        <v>137</v>
      </c>
      <c r="C127" s="152" t="s">
        <v>138</v>
      </c>
      <c r="D127" s="152" t="s">
        <v>139</v>
      </c>
      <c r="E127" s="152" t="s">
        <v>140</v>
      </c>
    </row>
    <row r="128" spans="1:5">
      <c r="A128" s="152" t="s">
        <v>141</v>
      </c>
      <c r="B128" s="152" t="s">
        <v>142</v>
      </c>
      <c r="C128" s="152" t="s">
        <v>142</v>
      </c>
      <c r="D128" s="152" t="s">
        <v>142</v>
      </c>
      <c r="E128" s="152" t="s">
        <v>142</v>
      </c>
    </row>
    <row r="131" spans="1:1">
      <c r="A131" s="152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171875" defaultRowHeight="14.35"/>
  <cols>
    <col min="1" max="1" width="67.1171875" style="152"/>
    <col min="2" max="5" width="19.41015625" style="152"/>
    <col min="6" max="16384" width="9.1171875" style="152"/>
  </cols>
  <sheetData>
    <row r="1" spans="1:5">
      <c r="A1" s="152" t="s">
        <v>144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145</v>
      </c>
      <c r="B4" s="154">
        <v>1152767947.3900001</v>
      </c>
      <c r="C4" s="154">
        <v>2311679078.3000002</v>
      </c>
      <c r="D4" s="154">
        <v>2314271461.3000002</v>
      </c>
      <c r="E4" s="154">
        <v>2221450533.8200002</v>
      </c>
    </row>
    <row r="5" spans="1:5">
      <c r="A5" s="152" t="s">
        <v>146</v>
      </c>
      <c r="B5" s="154">
        <v>1152767947.3900001</v>
      </c>
      <c r="C5" s="154">
        <v>2311679078.3000002</v>
      </c>
      <c r="D5" s="154">
        <v>2314271461.3000002</v>
      </c>
      <c r="E5" s="154">
        <v>2221450533.8200002</v>
      </c>
    </row>
    <row r="6" spans="1:5">
      <c r="A6" s="152" t="s">
        <v>147</v>
      </c>
    </row>
    <row r="7" spans="1:5">
      <c r="A7" s="153" t="s">
        <v>148</v>
      </c>
      <c r="B7" s="154">
        <v>1058375385.26</v>
      </c>
      <c r="C7" s="154">
        <v>2123514528.0999999</v>
      </c>
      <c r="D7" s="154">
        <v>2089439650.1199999</v>
      </c>
      <c r="E7" s="154">
        <v>2047348948.6300001</v>
      </c>
    </row>
    <row r="8" spans="1:5">
      <c r="A8" s="152" t="s">
        <v>149</v>
      </c>
      <c r="B8" s="154">
        <v>997805867.38</v>
      </c>
      <c r="C8" s="154">
        <v>1993923949.24</v>
      </c>
      <c r="D8" s="154">
        <v>1938238326.27</v>
      </c>
      <c r="E8" s="154">
        <v>1916787101.6500001</v>
      </c>
    </row>
    <row r="9" spans="1:5">
      <c r="A9" s="152" t="s">
        <v>150</v>
      </c>
      <c r="B9" s="154">
        <v>8892612.5600000005</v>
      </c>
      <c r="C9" s="154">
        <v>21775337.57</v>
      </c>
      <c r="D9" s="154">
        <v>25224846.260000002</v>
      </c>
      <c r="E9" s="154">
        <v>21428259.449999999</v>
      </c>
    </row>
    <row r="10" spans="1:5">
      <c r="A10" s="152" t="s">
        <v>151</v>
      </c>
      <c r="B10" s="154">
        <v>1469863.33</v>
      </c>
      <c r="C10" s="154">
        <v>1937914.65</v>
      </c>
      <c r="D10" s="154">
        <v>1713769</v>
      </c>
      <c r="E10" s="154">
        <v>1224615.1599999999</v>
      </c>
    </row>
    <row r="11" spans="1:5">
      <c r="A11" s="152" t="s">
        <v>152</v>
      </c>
      <c r="B11" s="154">
        <v>56081912.210000001</v>
      </c>
      <c r="C11" s="154">
        <v>114770889.41</v>
      </c>
      <c r="D11" s="154">
        <v>129373343.88</v>
      </c>
      <c r="E11" s="154">
        <v>115760906.81999999</v>
      </c>
    </row>
    <row r="12" spans="1:5">
      <c r="A12" s="152" t="s">
        <v>153</v>
      </c>
    </row>
    <row r="13" spans="1:5">
      <c r="A13" s="152" t="s">
        <v>154</v>
      </c>
      <c r="B13" s="154">
        <v>-5874870.2199999997</v>
      </c>
      <c r="C13" s="154">
        <v>-8893562.7699999996</v>
      </c>
      <c r="D13" s="154">
        <v>-5110635.29</v>
      </c>
      <c r="E13" s="154">
        <v>-7851934.4500000002</v>
      </c>
    </row>
    <row r="14" spans="1:5">
      <c r="A14" s="152" t="s">
        <v>155</v>
      </c>
      <c r="B14" s="154">
        <v>7920541.3499999996</v>
      </c>
      <c r="C14" s="154">
        <v>17656979.57</v>
      </c>
      <c r="D14" s="154">
        <v>6803683.6500000004</v>
      </c>
      <c r="E14" s="154">
        <v>6714085.2699999996</v>
      </c>
    </row>
    <row r="15" spans="1:5">
      <c r="A15" s="152" t="s">
        <v>156</v>
      </c>
      <c r="B15" s="154">
        <v>14914657.52</v>
      </c>
      <c r="C15" s="154">
        <v>36979824.759999998</v>
      </c>
      <c r="D15" s="154">
        <v>17400177.75</v>
      </c>
      <c r="E15" s="154">
        <v>19201696.719999999</v>
      </c>
    </row>
    <row r="16" spans="1:5">
      <c r="A16" s="152" t="s">
        <v>157</v>
      </c>
    </row>
    <row r="17" spans="1:5">
      <c r="A17" s="152" t="s">
        <v>158</v>
      </c>
      <c r="B17" s="154">
        <v>84500000</v>
      </c>
      <c r="C17" s="154">
        <v>181237224.34999999</v>
      </c>
      <c r="D17" s="154">
        <v>179032787.63999999</v>
      </c>
      <c r="E17" s="154">
        <v>179064093</v>
      </c>
    </row>
    <row r="18" spans="1:5">
      <c r="A18" s="152" t="s">
        <v>159</v>
      </c>
      <c r="B18" s="154">
        <v>1203278.29</v>
      </c>
      <c r="C18" s="154">
        <v>1515042.18</v>
      </c>
      <c r="D18" s="154">
        <v>330357.83</v>
      </c>
      <c r="E18" s="154">
        <v>55609044.960000001</v>
      </c>
    </row>
    <row r="19" spans="1:5">
      <c r="A19" s="152" t="s">
        <v>160</v>
      </c>
    </row>
    <row r="20" spans="1:5">
      <c r="A20" s="152" t="s">
        <v>161</v>
      </c>
    </row>
    <row r="21" spans="1:5">
      <c r="A21" s="152" t="s">
        <v>162</v>
      </c>
    </row>
    <row r="22" spans="1:5">
      <c r="A22" s="152" t="s">
        <v>163</v>
      </c>
      <c r="B22" s="154">
        <v>305900</v>
      </c>
      <c r="C22" s="154">
        <v>24340800</v>
      </c>
      <c r="D22" s="154">
        <v>17156846</v>
      </c>
      <c r="E22" s="154">
        <v>6542299</v>
      </c>
    </row>
    <row r="23" spans="1:5">
      <c r="A23" s="152" t="s">
        <v>164</v>
      </c>
      <c r="E23" s="154">
        <v>-720657.94</v>
      </c>
    </row>
    <row r="24" spans="1:5">
      <c r="A24" s="152" t="s">
        <v>165</v>
      </c>
      <c r="B24" s="154">
        <v>-515802.27</v>
      </c>
      <c r="C24" s="154">
        <v>-115747.94</v>
      </c>
      <c r="D24" s="154">
        <v>1924136.48</v>
      </c>
    </row>
    <row r="25" spans="1:5">
      <c r="A25" s="152" t="s">
        <v>166</v>
      </c>
      <c r="C25" s="154">
        <v>925366.15</v>
      </c>
      <c r="D25" s="154">
        <v>-1424081.07</v>
      </c>
    </row>
    <row r="26" spans="1:5">
      <c r="A26" s="152" t="s">
        <v>167</v>
      </c>
    </row>
    <row r="27" spans="1:5">
      <c r="A27" s="152" t="s">
        <v>168</v>
      </c>
    </row>
    <row r="28" spans="1:5">
      <c r="A28" s="152" t="s">
        <v>169</v>
      </c>
    </row>
    <row r="29" spans="1:5">
      <c r="A29" s="153" t="s">
        <v>170</v>
      </c>
      <c r="B29" s="154">
        <v>179885938.15000001</v>
      </c>
      <c r="C29" s="154">
        <v>396067234.94</v>
      </c>
      <c r="D29" s="154">
        <v>421851858.06</v>
      </c>
      <c r="E29" s="154">
        <v>414596364.20999998</v>
      </c>
    </row>
    <row r="30" spans="1:5">
      <c r="A30" s="152" t="s">
        <v>171</v>
      </c>
      <c r="B30" s="154">
        <v>3159408.51</v>
      </c>
      <c r="C30" s="154">
        <v>24891248.920000002</v>
      </c>
      <c r="D30" s="154">
        <v>10368861.98</v>
      </c>
      <c r="E30" s="154">
        <v>3214830.28</v>
      </c>
    </row>
    <row r="31" spans="1:5">
      <c r="A31" s="152" t="s">
        <v>172</v>
      </c>
      <c r="B31" s="154">
        <v>939695.16</v>
      </c>
      <c r="C31" s="154">
        <v>9085871.4600000009</v>
      </c>
      <c r="D31" s="154">
        <v>2963708.82</v>
      </c>
      <c r="E31" s="154">
        <v>524551.9</v>
      </c>
    </row>
    <row r="32" spans="1:5">
      <c r="A32" s="152" t="s">
        <v>173</v>
      </c>
    </row>
    <row r="33" spans="1:5">
      <c r="A33" s="152" t="s">
        <v>174</v>
      </c>
    </row>
    <row r="34" spans="1:5">
      <c r="A34" s="152" t="s">
        <v>175</v>
      </c>
    </row>
    <row r="35" spans="1:5">
      <c r="A35" s="153" t="s">
        <v>176</v>
      </c>
      <c r="B35" s="154">
        <v>182105651.5</v>
      </c>
      <c r="C35" s="154">
        <v>411872612.39999998</v>
      </c>
      <c r="D35" s="154">
        <v>429257011.22000003</v>
      </c>
      <c r="E35" s="154">
        <v>417286642.58999997</v>
      </c>
    </row>
    <row r="36" spans="1:5">
      <c r="A36" s="152" t="s">
        <v>177</v>
      </c>
      <c r="B36" s="154">
        <v>1487692.24</v>
      </c>
      <c r="C36" s="154">
        <v>18387777.68</v>
      </c>
      <c r="D36" s="154">
        <v>34457495.25</v>
      </c>
      <c r="E36" s="154">
        <v>33984825.780000001</v>
      </c>
    </row>
    <row r="37" spans="1:5">
      <c r="A37" s="152" t="s">
        <v>178</v>
      </c>
    </row>
    <row r="38" spans="1:5">
      <c r="A38" s="152" t="s">
        <v>179</v>
      </c>
    </row>
    <row r="39" spans="1:5">
      <c r="A39" s="152" t="s">
        <v>180</v>
      </c>
    </row>
    <row r="40" spans="1:5">
      <c r="A40" s="153" t="s">
        <v>181</v>
      </c>
      <c r="B40" s="154">
        <v>180617959.25999999</v>
      </c>
      <c r="C40" s="154">
        <v>393484834.72000003</v>
      </c>
      <c r="D40" s="154">
        <v>394799515.97000003</v>
      </c>
      <c r="E40" s="154">
        <v>383301816.81</v>
      </c>
    </row>
    <row r="41" spans="1:5">
      <c r="A41" s="152" t="s">
        <v>182</v>
      </c>
      <c r="B41" s="154">
        <v>180617959.25999999</v>
      </c>
      <c r="C41" s="154">
        <v>393484834.72000003</v>
      </c>
      <c r="D41" s="154">
        <v>394799515.97000003</v>
      </c>
      <c r="E41" s="154">
        <v>383301816.81</v>
      </c>
    </row>
    <row r="42" spans="1:5">
      <c r="A42" s="152" t="s">
        <v>183</v>
      </c>
    </row>
    <row r="43" spans="1:5">
      <c r="A43" s="152" t="s">
        <v>184</v>
      </c>
      <c r="B43" s="154">
        <v>3767676.53</v>
      </c>
      <c r="C43" s="154">
        <v>38869368.439999998</v>
      </c>
      <c r="D43" s="154">
        <v>42595613.049999997</v>
      </c>
      <c r="E43" s="154">
        <v>24613295.780000001</v>
      </c>
    </row>
    <row r="44" spans="1:5">
      <c r="A44" s="152" t="s">
        <v>185</v>
      </c>
      <c r="B44" s="154">
        <v>176850282.72999999</v>
      </c>
      <c r="C44" s="154">
        <v>354615466.27999997</v>
      </c>
      <c r="D44" s="154">
        <v>352203902.92000002</v>
      </c>
      <c r="E44" s="154">
        <v>358688521.02999997</v>
      </c>
    </row>
    <row r="45" spans="1:5">
      <c r="A45" s="152" t="s">
        <v>186</v>
      </c>
      <c r="C45" s="154">
        <v>1121080.68</v>
      </c>
    </row>
    <row r="46" spans="1:5">
      <c r="A46" s="153" t="s">
        <v>187</v>
      </c>
      <c r="B46" s="154">
        <v>180617959.25999999</v>
      </c>
      <c r="C46" s="154">
        <v>394605915.39999998</v>
      </c>
      <c r="D46" s="154">
        <v>394799515.97000003</v>
      </c>
      <c r="E46" s="154">
        <v>383301816.81</v>
      </c>
    </row>
    <row r="47" spans="1:5">
      <c r="A47" s="152" t="s">
        <v>188</v>
      </c>
      <c r="B47" s="154">
        <v>3767676.53</v>
      </c>
      <c r="C47" s="154">
        <v>38869368.439999998</v>
      </c>
      <c r="D47" s="154">
        <v>42595613.049999997</v>
      </c>
      <c r="E47" s="154">
        <v>24613295.780000001</v>
      </c>
    </row>
    <row r="48" spans="1:5">
      <c r="A48" s="152" t="s">
        <v>189</v>
      </c>
      <c r="B48" s="154">
        <v>176850282.72999999</v>
      </c>
      <c r="C48" s="154">
        <v>355736546.95999998</v>
      </c>
      <c r="D48" s="154">
        <v>352203902.92000002</v>
      </c>
      <c r="E48" s="154">
        <v>358688521.02999997</v>
      </c>
    </row>
    <row r="49" spans="1:5">
      <c r="A49" s="153" t="s">
        <v>190</v>
      </c>
    </row>
    <row r="50" spans="1:5">
      <c r="A50" s="152" t="s">
        <v>191</v>
      </c>
    </row>
    <row r="51" spans="1:5">
      <c r="A51" s="152" t="s">
        <v>192</v>
      </c>
    </row>
    <row r="52" spans="1:5">
      <c r="A52" s="152" t="s">
        <v>123</v>
      </c>
      <c r="B52" s="152" t="s">
        <v>124</v>
      </c>
      <c r="C52" s="152" t="s">
        <v>124</v>
      </c>
      <c r="D52" s="152" t="s">
        <v>124</v>
      </c>
      <c r="E52" s="152" t="s">
        <v>124</v>
      </c>
    </row>
    <row r="53" spans="1:5">
      <c r="A53" s="152" t="s">
        <v>125</v>
      </c>
      <c r="B53" s="152" t="s">
        <v>124</v>
      </c>
      <c r="C53" s="152" t="s">
        <v>124</v>
      </c>
      <c r="D53" s="152" t="s">
        <v>124</v>
      </c>
      <c r="E53" s="152" t="s">
        <v>124</v>
      </c>
    </row>
    <row r="54" spans="1:5">
      <c r="A54" s="152" t="s">
        <v>126</v>
      </c>
      <c r="B54" s="155">
        <v>1</v>
      </c>
      <c r="C54" s="155">
        <v>1</v>
      </c>
      <c r="D54" s="155">
        <v>1</v>
      </c>
      <c r="E54" s="155">
        <v>1</v>
      </c>
    </row>
    <row r="55" spans="1:5">
      <c r="A55" s="152" t="s">
        <v>193</v>
      </c>
      <c r="B55" s="152" t="s">
        <v>128</v>
      </c>
      <c r="C55" s="152" t="s">
        <v>128</v>
      </c>
      <c r="D55" s="152" t="s">
        <v>128</v>
      </c>
      <c r="E55" s="152" t="s">
        <v>128</v>
      </c>
    </row>
    <row r="56" spans="1:5">
      <c r="A56" s="152" t="s">
        <v>129</v>
      </c>
      <c r="D56" s="154">
        <v>25</v>
      </c>
    </row>
    <row r="57" spans="1:5">
      <c r="A57" s="152" t="s">
        <v>130</v>
      </c>
    </row>
    <row r="58" spans="1:5">
      <c r="A58" s="152" t="s">
        <v>131</v>
      </c>
      <c r="C58" s="152" t="s">
        <v>132</v>
      </c>
      <c r="D58" s="152" t="s">
        <v>132</v>
      </c>
      <c r="E58" s="152" t="s">
        <v>132</v>
      </c>
    </row>
    <row r="59" spans="1:5">
      <c r="A59" s="152" t="s">
        <v>133</v>
      </c>
    </row>
    <row r="60" spans="1:5">
      <c r="A60" s="152" t="s">
        <v>134</v>
      </c>
    </row>
    <row r="61" spans="1:5">
      <c r="A61" s="152" t="s">
        <v>135</v>
      </c>
    </row>
    <row r="62" spans="1:5">
      <c r="A62" s="152" t="s">
        <v>136</v>
      </c>
      <c r="B62" s="152" t="s">
        <v>137</v>
      </c>
      <c r="C62" s="152" t="s">
        <v>138</v>
      </c>
      <c r="D62" s="152" t="s">
        <v>139</v>
      </c>
      <c r="E62" s="152" t="s">
        <v>140</v>
      </c>
    </row>
    <row r="63" spans="1:5">
      <c r="A63" s="152" t="s">
        <v>141</v>
      </c>
      <c r="B63" s="152" t="s">
        <v>142</v>
      </c>
      <c r="C63" s="152" t="s">
        <v>142</v>
      </c>
      <c r="D63" s="152" t="s">
        <v>142</v>
      </c>
      <c r="E63" s="152" t="s">
        <v>142</v>
      </c>
    </row>
    <row r="66" spans="1:1">
      <c r="A66" s="152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171875" defaultRowHeight="14.35"/>
  <cols>
    <col min="1" max="1" width="71.41015625" style="152"/>
    <col min="2" max="2" width="19.41015625" style="152"/>
    <col min="3" max="3" width="20.5859375" style="152"/>
    <col min="4" max="4" width="19.41015625" style="152"/>
    <col min="5" max="5" width="20.5859375" style="152"/>
    <col min="6" max="16384" width="9.1171875" style="152"/>
  </cols>
  <sheetData>
    <row r="1" spans="1:5">
      <c r="A1" s="152" t="s">
        <v>194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195</v>
      </c>
    </row>
    <row r="5" spans="1:5">
      <c r="A5" s="152" t="s">
        <v>196</v>
      </c>
      <c r="B5" s="154">
        <v>209283230.56</v>
      </c>
      <c r="C5" s="154">
        <v>2591296967.1399999</v>
      </c>
      <c r="D5" s="154">
        <v>2666403082.6799998</v>
      </c>
      <c r="E5" s="154">
        <v>2337723417</v>
      </c>
    </row>
    <row r="6" spans="1:5">
      <c r="A6" s="152" t="s">
        <v>197</v>
      </c>
    </row>
    <row r="7" spans="1:5">
      <c r="A7" s="152" t="s">
        <v>198</v>
      </c>
      <c r="B7" s="154">
        <v>2390954855.3000002</v>
      </c>
      <c r="C7" s="154">
        <v>2391173241.6700001</v>
      </c>
      <c r="D7" s="154">
        <v>3052027818.7399998</v>
      </c>
      <c r="E7" s="154">
        <v>3474307180.2199998</v>
      </c>
    </row>
    <row r="8" spans="1:5">
      <c r="A8" s="152" t="s">
        <v>199</v>
      </c>
    </row>
    <row r="9" spans="1:5">
      <c r="A9" s="152" t="s">
        <v>200</v>
      </c>
    </row>
    <row r="10" spans="1:5">
      <c r="A10" s="152" t="s">
        <v>201</v>
      </c>
    </row>
    <row r="11" spans="1:5">
      <c r="A11" s="153" t="s">
        <v>202</v>
      </c>
      <c r="B11" s="154">
        <v>2600238085.8600001</v>
      </c>
      <c r="C11" s="154">
        <v>4982470208.8100004</v>
      </c>
      <c r="D11" s="154">
        <v>5718430901.4200001</v>
      </c>
      <c r="E11" s="154">
        <v>5812030597.2200003</v>
      </c>
    </row>
    <row r="12" spans="1:5">
      <c r="A12" s="152" t="s">
        <v>203</v>
      </c>
      <c r="B12" s="154">
        <v>2251069384.4099998</v>
      </c>
      <c r="C12" s="154">
        <v>3314480942.4099998</v>
      </c>
      <c r="D12" s="154">
        <v>2557123417.25</v>
      </c>
      <c r="E12" s="154">
        <v>1797457196.1900001</v>
      </c>
    </row>
    <row r="13" spans="1:5">
      <c r="A13" s="152" t="s">
        <v>204</v>
      </c>
      <c r="B13" s="154">
        <v>49160299.420000002</v>
      </c>
      <c r="C13" s="154">
        <v>61671721.329999998</v>
      </c>
      <c r="D13" s="154">
        <v>59971708.579999998</v>
      </c>
      <c r="E13" s="154">
        <v>50607045.149999999</v>
      </c>
    </row>
    <row r="14" spans="1:5">
      <c r="A14" s="152" t="s">
        <v>205</v>
      </c>
      <c r="B14" s="154">
        <v>18603494.859999999</v>
      </c>
      <c r="C14" s="154">
        <v>36008762.560000002</v>
      </c>
      <c r="D14" s="154">
        <v>66121492.229999997</v>
      </c>
      <c r="E14" s="154">
        <v>29484711.02</v>
      </c>
    </row>
    <row r="15" spans="1:5">
      <c r="A15" s="152" t="s">
        <v>206</v>
      </c>
      <c r="B15" s="154">
        <v>1186430666.79</v>
      </c>
      <c r="C15" s="154">
        <v>2022145561.01</v>
      </c>
      <c r="D15" s="154">
        <v>2028986437.4100001</v>
      </c>
      <c r="E15" s="154">
        <v>2724437131.4400001</v>
      </c>
    </row>
    <row r="16" spans="1:5">
      <c r="A16" s="152" t="s">
        <v>207</v>
      </c>
    </row>
    <row r="17" spans="1:5">
      <c r="A17" s="152" t="s">
        <v>208</v>
      </c>
    </row>
    <row r="18" spans="1:5">
      <c r="A18" s="152" t="s">
        <v>209</v>
      </c>
    </row>
    <row r="19" spans="1:5">
      <c r="A19" s="153" t="s">
        <v>210</v>
      </c>
      <c r="B19" s="154">
        <v>3505263845.48</v>
      </c>
      <c r="C19" s="154">
        <v>5434306987.3100004</v>
      </c>
      <c r="D19" s="154">
        <v>4712203055.4700003</v>
      </c>
      <c r="E19" s="154">
        <v>4601986083.8000002</v>
      </c>
    </row>
    <row r="20" spans="1:5">
      <c r="A20" s="152" t="s">
        <v>211</v>
      </c>
      <c r="B20" s="154">
        <v>-0.01</v>
      </c>
      <c r="C20" s="154">
        <v>0.01</v>
      </c>
    </row>
    <row r="21" spans="1:5">
      <c r="A21" s="153" t="s">
        <v>212</v>
      </c>
      <c r="B21" s="154">
        <v>-905025759.63</v>
      </c>
      <c r="C21" s="154">
        <v>-451836778.49000001</v>
      </c>
      <c r="D21" s="154">
        <v>1006227845.95</v>
      </c>
      <c r="E21" s="154">
        <v>1210044513.4200001</v>
      </c>
    </row>
    <row r="22" spans="1:5">
      <c r="A22" s="153" t="s">
        <v>213</v>
      </c>
    </row>
    <row r="23" spans="1:5">
      <c r="A23" s="152" t="s">
        <v>214</v>
      </c>
      <c r="C23" s="154">
        <v>27682501</v>
      </c>
    </row>
    <row r="24" spans="1:5">
      <c r="A24" s="152" t="s">
        <v>215</v>
      </c>
      <c r="C24" s="154">
        <v>1857123.3</v>
      </c>
      <c r="D24" s="154">
        <v>330357.83</v>
      </c>
      <c r="E24" s="154">
        <v>32547844.239999998</v>
      </c>
    </row>
    <row r="25" spans="1:5">
      <c r="A25" s="152" t="s">
        <v>216</v>
      </c>
      <c r="E25" s="154">
        <v>1000</v>
      </c>
    </row>
    <row r="26" spans="1:5">
      <c r="A26" s="152" t="s">
        <v>217</v>
      </c>
    </row>
    <row r="27" spans="1:5">
      <c r="A27" s="152" t="s">
        <v>218</v>
      </c>
      <c r="C27" s="154">
        <v>55158.86</v>
      </c>
      <c r="D27" s="154">
        <v>1051665.78</v>
      </c>
    </row>
    <row r="28" spans="1:5">
      <c r="A28" s="152" t="s">
        <v>219</v>
      </c>
    </row>
    <row r="29" spans="1:5">
      <c r="A29" s="152" t="s">
        <v>220</v>
      </c>
    </row>
    <row r="30" spans="1:5">
      <c r="A30" s="153" t="s">
        <v>221</v>
      </c>
      <c r="C30" s="154">
        <v>29594783.16</v>
      </c>
      <c r="D30" s="154">
        <v>1382023.61</v>
      </c>
      <c r="E30" s="154">
        <v>32548844.239999998</v>
      </c>
    </row>
    <row r="31" spans="1:5">
      <c r="A31" s="152" t="s">
        <v>222</v>
      </c>
      <c r="B31" s="154">
        <v>321308819.49000001</v>
      </c>
      <c r="C31" s="154">
        <v>155585168.38</v>
      </c>
      <c r="D31" s="154">
        <v>88134053.799999997</v>
      </c>
      <c r="E31" s="154">
        <v>118923092.09</v>
      </c>
    </row>
    <row r="32" spans="1:5">
      <c r="A32" s="152" t="s">
        <v>223</v>
      </c>
      <c r="C32" s="154">
        <v>763127459.84000003</v>
      </c>
      <c r="D32" s="154">
        <v>66900001</v>
      </c>
      <c r="E32" s="154">
        <v>95149980</v>
      </c>
    </row>
    <row r="33" spans="1:5">
      <c r="A33" s="152" t="s">
        <v>224</v>
      </c>
    </row>
    <row r="34" spans="1:5">
      <c r="A34" s="152" t="s">
        <v>225</v>
      </c>
      <c r="E34" s="154">
        <v>115772503.03</v>
      </c>
    </row>
    <row r="35" spans="1:5">
      <c r="A35" s="152" t="s">
        <v>226</v>
      </c>
    </row>
    <row r="36" spans="1:5">
      <c r="A36" s="152" t="s">
        <v>227</v>
      </c>
    </row>
    <row r="37" spans="1:5">
      <c r="A37" s="153" t="s">
        <v>228</v>
      </c>
      <c r="B37" s="154">
        <v>321308819.49000001</v>
      </c>
      <c r="C37" s="154">
        <v>918712628.22000003</v>
      </c>
      <c r="D37" s="154">
        <v>155034054.80000001</v>
      </c>
      <c r="E37" s="154">
        <v>329845575.12</v>
      </c>
    </row>
    <row r="38" spans="1:5">
      <c r="A38" s="152" t="s">
        <v>229</v>
      </c>
    </row>
    <row r="39" spans="1:5">
      <c r="A39" s="153" t="s">
        <v>230</v>
      </c>
      <c r="B39" s="154">
        <v>-321308819.49000001</v>
      </c>
      <c r="C39" s="154">
        <v>-889117845.05999994</v>
      </c>
      <c r="D39" s="154">
        <v>-153652031.19</v>
      </c>
      <c r="E39" s="154">
        <v>-297296730.88</v>
      </c>
    </row>
    <row r="40" spans="1:5">
      <c r="A40" s="153" t="s">
        <v>231</v>
      </c>
    </row>
    <row r="41" spans="1:5">
      <c r="A41" s="152" t="s">
        <v>232</v>
      </c>
      <c r="C41" s="154">
        <v>200000</v>
      </c>
      <c r="D41" s="154">
        <v>632225100</v>
      </c>
      <c r="E41" s="154">
        <v>200000000</v>
      </c>
    </row>
    <row r="42" spans="1:5">
      <c r="A42" s="152" t="s">
        <v>233</v>
      </c>
    </row>
    <row r="43" spans="1:5">
      <c r="A43" s="152" t="s">
        <v>234</v>
      </c>
      <c r="B43" s="154">
        <v>3775660000</v>
      </c>
      <c r="C43" s="154">
        <v>4089239500</v>
      </c>
      <c r="D43" s="154">
        <v>2799520000</v>
      </c>
      <c r="E43" s="154">
        <v>4795994300</v>
      </c>
    </row>
    <row r="44" spans="1:5">
      <c r="A44" s="152" t="s">
        <v>235</v>
      </c>
      <c r="B44" s="154">
        <v>335969864.79000002</v>
      </c>
      <c r="C44" s="154">
        <v>1040911973.99</v>
      </c>
      <c r="D44" s="154">
        <v>1493778472.03</v>
      </c>
      <c r="E44" s="154">
        <v>1998000000</v>
      </c>
    </row>
    <row r="45" spans="1:5">
      <c r="A45" s="152" t="s">
        <v>236</v>
      </c>
      <c r="C45" s="154">
        <v>500000000</v>
      </c>
      <c r="D45" s="154">
        <v>2390000000</v>
      </c>
      <c r="E45" s="154">
        <v>800000000</v>
      </c>
    </row>
    <row r="46" spans="1:5">
      <c r="A46" s="152" t="s">
        <v>237</v>
      </c>
    </row>
    <row r="47" spans="1:5">
      <c r="A47" s="152" t="s">
        <v>238</v>
      </c>
    </row>
    <row r="48" spans="1:5">
      <c r="A48" s="153" t="s">
        <v>239</v>
      </c>
      <c r="B48" s="154">
        <v>4111629864.79</v>
      </c>
      <c r="C48" s="154">
        <v>5630351473.9899998</v>
      </c>
      <c r="D48" s="154">
        <v>7315523572.0299997</v>
      </c>
      <c r="E48" s="154">
        <v>7793994300</v>
      </c>
    </row>
    <row r="49" spans="1:5">
      <c r="A49" s="152" t="s">
        <v>240</v>
      </c>
      <c r="B49" s="154">
        <v>1824850100</v>
      </c>
      <c r="C49" s="154">
        <v>4242319700</v>
      </c>
      <c r="D49" s="154">
        <v>5485033465</v>
      </c>
      <c r="E49" s="154">
        <v>6408938351.9099998</v>
      </c>
    </row>
    <row r="50" spans="1:5">
      <c r="A50" s="152" t="s">
        <v>241</v>
      </c>
      <c r="B50" s="154">
        <v>397177717.23000002</v>
      </c>
      <c r="C50" s="154">
        <v>887017867.30999994</v>
      </c>
      <c r="D50" s="154">
        <v>938470291.58000004</v>
      </c>
      <c r="E50" s="154">
        <v>938652465.60000002</v>
      </c>
    </row>
    <row r="51" spans="1:5">
      <c r="A51" s="152" t="s">
        <v>242</v>
      </c>
    </row>
    <row r="52" spans="1:5">
      <c r="A52" s="152" t="s">
        <v>243</v>
      </c>
      <c r="B52" s="154">
        <v>41763172.700000003</v>
      </c>
      <c r="C52" s="154">
        <v>482835574.17000002</v>
      </c>
      <c r="D52" s="154">
        <v>1142522692.1600001</v>
      </c>
      <c r="E52" s="154">
        <v>1475534172.0999999</v>
      </c>
    </row>
    <row r="53" spans="1:5">
      <c r="A53" s="152" t="s">
        <v>244</v>
      </c>
    </row>
    <row r="54" spans="1:5">
      <c r="A54" s="152" t="s">
        <v>245</v>
      </c>
    </row>
    <row r="55" spans="1:5">
      <c r="A55" s="153" t="s">
        <v>246</v>
      </c>
      <c r="B55" s="154">
        <v>2263790989.9299998</v>
      </c>
      <c r="C55" s="154">
        <v>5612173141.4799995</v>
      </c>
      <c r="D55" s="154">
        <v>7566026448.7399998</v>
      </c>
      <c r="E55" s="154">
        <v>8823124989.6100006</v>
      </c>
    </row>
    <row r="56" spans="1:5">
      <c r="A56" s="152" t="s">
        <v>247</v>
      </c>
    </row>
    <row r="57" spans="1:5">
      <c r="A57" s="153" t="s">
        <v>248</v>
      </c>
      <c r="B57" s="154">
        <v>1847838874.8599999</v>
      </c>
      <c r="C57" s="154">
        <v>18178332.510000002</v>
      </c>
      <c r="D57" s="154">
        <v>-250502876.71000001</v>
      </c>
      <c r="E57" s="154">
        <v>-1029130689.61</v>
      </c>
    </row>
    <row r="58" spans="1:5">
      <c r="A58" s="153" t="s">
        <v>249</v>
      </c>
    </row>
    <row r="59" spans="1:5">
      <c r="A59" s="152" t="s">
        <v>250</v>
      </c>
    </row>
    <row r="60" spans="1:5">
      <c r="A60" s="152" t="s">
        <v>251</v>
      </c>
    </row>
    <row r="61" spans="1:5">
      <c r="A61" s="153" t="s">
        <v>252</v>
      </c>
      <c r="B61" s="154">
        <v>621504295.74000001</v>
      </c>
      <c r="C61" s="154">
        <v>-1322776291.04</v>
      </c>
      <c r="D61" s="154">
        <v>602072938.04999995</v>
      </c>
      <c r="E61" s="154">
        <v>-116382907.06999999</v>
      </c>
    </row>
    <row r="62" spans="1:5">
      <c r="A62" s="152" t="s">
        <v>253</v>
      </c>
      <c r="B62" s="154">
        <v>1185185099.1400001</v>
      </c>
      <c r="C62" s="154">
        <v>2507961390.1799998</v>
      </c>
      <c r="D62" s="154">
        <v>1905888452.1300001</v>
      </c>
      <c r="E62" s="154">
        <v>2022271359.2</v>
      </c>
    </row>
    <row r="63" spans="1:5">
      <c r="A63" s="152" t="s">
        <v>254</v>
      </c>
      <c r="B63" s="154">
        <v>1806689394.8800001</v>
      </c>
      <c r="C63" s="154">
        <v>1185185099.1400001</v>
      </c>
      <c r="D63" s="154">
        <v>2507961390.1799998</v>
      </c>
      <c r="E63" s="154">
        <v>1905888452.1300001</v>
      </c>
    </row>
    <row r="64" spans="1:5">
      <c r="A64" s="153" t="s">
        <v>255</v>
      </c>
    </row>
    <row r="65" spans="1:5">
      <c r="A65" s="152" t="s">
        <v>256</v>
      </c>
      <c r="C65" s="154">
        <v>393484834.72000003</v>
      </c>
      <c r="D65" s="154">
        <v>394799515.97000003</v>
      </c>
      <c r="E65" s="154">
        <v>383301816.81</v>
      </c>
    </row>
    <row r="66" spans="1:5">
      <c r="A66" s="152" t="s">
        <v>257</v>
      </c>
      <c r="C66" s="154">
        <v>115747.94</v>
      </c>
      <c r="E66" s="154">
        <v>720657.94</v>
      </c>
    </row>
    <row r="67" spans="1:5">
      <c r="A67" s="152" t="s">
        <v>258</v>
      </c>
      <c r="D67" s="154">
        <v>-1924136.48</v>
      </c>
    </row>
    <row r="68" spans="1:5">
      <c r="A68" s="152" t="s">
        <v>259</v>
      </c>
      <c r="C68" s="154">
        <v>28103240.670000002</v>
      </c>
      <c r="D68" s="154">
        <v>37795962.259999998</v>
      </c>
      <c r="E68" s="154">
        <v>40339451.920000002</v>
      </c>
    </row>
    <row r="69" spans="1:5">
      <c r="A69" s="152" t="s">
        <v>260</v>
      </c>
      <c r="C69" s="154">
        <v>779558.28</v>
      </c>
      <c r="D69" s="154">
        <v>759575.73</v>
      </c>
      <c r="E69" s="154">
        <v>1188876.1299999999</v>
      </c>
    </row>
    <row r="70" spans="1:5">
      <c r="A70" s="152" t="s">
        <v>261</v>
      </c>
    </row>
    <row r="71" spans="1:5">
      <c r="A71" s="152" t="s">
        <v>262</v>
      </c>
      <c r="C71" s="154">
        <v>753351.2</v>
      </c>
      <c r="D71" s="154">
        <v>161729.91</v>
      </c>
      <c r="E71" s="154">
        <v>979800.5</v>
      </c>
    </row>
    <row r="72" spans="1:5">
      <c r="A72" s="152" t="s">
        <v>263</v>
      </c>
    </row>
    <row r="73" spans="1:5">
      <c r="A73" s="152" t="s">
        <v>264</v>
      </c>
    </row>
    <row r="74" spans="1:5">
      <c r="A74" s="152" t="s">
        <v>265</v>
      </c>
      <c r="C74" s="154">
        <v>-925366.15</v>
      </c>
      <c r="D74" s="154">
        <v>1424081.07</v>
      </c>
    </row>
    <row r="75" spans="1:5">
      <c r="A75" s="152" t="s">
        <v>266</v>
      </c>
      <c r="D75" s="154">
        <v>-674883.38</v>
      </c>
    </row>
    <row r="76" spans="1:5">
      <c r="A76" s="152" t="s">
        <v>267</v>
      </c>
      <c r="C76" s="154">
        <v>-24340800</v>
      </c>
      <c r="D76" s="154">
        <v>-17156846</v>
      </c>
      <c r="E76" s="154">
        <v>-6542299</v>
      </c>
    </row>
    <row r="77" spans="1:5">
      <c r="A77" s="152" t="s">
        <v>268</v>
      </c>
      <c r="C77" s="154">
        <v>17656979.57</v>
      </c>
      <c r="D77" s="154">
        <v>6803683.6500000004</v>
      </c>
      <c r="E77" s="154">
        <v>6714085.2699999996</v>
      </c>
    </row>
    <row r="78" spans="1:5">
      <c r="A78" s="152" t="s">
        <v>269</v>
      </c>
      <c r="C78" s="154">
        <v>-1515042.18</v>
      </c>
      <c r="D78" s="154">
        <v>-330357.83</v>
      </c>
      <c r="E78" s="154">
        <v>-55609044.960000001</v>
      </c>
    </row>
    <row r="79" spans="1:5">
      <c r="A79" s="152" t="s">
        <v>270</v>
      </c>
      <c r="C79" s="154">
        <v>-28936.99</v>
      </c>
      <c r="D79" s="154">
        <v>504784.14</v>
      </c>
      <c r="E79" s="154">
        <v>-203914.49</v>
      </c>
    </row>
    <row r="80" spans="1:5">
      <c r="A80" s="152" t="s">
        <v>271</v>
      </c>
      <c r="C80" s="154">
        <v>6496893.5599999996</v>
      </c>
      <c r="D80" s="154">
        <v>4321511.5</v>
      </c>
      <c r="E80" s="154">
        <v>-38158863.009999998</v>
      </c>
    </row>
    <row r="81" spans="1:5">
      <c r="A81" s="152" t="s">
        <v>272</v>
      </c>
      <c r="C81" s="154">
        <v>-1928220476.77</v>
      </c>
      <c r="D81" s="154">
        <v>-773033187.20000005</v>
      </c>
      <c r="E81" s="154">
        <v>687668329.85000002</v>
      </c>
    </row>
    <row r="82" spans="1:5">
      <c r="A82" s="152" t="s">
        <v>273</v>
      </c>
      <c r="C82" s="154">
        <v>238453713.97</v>
      </c>
      <c r="D82" s="154">
        <v>565785177.11000001</v>
      </c>
      <c r="E82" s="154">
        <v>-526144851.01999998</v>
      </c>
    </row>
    <row r="83" spans="1:5">
      <c r="A83" s="152" t="s">
        <v>274</v>
      </c>
      <c r="C83" s="154">
        <v>817349523.69000006</v>
      </c>
      <c r="D83" s="154">
        <v>786991235.5</v>
      </c>
      <c r="E83" s="154">
        <v>715790467.48000002</v>
      </c>
    </row>
    <row r="84" spans="1:5">
      <c r="A84" s="152" t="s">
        <v>275</v>
      </c>
    </row>
    <row r="85" spans="1:5">
      <c r="A85" s="152" t="s">
        <v>276</v>
      </c>
    </row>
    <row r="86" spans="1:5">
      <c r="A86" s="152" t="s">
        <v>277</v>
      </c>
    </row>
    <row r="87" spans="1:5">
      <c r="A87" s="152" t="s">
        <v>278</v>
      </c>
    </row>
    <row r="88" spans="1:5">
      <c r="A88" s="152" t="s">
        <v>279</v>
      </c>
      <c r="C88" s="154">
        <v>-451836778.49000001</v>
      </c>
      <c r="D88" s="154">
        <v>1006227845.95</v>
      </c>
      <c r="E88" s="154">
        <v>1210044513.4200001</v>
      </c>
    </row>
    <row r="89" spans="1:5">
      <c r="A89" s="152" t="s">
        <v>280</v>
      </c>
    </row>
    <row r="90" spans="1:5">
      <c r="A90" s="152" t="s">
        <v>281</v>
      </c>
    </row>
    <row r="91" spans="1:5">
      <c r="A91" s="152" t="s">
        <v>282</v>
      </c>
    </row>
    <row r="92" spans="1:5">
      <c r="A92" s="152" t="s">
        <v>283</v>
      </c>
      <c r="C92" s="154">
        <v>1185185099.1400001</v>
      </c>
      <c r="D92" s="154">
        <v>2507961390.1799998</v>
      </c>
      <c r="E92" s="154">
        <v>1905888452.1300001</v>
      </c>
    </row>
    <row r="93" spans="1:5">
      <c r="A93" s="152" t="s">
        <v>284</v>
      </c>
      <c r="C93" s="154">
        <v>2507961390.1799998</v>
      </c>
      <c r="D93" s="154">
        <v>1905888452.1300001</v>
      </c>
      <c r="E93" s="154">
        <v>2022271359.2</v>
      </c>
    </row>
    <row r="94" spans="1:5">
      <c r="A94" s="152" t="s">
        <v>285</v>
      </c>
    </row>
    <row r="95" spans="1:5">
      <c r="A95" s="152" t="s">
        <v>286</v>
      </c>
    </row>
    <row r="96" spans="1:5">
      <c r="A96" s="152" t="s">
        <v>287</v>
      </c>
    </row>
    <row r="97" spans="1:5">
      <c r="A97" s="152" t="s">
        <v>288</v>
      </c>
    </row>
    <row r="98" spans="1:5">
      <c r="A98" s="152" t="s">
        <v>289</v>
      </c>
      <c r="C98" s="154">
        <v>-1322776291.04</v>
      </c>
      <c r="D98" s="154">
        <v>602072938.04999995</v>
      </c>
      <c r="E98" s="154">
        <v>-116382907.06999999</v>
      </c>
    </row>
    <row r="99" spans="1:5">
      <c r="A99" s="152" t="s">
        <v>123</v>
      </c>
      <c r="B99" s="152" t="s">
        <v>124</v>
      </c>
      <c r="C99" s="152" t="s">
        <v>124</v>
      </c>
      <c r="D99" s="152" t="s">
        <v>124</v>
      </c>
      <c r="E99" s="152" t="s">
        <v>124</v>
      </c>
    </row>
    <row r="100" spans="1:5">
      <c r="A100" s="152" t="s">
        <v>125</v>
      </c>
      <c r="B100" s="152" t="s">
        <v>124</v>
      </c>
      <c r="C100" s="152" t="s">
        <v>124</v>
      </c>
      <c r="D100" s="152" t="s">
        <v>124</v>
      </c>
      <c r="E100" s="152" t="s">
        <v>124</v>
      </c>
    </row>
    <row r="101" spans="1:5">
      <c r="A101" s="152" t="s">
        <v>126</v>
      </c>
      <c r="B101" s="155">
        <v>1</v>
      </c>
      <c r="C101" s="155">
        <v>1</v>
      </c>
      <c r="D101" s="155">
        <v>1</v>
      </c>
      <c r="E101" s="155">
        <v>1</v>
      </c>
    </row>
    <row r="102" spans="1:5">
      <c r="A102" s="152" t="s">
        <v>193</v>
      </c>
      <c r="B102" s="152" t="s">
        <v>128</v>
      </c>
      <c r="C102" s="152" t="s">
        <v>128</v>
      </c>
      <c r="D102" s="152" t="s">
        <v>128</v>
      </c>
      <c r="E102" s="152" t="s">
        <v>128</v>
      </c>
    </row>
    <row r="103" spans="1:5">
      <c r="A103" s="152" t="s">
        <v>129</v>
      </c>
      <c r="D103" s="154">
        <v>25</v>
      </c>
    </row>
    <row r="104" spans="1:5">
      <c r="A104" s="152" t="s">
        <v>130</v>
      </c>
    </row>
    <row r="105" spans="1:5">
      <c r="A105" s="152" t="s">
        <v>131</v>
      </c>
      <c r="C105" s="152" t="s">
        <v>132</v>
      </c>
      <c r="D105" s="152" t="s">
        <v>132</v>
      </c>
      <c r="E105" s="152" t="s">
        <v>132</v>
      </c>
    </row>
    <row r="106" spans="1:5">
      <c r="A106" s="152" t="s">
        <v>133</v>
      </c>
    </row>
    <row r="107" spans="1:5">
      <c r="A107" s="152" t="s">
        <v>134</v>
      </c>
    </row>
    <row r="108" spans="1:5">
      <c r="A108" s="152" t="s">
        <v>135</v>
      </c>
    </row>
    <row r="109" spans="1:5">
      <c r="A109" s="152" t="s">
        <v>136</v>
      </c>
      <c r="B109" s="152" t="s">
        <v>137</v>
      </c>
      <c r="C109" s="152" t="s">
        <v>138</v>
      </c>
      <c r="D109" s="152" t="s">
        <v>139</v>
      </c>
      <c r="E109" s="152" t="s">
        <v>140</v>
      </c>
    </row>
    <row r="110" spans="1:5">
      <c r="A110" s="152" t="s">
        <v>141</v>
      </c>
      <c r="B110" s="152" t="s">
        <v>142</v>
      </c>
      <c r="C110" s="152" t="s">
        <v>142</v>
      </c>
      <c r="D110" s="152" t="s">
        <v>142</v>
      </c>
      <c r="E110" s="152" t="s">
        <v>142</v>
      </c>
    </row>
    <row r="113" spans="1:1">
      <c r="A113" s="152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3"/>
  </sheetPr>
  <dimension ref="A1:I111"/>
  <sheetViews>
    <sheetView topLeftCell="A95" zoomScale="105" zoomScaleNormal="175" workbookViewId="0">
      <selection activeCell="C96" sqref="C96:F106"/>
    </sheetView>
  </sheetViews>
  <sheetFormatPr defaultColWidth="9" defaultRowHeight="12.7"/>
  <cols>
    <col min="1" max="1" width="8.5859375" style="131" customWidth="1"/>
    <col min="2" max="2" width="16.41015625" customWidth="1"/>
    <col min="3" max="6" width="14.29296875" customWidth="1"/>
    <col min="7" max="7" width="20.87890625" customWidth="1"/>
    <col min="8" max="8" width="15.41015625"/>
  </cols>
  <sheetData>
    <row r="1" spans="1:9" ht="22.2" customHeight="1">
      <c r="A1" s="133" t="s">
        <v>290</v>
      </c>
      <c r="B1" s="134" t="s">
        <v>291</v>
      </c>
      <c r="C1" s="135">
        <v>45657</v>
      </c>
      <c r="D1" s="136">
        <v>45291</v>
      </c>
      <c r="E1" s="135">
        <v>44926</v>
      </c>
      <c r="F1" s="135">
        <v>44561</v>
      </c>
      <c r="G1" s="19" t="s">
        <v>292</v>
      </c>
    </row>
    <row r="2" spans="1:9" ht="14.1" customHeight="1">
      <c r="A2" s="146">
        <v>1000</v>
      </c>
      <c r="B2" s="140" t="s">
        <v>293</v>
      </c>
      <c r="C2" s="156"/>
      <c r="D2" s="147"/>
      <c r="E2" s="147"/>
      <c r="F2" s="147"/>
      <c r="G2">
        <f>C2+D2+E2+F2</f>
        <v>0</v>
      </c>
      <c r="H2" t="str">
        <f t="shared" ref="H2:H33" si="0">B2</f>
        <v xml:space="preserve">流动资产： </v>
      </c>
      <c r="I2" s="40"/>
    </row>
    <row r="3" spans="1:9" ht="14.1" customHeight="1">
      <c r="A3" s="146">
        <v>1001</v>
      </c>
      <c r="B3" s="146" t="s">
        <v>294</v>
      </c>
      <c r="C3" s="147"/>
      <c r="D3" s="147"/>
      <c r="E3" s="147"/>
      <c r="F3" s="147"/>
      <c r="G3">
        <f>C3+D3+E3+F3</f>
        <v>0</v>
      </c>
      <c r="H3" t="str">
        <f t="shared" si="0"/>
        <v xml:space="preserve">  货币资金 </v>
      </c>
      <c r="I3" s="40" t="str">
        <f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分别为0亿元、0亿元、0亿元及0亿元。</v>
      </c>
    </row>
    <row r="4" spans="1:9" ht="14.1" customHeight="1">
      <c r="A4" s="146">
        <v>1002</v>
      </c>
      <c r="B4" s="146" t="s">
        <v>295</v>
      </c>
      <c r="C4" s="147"/>
      <c r="D4" s="147"/>
      <c r="E4" s="147"/>
      <c r="F4" s="147"/>
      <c r="G4">
        <f t="shared" ref="G4:G33" si="1">C4+D4+E4+F4</f>
        <v>0</v>
      </c>
      <c r="H4" t="str">
        <f t="shared" si="0"/>
        <v xml:space="preserve">  结算备付金* </v>
      </c>
      <c r="I4" s="40" t="str">
        <f t="shared" ref="I4:I24" si="2">CONCATENATE("近三年及一期，拟承租人",B4,"分别为",ROUND(F4/100000000,2),"亿元、",ROUND(E4/100000000,2),"亿元、",ROUND(D4/100000000,2),"亿元及",ROUND(C4/100000000,2),"亿元。")</f>
        <v>近三年及一期，拟承租人  结算备付金* 分别为0亿元、0亿元、0亿元及0亿元。</v>
      </c>
    </row>
    <row r="5" spans="1:9" ht="14.1" customHeight="1">
      <c r="A5" s="146">
        <v>1003</v>
      </c>
      <c r="B5" s="146" t="s">
        <v>296</v>
      </c>
      <c r="C5" s="147"/>
      <c r="D5" s="147"/>
      <c r="E5" s="147"/>
      <c r="F5" s="147"/>
      <c r="G5">
        <f t="shared" si="1"/>
        <v>0</v>
      </c>
      <c r="H5" t="str">
        <f t="shared" si="0"/>
        <v xml:space="preserve">  拆出资金* </v>
      </c>
      <c r="I5" s="40" t="str">
        <f t="shared" si="2"/>
        <v>近三年及一期，拟承租人  拆出资金* 分别为0亿元、0亿元、0亿元及0亿元。</v>
      </c>
    </row>
    <row r="6" spans="1:9" ht="14.1" customHeight="1">
      <c r="A6" s="146">
        <v>1004</v>
      </c>
      <c r="B6" s="146" t="s">
        <v>297</v>
      </c>
      <c r="C6" s="147"/>
      <c r="D6" s="147"/>
      <c r="E6" s="147"/>
      <c r="F6" s="147"/>
      <c r="G6">
        <f t="shared" si="1"/>
        <v>0</v>
      </c>
      <c r="H6" t="str">
        <f t="shared" si="0"/>
        <v xml:space="preserve">  交易性金融资产 </v>
      </c>
      <c r="I6" s="40" t="str">
        <f t="shared" si="2"/>
        <v>近三年及一期，拟承租人  交易性金融资产 分别为0亿元、0亿元、0亿元及0亿元。</v>
      </c>
    </row>
    <row r="7" spans="1:9" ht="14.1" customHeight="1">
      <c r="A7" s="146">
        <v>1005</v>
      </c>
      <c r="B7" s="146" t="s">
        <v>298</v>
      </c>
      <c r="C7" s="147"/>
      <c r="D7" s="147"/>
      <c r="E7" s="147"/>
      <c r="F7" s="147"/>
      <c r="G7">
        <f t="shared" si="1"/>
        <v>0</v>
      </c>
      <c r="H7" t="str">
        <f t="shared" si="0"/>
        <v xml:space="preserve">  衍生金融资产 </v>
      </c>
      <c r="I7" s="40" t="str">
        <f t="shared" si="2"/>
        <v>近三年及一期，拟承租人  衍生金融资产 分别为0亿元、0亿元、0亿元及0亿元。</v>
      </c>
    </row>
    <row r="8" spans="1:9" ht="14.1" customHeight="1">
      <c r="A8" s="146">
        <v>1006</v>
      </c>
      <c r="B8" s="146" t="s">
        <v>299</v>
      </c>
      <c r="C8" s="147"/>
      <c r="D8" s="147"/>
      <c r="E8" s="147"/>
      <c r="F8" s="147"/>
      <c r="G8">
        <f t="shared" si="1"/>
        <v>0</v>
      </c>
      <c r="H8" t="str">
        <f t="shared" si="0"/>
        <v xml:space="preserve">  应收票据 </v>
      </c>
      <c r="I8" s="40" t="str">
        <f t="shared" si="2"/>
        <v>近三年及一期，拟承租人  应收票据 分别为0亿元、0亿元、0亿元及0亿元。</v>
      </c>
    </row>
    <row r="9" spans="1:9" ht="14.1" customHeight="1">
      <c r="A9" s="146">
        <v>1007</v>
      </c>
      <c r="B9" s="146" t="s">
        <v>300</v>
      </c>
      <c r="C9" s="147"/>
      <c r="D9" s="147"/>
      <c r="E9" s="147"/>
      <c r="F9" s="147"/>
      <c r="G9">
        <f t="shared" si="1"/>
        <v>0</v>
      </c>
      <c r="H9" t="str">
        <f t="shared" si="0"/>
        <v xml:space="preserve">  应收账款 </v>
      </c>
      <c r="I9" s="40" t="str">
        <f t="shared" si="2"/>
        <v>近三年及一期，拟承租人  应收账款 分别为0亿元、0亿元、0亿元及0亿元。</v>
      </c>
    </row>
    <row r="10" spans="1:9" ht="14.1" customHeight="1">
      <c r="A10" s="146">
        <v>1008</v>
      </c>
      <c r="B10" s="146" t="s">
        <v>301</v>
      </c>
      <c r="C10" s="147"/>
      <c r="D10" s="147"/>
      <c r="E10" s="147"/>
      <c r="F10" s="147"/>
      <c r="G10">
        <f t="shared" si="1"/>
        <v>0</v>
      </c>
      <c r="H10" t="str">
        <f t="shared" si="0"/>
        <v xml:space="preserve">  应收款项融资 </v>
      </c>
      <c r="I10" s="40" t="str">
        <f t="shared" si="2"/>
        <v>近三年及一期，拟承租人  应收款项融资 分别为0亿元、0亿元、0亿元及0亿元。</v>
      </c>
    </row>
    <row r="11" spans="1:9" ht="14.1" customHeight="1">
      <c r="A11" s="146">
        <v>1009</v>
      </c>
      <c r="B11" s="146" t="s">
        <v>302</v>
      </c>
      <c r="C11" s="147"/>
      <c r="D11" s="147"/>
      <c r="E11" s="147"/>
      <c r="F11" s="147"/>
      <c r="G11">
        <f t="shared" si="1"/>
        <v>0</v>
      </c>
      <c r="H11" t="str">
        <f t="shared" si="0"/>
        <v xml:space="preserve">  预付款项 </v>
      </c>
      <c r="I11" s="40" t="str">
        <f t="shared" si="2"/>
        <v>近三年及一期，拟承租人  预付款项 分别为0亿元、0亿元、0亿元及0亿元。</v>
      </c>
    </row>
    <row r="12" spans="1:9" ht="14.1" customHeight="1">
      <c r="A12" s="146">
        <v>1010</v>
      </c>
      <c r="B12" s="146" t="s">
        <v>303</v>
      </c>
      <c r="C12" s="147"/>
      <c r="D12" s="147"/>
      <c r="E12" s="147"/>
      <c r="F12" s="147"/>
      <c r="G12">
        <f t="shared" si="1"/>
        <v>0</v>
      </c>
      <c r="H12" t="str">
        <f t="shared" si="0"/>
        <v xml:space="preserve">  应收保费* </v>
      </c>
      <c r="I12" s="40" t="str">
        <f t="shared" si="2"/>
        <v>近三年及一期，拟承租人  应收保费* 分别为0亿元、0亿元、0亿元及0亿元。</v>
      </c>
    </row>
    <row r="13" spans="1:9" ht="14.1" customHeight="1">
      <c r="A13" s="146">
        <v>1011</v>
      </c>
      <c r="B13" s="146" t="s">
        <v>304</v>
      </c>
      <c r="C13" s="147"/>
      <c r="D13" s="147"/>
      <c r="E13" s="147"/>
      <c r="F13" s="147"/>
      <c r="G13">
        <f t="shared" si="1"/>
        <v>0</v>
      </c>
      <c r="H13" t="str">
        <f t="shared" si="0"/>
        <v xml:space="preserve">  应收分保账款* </v>
      </c>
      <c r="I13" s="40" t="str">
        <f t="shared" si="2"/>
        <v>近三年及一期，拟承租人  应收分保账款* 分别为0亿元、0亿元、0亿元及0亿元。</v>
      </c>
    </row>
    <row r="14" spans="1:9" ht="14.1" customHeight="1">
      <c r="A14" s="146">
        <v>1012</v>
      </c>
      <c r="B14" s="146" t="s">
        <v>305</v>
      </c>
      <c r="C14" s="147"/>
      <c r="D14" s="147"/>
      <c r="E14" s="147"/>
      <c r="F14" s="147"/>
      <c r="G14">
        <f t="shared" si="1"/>
        <v>0</v>
      </c>
      <c r="H14" t="str">
        <f t="shared" si="0"/>
        <v xml:space="preserve">  应收分保合同准备金* </v>
      </c>
      <c r="I14" s="40" t="str">
        <f t="shared" si="2"/>
        <v>近三年及一期，拟承租人  应收分保合同准备金* 分别为0亿元、0亿元、0亿元及0亿元。</v>
      </c>
    </row>
    <row r="15" spans="1:9" ht="14.1" customHeight="1">
      <c r="A15" s="146">
        <v>1013</v>
      </c>
      <c r="B15" s="146" t="s">
        <v>306</v>
      </c>
      <c r="C15" s="147"/>
      <c r="D15" s="147"/>
      <c r="E15" s="147"/>
      <c r="F15" s="147"/>
      <c r="G15">
        <f t="shared" si="1"/>
        <v>0</v>
      </c>
      <c r="H15" t="str">
        <f t="shared" si="0"/>
        <v xml:space="preserve">  其他应收款 </v>
      </c>
      <c r="I15" s="40" t="str">
        <f t="shared" si="2"/>
        <v>近三年及一期，拟承租人  其他应收款 分别为0亿元、0亿元、0亿元及0亿元。</v>
      </c>
    </row>
    <row r="16" spans="1:9" ht="14.1" customHeight="1">
      <c r="A16" s="146">
        <v>101301</v>
      </c>
      <c r="B16" s="146" t="s">
        <v>307</v>
      </c>
      <c r="C16" s="147"/>
      <c r="D16" s="147"/>
      <c r="E16" s="147"/>
      <c r="F16" s="147"/>
      <c r="G16">
        <f t="shared" si="1"/>
        <v>0</v>
      </c>
      <c r="H16" t="str">
        <f t="shared" si="0"/>
        <v xml:space="preserve">    其中：应收利息</v>
      </c>
      <c r="I16" s="40" t="str">
        <f t="shared" si="2"/>
        <v>近三年及一期，拟承租人    其中：应收利息分别为0亿元、0亿元、0亿元及0亿元。</v>
      </c>
    </row>
    <row r="17" spans="1:9" ht="14.1" customHeight="1">
      <c r="A17" s="146">
        <v>101302</v>
      </c>
      <c r="B17" s="146" t="s">
        <v>308</v>
      </c>
      <c r="C17" s="147"/>
      <c r="D17" s="147"/>
      <c r="E17" s="147"/>
      <c r="F17" s="147"/>
      <c r="G17">
        <f t="shared" si="1"/>
        <v>0</v>
      </c>
      <c r="H17" t="str">
        <f t="shared" si="0"/>
        <v xml:space="preserve">             应收股利</v>
      </c>
      <c r="I17" s="40" t="str">
        <f t="shared" si="2"/>
        <v>近三年及一期，拟承租人             应收股利分别为0亿元、0亿元、0亿元及0亿元。</v>
      </c>
    </row>
    <row r="18" spans="1:9" ht="14.1" customHeight="1">
      <c r="A18" s="146">
        <v>1014</v>
      </c>
      <c r="B18" s="146" t="s">
        <v>309</v>
      </c>
      <c r="C18" s="147"/>
      <c r="D18" s="147"/>
      <c r="E18" s="147"/>
      <c r="F18" s="147"/>
      <c r="G18">
        <f t="shared" si="1"/>
        <v>0</v>
      </c>
      <c r="H18" t="str">
        <f t="shared" si="0"/>
        <v xml:space="preserve">  买入返售金融资产* </v>
      </c>
      <c r="I18" s="40" t="str">
        <f t="shared" si="2"/>
        <v>近三年及一期，拟承租人  买入返售金融资产* 分别为0亿元、0亿元、0亿元及0亿元。</v>
      </c>
    </row>
    <row r="19" spans="1:9" ht="14.1" customHeight="1">
      <c r="A19" s="146">
        <v>1015</v>
      </c>
      <c r="B19" s="146" t="s">
        <v>310</v>
      </c>
      <c r="C19" s="147"/>
      <c r="D19" s="147"/>
      <c r="E19" s="147"/>
      <c r="F19" s="147"/>
      <c r="G19">
        <f t="shared" si="1"/>
        <v>0</v>
      </c>
      <c r="H19" t="str">
        <f t="shared" si="0"/>
        <v xml:space="preserve">  存货 </v>
      </c>
      <c r="I19" s="40" t="str">
        <f t="shared" si="2"/>
        <v>近三年及一期，拟承租人  存货 分别为0亿元、0亿元、0亿元及0亿元。</v>
      </c>
    </row>
    <row r="20" spans="1:9" ht="14.1" customHeight="1">
      <c r="A20" s="146">
        <v>1016</v>
      </c>
      <c r="B20" s="146" t="s">
        <v>311</v>
      </c>
      <c r="C20" s="147"/>
      <c r="D20" s="147"/>
      <c r="E20" s="147"/>
      <c r="F20" s="147"/>
      <c r="G20">
        <f t="shared" si="1"/>
        <v>0</v>
      </c>
      <c r="H20" t="str">
        <f t="shared" si="0"/>
        <v xml:space="preserve">  合同资产 </v>
      </c>
      <c r="I20" s="40" t="str">
        <f t="shared" si="2"/>
        <v>近三年及一期，拟承租人  合同资产 分别为0亿元、0亿元、0亿元及0亿元。</v>
      </c>
    </row>
    <row r="21" spans="1:9" ht="14.1" customHeight="1">
      <c r="A21" s="146">
        <v>1017</v>
      </c>
      <c r="B21" s="146" t="s">
        <v>312</v>
      </c>
      <c r="C21" s="147"/>
      <c r="D21" s="147"/>
      <c r="E21" s="147"/>
      <c r="F21" s="147"/>
      <c r="G21">
        <f t="shared" si="1"/>
        <v>0</v>
      </c>
      <c r="H21" t="str">
        <f t="shared" si="0"/>
        <v xml:space="preserve">  持有待售资产 </v>
      </c>
      <c r="I21" s="40" t="str">
        <f t="shared" si="2"/>
        <v>近三年及一期，拟承租人  持有待售资产 分别为0亿元、0亿元、0亿元及0亿元。</v>
      </c>
    </row>
    <row r="22" spans="1:9" ht="14.1" customHeight="1">
      <c r="A22" s="146">
        <v>1018</v>
      </c>
      <c r="B22" s="146" t="s">
        <v>313</v>
      </c>
      <c r="C22" s="147"/>
      <c r="D22" s="147"/>
      <c r="E22" s="147"/>
      <c r="F22" s="147"/>
      <c r="G22">
        <f t="shared" si="1"/>
        <v>0</v>
      </c>
      <c r="H22" t="str">
        <f t="shared" si="0"/>
        <v xml:space="preserve">  一年内到期的非流动资产 </v>
      </c>
      <c r="I22" s="40" t="str">
        <f t="shared" si="2"/>
        <v>近三年及一期，拟承租人  一年内到期的非流动资产 分别为0亿元、0亿元、0亿元及0亿元。</v>
      </c>
    </row>
    <row r="23" spans="1:9" ht="14.1" customHeight="1">
      <c r="A23" s="146">
        <v>1019</v>
      </c>
      <c r="B23" s="146" t="s">
        <v>314</v>
      </c>
      <c r="C23" s="147"/>
      <c r="D23" s="147"/>
      <c r="E23" s="147"/>
      <c r="F23" s="147"/>
      <c r="G23">
        <f t="shared" si="1"/>
        <v>0</v>
      </c>
      <c r="H23" t="str">
        <f t="shared" si="0"/>
        <v xml:space="preserve">  其他流动资产 </v>
      </c>
      <c r="I23" s="40" t="str">
        <f t="shared" si="2"/>
        <v>近三年及一期，拟承租人  其他流动资产 分别为0亿元、0亿元、0亿元及0亿元。</v>
      </c>
    </row>
    <row r="24" spans="1:9" s="144" customFormat="1" ht="14.1" customHeight="1">
      <c r="A24" s="148">
        <v>1099</v>
      </c>
      <c r="B24" s="148" t="s">
        <v>315</v>
      </c>
      <c r="C24" s="149">
        <f>C3+C4+C5+C6+C7+C8+C9+C10+C11+C12+C13+C14+C15+C18+C19+C20+C21+C22+C23</f>
        <v>0</v>
      </c>
      <c r="D24" s="149">
        <f t="shared" ref="D24:F24" si="3">D3+D4+D5+D6+D7+D8+D9+D10+D11+D12+D13+D14+D15+D18+D19+D20+D21+D22+D23</f>
        <v>0</v>
      </c>
      <c r="E24" s="149">
        <f t="shared" si="3"/>
        <v>0</v>
      </c>
      <c r="F24" s="149">
        <f t="shared" si="3"/>
        <v>0</v>
      </c>
      <c r="G24">
        <f t="shared" si="1"/>
        <v>0</v>
      </c>
      <c r="H24" s="144" t="str">
        <f t="shared" si="0"/>
        <v xml:space="preserve">    流动资产合计 </v>
      </c>
      <c r="I24" s="40" t="str">
        <f t="shared" si="2"/>
        <v>近三年及一期，拟承租人    流动资产合计 分别为0亿元、0亿元、0亿元及0亿元。</v>
      </c>
    </row>
    <row r="25" spans="1:9" s="145" customFormat="1" ht="15" customHeight="1">
      <c r="A25" s="146">
        <v>1100</v>
      </c>
      <c r="B25" s="140" t="s">
        <v>316</v>
      </c>
      <c r="C25" s="147"/>
      <c r="D25" s="147"/>
      <c r="E25" s="147"/>
      <c r="F25" s="147"/>
      <c r="G25">
        <f t="shared" si="1"/>
        <v>0</v>
      </c>
      <c r="H25" t="str">
        <f t="shared" si="0"/>
        <v xml:space="preserve">非流动资产： </v>
      </c>
      <c r="I25" s="40"/>
    </row>
    <row r="26" spans="1:9" s="145" customFormat="1" ht="15" customHeight="1">
      <c r="A26" s="146">
        <v>1101</v>
      </c>
      <c r="B26" s="146" t="s">
        <v>317</v>
      </c>
      <c r="C26" s="147"/>
      <c r="D26" s="147"/>
      <c r="E26" s="147"/>
      <c r="F26" s="147"/>
      <c r="G26">
        <f t="shared" si="1"/>
        <v>0</v>
      </c>
      <c r="H26" t="str">
        <f t="shared" si="0"/>
        <v xml:space="preserve">  发放贷款和垫款* </v>
      </c>
      <c r="I26" s="40" t="str">
        <f t="shared" ref="I26:I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pans="1:9" s="145" customFormat="1" ht="15" customHeight="1">
      <c r="A27" s="146">
        <v>1102</v>
      </c>
      <c r="B27" s="146" t="s">
        <v>318</v>
      </c>
      <c r="C27" s="147"/>
      <c r="D27" s="147"/>
      <c r="E27" s="147"/>
      <c r="F27" s="147"/>
      <c r="G27">
        <f t="shared" si="1"/>
        <v>0</v>
      </c>
      <c r="H27" t="str">
        <f t="shared" si="0"/>
        <v xml:space="preserve">  债权投资 </v>
      </c>
      <c r="I27" s="40" t="str">
        <f t="shared" si="4"/>
        <v>近三年及一期，拟承租人  债权投资 分别为0亿元、0亿元、0亿元及0亿元。</v>
      </c>
    </row>
    <row r="28" spans="1:9" s="145" customFormat="1" ht="15" customHeight="1">
      <c r="A28" s="146">
        <v>1103</v>
      </c>
      <c r="B28" s="146" t="s">
        <v>319</v>
      </c>
      <c r="C28" s="147"/>
      <c r="D28" s="147"/>
      <c r="E28" s="147"/>
      <c r="F28" s="147"/>
      <c r="G28">
        <f t="shared" si="1"/>
        <v>0</v>
      </c>
      <c r="H28" t="str">
        <f t="shared" si="0"/>
        <v xml:space="preserve">  其他债权投资 </v>
      </c>
      <c r="I28" s="40" t="str">
        <f t="shared" si="4"/>
        <v>近三年及一期，拟承租人  其他债权投资 分别为0亿元、0亿元、0亿元及0亿元。</v>
      </c>
    </row>
    <row r="29" spans="1:9" s="145" customFormat="1" ht="15" customHeight="1">
      <c r="A29" s="146">
        <v>1104</v>
      </c>
      <c r="B29" s="146" t="s">
        <v>320</v>
      </c>
      <c r="C29" s="147"/>
      <c r="D29" s="147"/>
      <c r="E29" s="147"/>
      <c r="F29" s="147"/>
      <c r="G29">
        <f t="shared" si="1"/>
        <v>0</v>
      </c>
      <c r="H29" t="str">
        <f t="shared" si="0"/>
        <v xml:space="preserve">  长期应收款 </v>
      </c>
      <c r="I29" s="40" t="str">
        <f t="shared" si="4"/>
        <v>近三年及一期，拟承租人  长期应收款 分别为0亿元、0亿元、0亿元及0亿元。</v>
      </c>
    </row>
    <row r="30" spans="1:9" s="145" customFormat="1" ht="15" customHeight="1">
      <c r="A30" s="146">
        <v>1105</v>
      </c>
      <c r="B30" s="146" t="s">
        <v>321</v>
      </c>
      <c r="C30" s="147"/>
      <c r="D30" s="147"/>
      <c r="E30" s="147"/>
      <c r="F30" s="147"/>
      <c r="G30">
        <f t="shared" si="1"/>
        <v>0</v>
      </c>
      <c r="H30" t="str">
        <f t="shared" si="0"/>
        <v xml:space="preserve">  长期股权投资 </v>
      </c>
      <c r="I30" s="40" t="str">
        <f t="shared" si="4"/>
        <v>近三年及一期，拟承租人  长期股权投资 分别为0亿元、0亿元、0亿元及0亿元。</v>
      </c>
    </row>
    <row r="31" spans="1:9" s="145" customFormat="1" ht="15" customHeight="1">
      <c r="A31" s="146">
        <v>1106</v>
      </c>
      <c r="B31" s="146" t="s">
        <v>322</v>
      </c>
      <c r="C31" s="147"/>
      <c r="D31" s="147"/>
      <c r="E31" s="147"/>
      <c r="F31" s="147"/>
      <c r="G31">
        <f t="shared" si="1"/>
        <v>0</v>
      </c>
      <c r="H31" t="str">
        <f t="shared" si="0"/>
        <v xml:space="preserve">  可供出售金融资产 </v>
      </c>
      <c r="I31" s="40" t="str">
        <f t="shared" si="4"/>
        <v>近三年及一期，拟承租人  可供出售金融资产 分别为0亿元、0亿元、0亿元及0亿元。</v>
      </c>
    </row>
    <row r="32" spans="1:9" s="145" customFormat="1" ht="15" customHeight="1">
      <c r="A32" s="146">
        <v>1107</v>
      </c>
      <c r="B32" s="146" t="s">
        <v>323</v>
      </c>
      <c r="C32" s="147"/>
      <c r="D32" s="147"/>
      <c r="E32" s="147"/>
      <c r="F32" s="147"/>
      <c r="G32">
        <f t="shared" si="1"/>
        <v>0</v>
      </c>
      <c r="H32" t="str">
        <f t="shared" si="0"/>
        <v xml:space="preserve">  持有至到期投资 </v>
      </c>
      <c r="I32" s="40" t="str">
        <f t="shared" si="4"/>
        <v>近三年及一期，拟承租人  持有至到期投资 分别为0亿元、0亿元、0亿元及0亿元。</v>
      </c>
    </row>
    <row r="33" spans="1:9" s="145" customFormat="1" ht="15" customHeight="1">
      <c r="A33" s="146">
        <v>1108</v>
      </c>
      <c r="B33" s="146" t="s">
        <v>324</v>
      </c>
      <c r="C33" s="147"/>
      <c r="D33" s="147"/>
      <c r="E33" s="147"/>
      <c r="F33" s="147"/>
      <c r="G33">
        <f t="shared" si="1"/>
        <v>0</v>
      </c>
      <c r="H33" t="str">
        <f t="shared" si="0"/>
        <v xml:space="preserve">  其他权益工具投资 </v>
      </c>
      <c r="I33" s="40" t="str">
        <f t="shared" si="4"/>
        <v>近三年及一期，拟承租人  其他权益工具投资 分别为0亿元、0亿元、0亿元及0亿元。</v>
      </c>
    </row>
    <row r="34" spans="1:9" s="145" customFormat="1" ht="15" customHeight="1">
      <c r="A34" s="146">
        <v>1109</v>
      </c>
      <c r="B34" s="146" t="s">
        <v>325</v>
      </c>
      <c r="C34" s="147"/>
      <c r="D34" s="147"/>
      <c r="E34" s="147"/>
      <c r="F34" s="147"/>
      <c r="G34">
        <f t="shared" ref="G34:G65" si="5">C34+D34+E34+F34</f>
        <v>0</v>
      </c>
      <c r="H34" t="str">
        <f t="shared" ref="H34:H65" si="6">B34</f>
        <v xml:space="preserve">  其他非流动金融资产 </v>
      </c>
      <c r="I34" s="40" t="str">
        <f t="shared" si="4"/>
        <v>近三年及一期，拟承租人  其他非流动金融资产 分别为0亿元、0亿元、0亿元及0亿元。</v>
      </c>
    </row>
    <row r="35" spans="1:9" s="145" customFormat="1" ht="15" customHeight="1">
      <c r="A35" s="146">
        <v>1110</v>
      </c>
      <c r="B35" s="146" t="s">
        <v>326</v>
      </c>
      <c r="C35" s="147"/>
      <c r="D35" s="147"/>
      <c r="E35" s="147"/>
      <c r="F35" s="147"/>
      <c r="G35">
        <f t="shared" si="5"/>
        <v>0</v>
      </c>
      <c r="H35" t="str">
        <f t="shared" si="6"/>
        <v xml:space="preserve">  投资性房地产 </v>
      </c>
      <c r="I35" s="40" t="str">
        <f t="shared" si="4"/>
        <v>近三年及一期，拟承租人  投资性房地产 分别为0亿元、0亿元、0亿元及0亿元。</v>
      </c>
    </row>
    <row r="36" spans="1:9" s="145" customFormat="1" ht="15" customHeight="1">
      <c r="A36" s="146">
        <v>1111</v>
      </c>
      <c r="B36" s="146" t="s">
        <v>327</v>
      </c>
      <c r="C36" s="147"/>
      <c r="D36" s="147"/>
      <c r="E36" s="147"/>
      <c r="F36" s="147"/>
      <c r="G36">
        <f t="shared" si="5"/>
        <v>0</v>
      </c>
      <c r="H36" t="str">
        <f t="shared" si="6"/>
        <v xml:space="preserve">  固定资产 </v>
      </c>
      <c r="I36" s="40" t="str">
        <f t="shared" si="4"/>
        <v>近三年及一期，拟承租人  固定资产 分别为0亿元、0亿元、0亿元及0亿元。</v>
      </c>
    </row>
    <row r="37" spans="1:9" s="145" customFormat="1" ht="15" customHeight="1">
      <c r="A37" s="146">
        <v>1112</v>
      </c>
      <c r="B37" s="146" t="s">
        <v>328</v>
      </c>
      <c r="C37" s="147"/>
      <c r="D37" s="147"/>
      <c r="E37" s="147"/>
      <c r="F37" s="147"/>
      <c r="G37">
        <f t="shared" si="5"/>
        <v>0</v>
      </c>
      <c r="H37" t="str">
        <f t="shared" si="6"/>
        <v xml:space="preserve">  累计折旧</v>
      </c>
      <c r="I37" s="40" t="str">
        <f t="shared" si="4"/>
        <v>近三年及一期，拟承租人  累计折旧分别为0亿元、0亿元、0亿元及0亿元。</v>
      </c>
    </row>
    <row r="38" spans="1:9" s="145" customFormat="1" ht="15" customHeight="1">
      <c r="A38" s="146">
        <v>1113</v>
      </c>
      <c r="B38" s="146" t="s">
        <v>329</v>
      </c>
      <c r="C38" s="147"/>
      <c r="D38" s="147"/>
      <c r="E38" s="147"/>
      <c r="F38" s="147"/>
      <c r="G38">
        <f t="shared" si="5"/>
        <v>0</v>
      </c>
      <c r="H38" t="str">
        <f t="shared" si="6"/>
        <v xml:space="preserve">  固定资产减值准备 </v>
      </c>
      <c r="I38" s="40" t="str">
        <f t="shared" si="4"/>
        <v>近三年及一期，拟承租人  固定资产减值准备 分别为0亿元、0亿元、0亿元及0亿元。</v>
      </c>
    </row>
    <row r="39" spans="1:9" s="145" customFormat="1" ht="15" customHeight="1">
      <c r="A39" s="146">
        <v>1114</v>
      </c>
      <c r="B39" s="146" t="s">
        <v>330</v>
      </c>
      <c r="C39" s="150">
        <f>C36-C37-C38</f>
        <v>0</v>
      </c>
      <c r="D39" s="150">
        <f>D36-D37-D38</f>
        <v>0</v>
      </c>
      <c r="E39" s="150">
        <f>E36-E37-E38</f>
        <v>0</v>
      </c>
      <c r="F39" s="150">
        <f>F36-F37-F38</f>
        <v>0</v>
      </c>
      <c r="G39">
        <f t="shared" si="5"/>
        <v>0</v>
      </c>
      <c r="H39" t="str">
        <f t="shared" si="6"/>
        <v xml:space="preserve">  固定资产净额</v>
      </c>
      <c r="I39" s="40" t="str">
        <f t="shared" si="4"/>
        <v>近三年及一期，拟承租人  固定资产净额分别为0亿元、0亿元、0亿元及0亿元。</v>
      </c>
    </row>
    <row r="40" spans="1:9" s="145" customFormat="1" ht="15" customHeight="1">
      <c r="A40" s="146">
        <v>1115</v>
      </c>
      <c r="B40" s="146" t="s">
        <v>331</v>
      </c>
      <c r="C40" s="147"/>
      <c r="D40" s="147"/>
      <c r="E40" s="147"/>
      <c r="F40" s="147"/>
      <c r="G40">
        <f t="shared" si="5"/>
        <v>0</v>
      </c>
      <c r="H40" t="str">
        <f t="shared" si="6"/>
        <v xml:space="preserve">  固定资产清理</v>
      </c>
      <c r="I40" s="40" t="str">
        <f t="shared" si="4"/>
        <v>近三年及一期，拟承租人  固定资产清理分别为0亿元、0亿元、0亿元及0亿元。</v>
      </c>
    </row>
    <row r="41" spans="1:9" s="145" customFormat="1" ht="15" customHeight="1">
      <c r="A41" s="146">
        <v>1116</v>
      </c>
      <c r="B41" s="146" t="s">
        <v>332</v>
      </c>
      <c r="C41" s="147"/>
      <c r="D41" s="147"/>
      <c r="E41" s="147"/>
      <c r="F41" s="147"/>
      <c r="G41">
        <f t="shared" si="5"/>
        <v>0</v>
      </c>
      <c r="H41" t="str">
        <f t="shared" si="6"/>
        <v xml:space="preserve">  工程物资</v>
      </c>
      <c r="I41" s="40" t="str">
        <f t="shared" si="4"/>
        <v>近三年及一期，拟承租人  工程物资分别为0亿元、0亿元、0亿元及0亿元。</v>
      </c>
    </row>
    <row r="42" spans="1:9" s="145" customFormat="1" ht="15" customHeight="1">
      <c r="A42" s="146">
        <v>1117</v>
      </c>
      <c r="B42" s="146" t="s">
        <v>333</v>
      </c>
      <c r="C42" s="147"/>
      <c r="D42" s="147"/>
      <c r="E42" s="147"/>
      <c r="F42" s="147"/>
      <c r="G42">
        <f t="shared" si="5"/>
        <v>0</v>
      </c>
      <c r="H42" t="str">
        <f t="shared" si="6"/>
        <v xml:space="preserve">  在建工程 </v>
      </c>
      <c r="I42" s="40" t="str">
        <f t="shared" si="4"/>
        <v>近三年及一期，拟承租人  在建工程 分别为0亿元、0亿元、0亿元及0亿元。</v>
      </c>
    </row>
    <row r="43" spans="1:9" s="145" customFormat="1" ht="15" customHeight="1">
      <c r="A43" s="146">
        <v>1118</v>
      </c>
      <c r="B43" s="146" t="s">
        <v>334</v>
      </c>
      <c r="C43" s="147"/>
      <c r="D43" s="147"/>
      <c r="E43" s="147"/>
      <c r="F43" s="147"/>
      <c r="G43">
        <f t="shared" si="5"/>
        <v>0</v>
      </c>
      <c r="H43" t="str">
        <f t="shared" si="6"/>
        <v xml:space="preserve">  生产性生物资产 </v>
      </c>
      <c r="I43" s="40" t="str">
        <f t="shared" si="4"/>
        <v>近三年及一期，拟承租人  生产性生物资产 分别为0亿元、0亿元、0亿元及0亿元。</v>
      </c>
    </row>
    <row r="44" spans="1:9" s="145" customFormat="1" ht="15" customHeight="1">
      <c r="A44" s="146">
        <v>1119</v>
      </c>
      <c r="B44" s="146" t="s">
        <v>335</v>
      </c>
      <c r="C44" s="147"/>
      <c r="D44" s="147"/>
      <c r="E44" s="147"/>
      <c r="F44" s="147"/>
      <c r="G44">
        <f t="shared" si="5"/>
        <v>0</v>
      </c>
      <c r="H44" t="str">
        <f t="shared" si="6"/>
        <v xml:space="preserve">  油气资产 </v>
      </c>
      <c r="I44" s="40" t="str">
        <f t="shared" si="4"/>
        <v>近三年及一期，拟承租人  油气资产 分别为0亿元、0亿元、0亿元及0亿元。</v>
      </c>
    </row>
    <row r="45" spans="1:9" s="145" customFormat="1" ht="15" customHeight="1">
      <c r="A45" s="146">
        <v>1120</v>
      </c>
      <c r="B45" s="146" t="s">
        <v>336</v>
      </c>
      <c r="C45" s="147"/>
      <c r="D45" s="147"/>
      <c r="E45" s="147"/>
      <c r="F45" s="147"/>
      <c r="G45">
        <f t="shared" si="5"/>
        <v>0</v>
      </c>
      <c r="H45" t="str">
        <f t="shared" si="6"/>
        <v xml:space="preserve">  使用权资产 </v>
      </c>
      <c r="I45" s="40" t="str">
        <f t="shared" si="4"/>
        <v>近三年及一期，拟承租人  使用权资产 分别为0亿元、0亿元、0亿元及0亿元。</v>
      </c>
    </row>
    <row r="46" spans="1:9" s="145" customFormat="1" ht="15" customHeight="1">
      <c r="A46" s="146">
        <v>1121</v>
      </c>
      <c r="B46" s="146" t="s">
        <v>337</v>
      </c>
      <c r="C46" s="147"/>
      <c r="D46" s="147"/>
      <c r="E46" s="147"/>
      <c r="F46" s="147"/>
      <c r="G46">
        <f t="shared" si="5"/>
        <v>0</v>
      </c>
      <c r="H46" t="str">
        <f t="shared" si="6"/>
        <v xml:space="preserve">  无形资产 </v>
      </c>
      <c r="I46" s="40" t="str">
        <f t="shared" si="4"/>
        <v>近三年及一期，拟承租人  无形资产 分别为0亿元、0亿元、0亿元及0亿元。</v>
      </c>
    </row>
    <row r="47" spans="1:9" s="145" customFormat="1" ht="15" customHeight="1">
      <c r="A47" s="146">
        <v>1122</v>
      </c>
      <c r="B47" s="146" t="s">
        <v>338</v>
      </c>
      <c r="C47" s="147"/>
      <c r="D47" s="147"/>
      <c r="E47" s="147"/>
      <c r="F47" s="147"/>
      <c r="G47">
        <f t="shared" si="5"/>
        <v>0</v>
      </c>
      <c r="H47" t="str">
        <f t="shared" si="6"/>
        <v xml:space="preserve">  开发支出 </v>
      </c>
      <c r="I47" s="40" t="str">
        <f t="shared" si="4"/>
        <v>近三年及一期，拟承租人  开发支出 分别为0亿元、0亿元、0亿元及0亿元。</v>
      </c>
    </row>
    <row r="48" spans="1:9" s="145" customFormat="1" ht="15" customHeight="1">
      <c r="A48" s="146">
        <v>1123</v>
      </c>
      <c r="B48" s="146" t="s">
        <v>339</v>
      </c>
      <c r="C48" s="147"/>
      <c r="D48" s="147"/>
      <c r="E48" s="147"/>
      <c r="F48" s="147"/>
      <c r="G48">
        <f t="shared" si="5"/>
        <v>0</v>
      </c>
      <c r="H48" t="str">
        <f t="shared" si="6"/>
        <v xml:space="preserve">  商誉 </v>
      </c>
      <c r="I48" s="40" t="str">
        <f t="shared" si="4"/>
        <v>近三年及一期，拟承租人  商誉 分别为0亿元、0亿元、0亿元及0亿元。</v>
      </c>
    </row>
    <row r="49" spans="1:9" s="145" customFormat="1" ht="15" customHeight="1">
      <c r="A49" s="146">
        <v>1124</v>
      </c>
      <c r="B49" s="146" t="s">
        <v>340</v>
      </c>
      <c r="C49" s="147"/>
      <c r="D49" s="147"/>
      <c r="E49" s="147"/>
      <c r="F49" s="147"/>
      <c r="G49">
        <f t="shared" si="5"/>
        <v>0</v>
      </c>
      <c r="H49" t="str">
        <f t="shared" si="6"/>
        <v xml:space="preserve">  长期待摊费用 </v>
      </c>
      <c r="I49" s="40" t="str">
        <f t="shared" si="4"/>
        <v>近三年及一期，拟承租人  长期待摊费用 分别为0亿元、0亿元、0亿元及0亿元。</v>
      </c>
    </row>
    <row r="50" spans="1:9" s="145" customFormat="1" ht="15" customHeight="1">
      <c r="A50" s="146">
        <v>1125</v>
      </c>
      <c r="B50" s="146" t="s">
        <v>341</v>
      </c>
      <c r="C50" s="147"/>
      <c r="D50" s="147"/>
      <c r="E50" s="147"/>
      <c r="F50" s="147"/>
      <c r="G50">
        <f t="shared" si="5"/>
        <v>0</v>
      </c>
      <c r="H50" t="str">
        <f t="shared" si="6"/>
        <v xml:space="preserve">  递延所得税资产 </v>
      </c>
      <c r="I50" s="40" t="str">
        <f t="shared" si="4"/>
        <v>近三年及一期，拟承租人  递延所得税资产 分别为0亿元、0亿元、0亿元及0亿元。</v>
      </c>
    </row>
    <row r="51" spans="1:9" s="145" customFormat="1" ht="15" customHeight="1">
      <c r="A51" s="146">
        <v>1126</v>
      </c>
      <c r="B51" s="146" t="s">
        <v>342</v>
      </c>
      <c r="C51" s="147"/>
      <c r="D51" s="147"/>
      <c r="E51" s="147"/>
      <c r="F51" s="147"/>
      <c r="G51">
        <f t="shared" si="5"/>
        <v>0</v>
      </c>
      <c r="H51" t="str">
        <f t="shared" si="6"/>
        <v xml:space="preserve">  其他非流动资产 </v>
      </c>
      <c r="I51" s="40" t="str">
        <f t="shared" si="4"/>
        <v>近三年及一期，拟承租人  其他非流动资产 分别为0亿元、0亿元、0亿元及0亿元。</v>
      </c>
    </row>
    <row r="52" spans="1:9" s="144" customFormat="1" ht="14.1" customHeight="1">
      <c r="A52" s="148">
        <v>1199</v>
      </c>
      <c r="B52" s="151" t="s">
        <v>343</v>
      </c>
      <c r="C52" s="149">
        <f>C26+C27+C28+C29+C30+C31+C32+C32+C33+C34+C35+C39+C40+C41+C42+C43+C44+C45+C46+C47+C48+C49+C50+C51</f>
        <v>0</v>
      </c>
      <c r="D52" s="149">
        <f>D26+D27+D28+D29+D30+D31+D32+D32+D33+D34+D35+D39+D40+D41+D42+D43+D44+D45+D46+D47+D48+D49+D50+D51</f>
        <v>0</v>
      </c>
      <c r="E52" s="149">
        <f>E26+E27+E28+E29+E30+E31+E32+E32+E33+E34+E35+E39+E40+E41+E42+E43+E44+E45+E46+E47+E48+E49+E50+E51</f>
        <v>0</v>
      </c>
      <c r="F52" s="149">
        <f>F26+F27+F28+F29+F30+F31+F32+F32+F33+F34+F35+F39+F40+F41+F42+F43+F44+F45+F46+F47+F48+F49+F50+F51</f>
        <v>0</v>
      </c>
      <c r="G52">
        <f t="shared" si="5"/>
        <v>0</v>
      </c>
      <c r="H52" t="str">
        <f t="shared" si="6"/>
        <v xml:space="preserve">非流动资产合计 </v>
      </c>
      <c r="I52" s="40" t="str">
        <f t="shared" si="4"/>
        <v>近三年及一期，拟承租人非流动资产合计 分别为0亿元、0亿元、0亿元及0亿元。</v>
      </c>
    </row>
    <row r="53" spans="1:9" s="144" customFormat="1" ht="14.1" customHeight="1">
      <c r="A53" s="148">
        <v>1999</v>
      </c>
      <c r="B53" s="148" t="s">
        <v>344</v>
      </c>
      <c r="C53" s="149">
        <f>C24+C52</f>
        <v>0</v>
      </c>
      <c r="D53" s="149">
        <f>D24+D52</f>
        <v>0</v>
      </c>
      <c r="E53" s="149">
        <f>E24+E52</f>
        <v>0</v>
      </c>
      <c r="F53" s="149">
        <f>F24+F52</f>
        <v>0</v>
      </c>
      <c r="G53">
        <f t="shared" si="5"/>
        <v>0</v>
      </c>
      <c r="H53" s="144" t="str">
        <f t="shared" si="6"/>
        <v xml:space="preserve">      资产总计 </v>
      </c>
      <c r="I53" s="40" t="str">
        <f t="shared" si="4"/>
        <v>近三年及一期，拟承租人      资产总计 分别为0亿元、0亿元、0亿元及0亿元。</v>
      </c>
    </row>
    <row r="54" spans="1:9" ht="14.1" customHeight="1">
      <c r="A54" s="40">
        <v>2000</v>
      </c>
      <c r="B54" s="53" t="s">
        <v>345</v>
      </c>
      <c r="C54" s="147"/>
      <c r="D54" s="147"/>
      <c r="E54" s="147"/>
      <c r="F54" s="147"/>
      <c r="G54">
        <f t="shared" si="5"/>
        <v>0</v>
      </c>
      <c r="H54" t="str">
        <f t="shared" si="6"/>
        <v>应付</v>
      </c>
      <c r="I54" s="40"/>
    </row>
    <row r="55" spans="1:9" ht="14.1" customHeight="1">
      <c r="A55" s="40">
        <v>2001</v>
      </c>
      <c r="B55" s="40" t="s">
        <v>346</v>
      </c>
      <c r="C55" s="147"/>
      <c r="D55" s="147"/>
      <c r="E55" s="147"/>
      <c r="F55" s="147"/>
      <c r="G55">
        <f t="shared" si="5"/>
        <v>0</v>
      </c>
      <c r="H55" t="str">
        <f t="shared" si="6"/>
        <v xml:space="preserve">  短期借款 </v>
      </c>
      <c r="I55" s="40" t="str">
        <f t="shared" ref="I55:I86" si="7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spans="1:9" ht="14.1" customHeight="1">
      <c r="A56" s="40">
        <v>2002</v>
      </c>
      <c r="B56" s="40" t="s">
        <v>347</v>
      </c>
      <c r="C56" s="147"/>
      <c r="D56" s="147"/>
      <c r="E56" s="147"/>
      <c r="F56" s="147"/>
      <c r="G56">
        <f t="shared" si="5"/>
        <v>0</v>
      </c>
      <c r="H56" t="str">
        <f t="shared" si="6"/>
        <v xml:space="preserve">  向中央银行借款* </v>
      </c>
      <c r="I56" s="40" t="str">
        <f t="shared" si="7"/>
        <v>近三年及一期，拟承租人  向中央银行借款* 分别为0亿元、0亿元、0亿元及0亿元。</v>
      </c>
    </row>
    <row r="57" spans="1:9" ht="14.1" customHeight="1">
      <c r="A57" s="40">
        <v>2003</v>
      </c>
      <c r="B57" s="40" t="s">
        <v>348</v>
      </c>
      <c r="C57" s="147"/>
      <c r="D57" s="147"/>
      <c r="E57" s="147"/>
      <c r="F57" s="147"/>
      <c r="G57">
        <f t="shared" si="5"/>
        <v>0</v>
      </c>
      <c r="H57" t="str">
        <f t="shared" si="6"/>
        <v xml:space="preserve">  拆入资金* </v>
      </c>
      <c r="I57" s="40" t="str">
        <f t="shared" si="7"/>
        <v>近三年及一期，拟承租人  拆入资金* 分别为0亿元、0亿元、0亿元及0亿元。</v>
      </c>
    </row>
    <row r="58" spans="1:9" ht="14.1" customHeight="1">
      <c r="A58" s="40">
        <v>2004</v>
      </c>
      <c r="B58" s="40" t="s">
        <v>349</v>
      </c>
      <c r="C58" s="147"/>
      <c r="D58" s="147"/>
      <c r="E58" s="147"/>
      <c r="F58" s="147"/>
      <c r="G58">
        <f t="shared" si="5"/>
        <v>0</v>
      </c>
      <c r="H58" t="str">
        <f t="shared" si="6"/>
        <v xml:space="preserve">  交易性金融负债 </v>
      </c>
      <c r="I58" s="40" t="str">
        <f t="shared" si="7"/>
        <v>近三年及一期，拟承租人  交易性金融负债 分别为0亿元、0亿元、0亿元及0亿元。</v>
      </c>
    </row>
    <row r="59" spans="1:9" ht="14.1" customHeight="1">
      <c r="A59" s="40">
        <v>2005</v>
      </c>
      <c r="B59" s="40" t="s">
        <v>350</v>
      </c>
      <c r="C59" s="147"/>
      <c r="D59" s="147"/>
      <c r="E59" s="147"/>
      <c r="F59" s="147"/>
      <c r="G59">
        <f t="shared" si="5"/>
        <v>0</v>
      </c>
      <c r="H59" t="str">
        <f t="shared" si="6"/>
        <v xml:space="preserve">  衍生金融负债 </v>
      </c>
      <c r="I59" s="40" t="str">
        <f t="shared" si="7"/>
        <v>近三年及一期，拟承租人  衍生金融负债 分别为0亿元、0亿元、0亿元及0亿元。</v>
      </c>
    </row>
    <row r="60" spans="1:9" ht="14.1" customHeight="1">
      <c r="A60" s="40">
        <v>2006</v>
      </c>
      <c r="B60" s="40" t="s">
        <v>351</v>
      </c>
      <c r="C60" s="147"/>
      <c r="D60" s="147"/>
      <c r="E60" s="147"/>
      <c r="F60" s="147"/>
      <c r="G60">
        <f t="shared" si="5"/>
        <v>0</v>
      </c>
      <c r="H60" t="str">
        <f t="shared" si="6"/>
        <v xml:space="preserve">  应付票据 </v>
      </c>
      <c r="I60" s="40" t="str">
        <f t="shared" si="7"/>
        <v>近三年及一期，拟承租人  应付票据 分别为0亿元、0亿元、0亿元及0亿元。</v>
      </c>
    </row>
    <row r="61" spans="1:9" ht="14.1" customHeight="1">
      <c r="A61" s="40">
        <v>2007</v>
      </c>
      <c r="B61" s="40" t="s">
        <v>352</v>
      </c>
      <c r="C61" s="147"/>
      <c r="D61" s="147"/>
      <c r="E61" s="147"/>
      <c r="F61" s="147"/>
      <c r="G61">
        <f t="shared" si="5"/>
        <v>0</v>
      </c>
      <c r="H61" t="str">
        <f t="shared" si="6"/>
        <v xml:space="preserve">  应付账款 </v>
      </c>
      <c r="I61" s="40" t="str">
        <f t="shared" si="7"/>
        <v>近三年及一期，拟承租人  应付账款 分别为0亿元、0亿元、0亿元及0亿元。</v>
      </c>
    </row>
    <row r="62" spans="1:9" ht="14.1" customHeight="1">
      <c r="A62" s="40">
        <v>2008</v>
      </c>
      <c r="B62" s="40" t="s">
        <v>353</v>
      </c>
      <c r="C62" s="147"/>
      <c r="D62" s="147"/>
      <c r="E62" s="147"/>
      <c r="F62" s="147"/>
      <c r="G62">
        <f t="shared" si="5"/>
        <v>0</v>
      </c>
      <c r="H62" t="str">
        <f t="shared" si="6"/>
        <v xml:space="preserve">  预收款项 </v>
      </c>
      <c r="I62" s="40" t="str">
        <f t="shared" si="7"/>
        <v>近三年及一期，拟承租人  预收款项 分别为0亿元、0亿元、0亿元及0亿元。</v>
      </c>
    </row>
    <row r="63" spans="1:9" ht="14.1" customHeight="1">
      <c r="A63" s="40">
        <v>2009</v>
      </c>
      <c r="B63" s="40" t="s">
        <v>354</v>
      </c>
      <c r="C63" s="147"/>
      <c r="D63" s="147"/>
      <c r="E63" s="147"/>
      <c r="F63" s="147"/>
      <c r="G63">
        <f t="shared" si="5"/>
        <v>0</v>
      </c>
      <c r="H63" t="str">
        <f t="shared" si="6"/>
        <v xml:space="preserve">  合同负债 </v>
      </c>
      <c r="I63" s="40" t="str">
        <f t="shared" si="7"/>
        <v>近三年及一期，拟承租人  合同负债 分别为0亿元、0亿元、0亿元及0亿元。</v>
      </c>
    </row>
    <row r="64" spans="1:9" ht="14.1" customHeight="1">
      <c r="A64" s="40">
        <v>2010</v>
      </c>
      <c r="B64" s="40" t="s">
        <v>355</v>
      </c>
      <c r="C64" s="147"/>
      <c r="D64" s="147"/>
      <c r="E64" s="147"/>
      <c r="F64" s="147"/>
      <c r="G64">
        <f t="shared" si="5"/>
        <v>0</v>
      </c>
      <c r="H64" t="str">
        <f t="shared" si="6"/>
        <v xml:space="preserve">  卖出回购金融资产款* </v>
      </c>
      <c r="I64" s="40" t="str">
        <f t="shared" si="7"/>
        <v>近三年及一期，拟承租人  卖出回购金融资产款* 分别为0亿元、0亿元、0亿元及0亿元。</v>
      </c>
    </row>
    <row r="65" spans="1:9" ht="14.1" customHeight="1">
      <c r="A65" s="40">
        <v>2011</v>
      </c>
      <c r="B65" s="40" t="s">
        <v>356</v>
      </c>
      <c r="C65" s="147"/>
      <c r="D65" s="147"/>
      <c r="E65" s="147"/>
      <c r="F65" s="147"/>
      <c r="G65">
        <f t="shared" si="5"/>
        <v>0</v>
      </c>
      <c r="H65" t="str">
        <f t="shared" si="6"/>
        <v xml:space="preserve">  吸收存款及同业存放* </v>
      </c>
      <c r="I65" s="40" t="str">
        <f t="shared" si="7"/>
        <v>近三年及一期，拟承租人  吸收存款及同业存放* 分别为0亿元、0亿元、0亿元及0亿元。</v>
      </c>
    </row>
    <row r="66" spans="1:9" ht="14.1" customHeight="1">
      <c r="A66" s="40">
        <v>2012</v>
      </c>
      <c r="B66" s="40" t="s">
        <v>357</v>
      </c>
      <c r="C66" s="147"/>
      <c r="D66" s="147"/>
      <c r="E66" s="147"/>
      <c r="F66" s="147"/>
      <c r="G66">
        <f t="shared" ref="G66:G97" si="8">C66+D66+E66+F66</f>
        <v>0</v>
      </c>
      <c r="H66" t="str">
        <f t="shared" ref="H66:H97" si="9">B66</f>
        <v xml:space="preserve">  代理买卖证券款* </v>
      </c>
      <c r="I66" s="40" t="str">
        <f t="shared" si="7"/>
        <v>近三年及一期，拟承租人  代理买卖证券款* 分别为0亿元、0亿元、0亿元及0亿元。</v>
      </c>
    </row>
    <row r="67" spans="1:9" ht="14.1" customHeight="1">
      <c r="A67" s="40">
        <v>2013</v>
      </c>
      <c r="B67" s="40" t="s">
        <v>358</v>
      </c>
      <c r="C67" s="147"/>
      <c r="D67" s="147"/>
      <c r="E67" s="147"/>
      <c r="F67" s="147"/>
      <c r="G67">
        <f t="shared" si="8"/>
        <v>0</v>
      </c>
      <c r="H67" t="str">
        <f t="shared" si="9"/>
        <v xml:space="preserve">  代理承销证券款* </v>
      </c>
      <c r="I67" s="40" t="str">
        <f t="shared" si="7"/>
        <v>近三年及一期，拟承租人  代理承销证券款* 分别为0亿元、0亿元、0亿元及0亿元。</v>
      </c>
    </row>
    <row r="68" spans="1:9" ht="14.1" customHeight="1">
      <c r="A68" s="40">
        <v>2014</v>
      </c>
      <c r="B68" s="40" t="s">
        <v>359</v>
      </c>
      <c r="C68" s="147"/>
      <c r="D68" s="147"/>
      <c r="E68" s="147"/>
      <c r="F68" s="147"/>
      <c r="G68">
        <f t="shared" si="8"/>
        <v>0</v>
      </c>
      <c r="H68" t="str">
        <f t="shared" si="9"/>
        <v xml:space="preserve">  应付职工薪酬 </v>
      </c>
      <c r="I68" s="40" t="str">
        <f t="shared" si="7"/>
        <v>近三年及一期，拟承租人  应付职工薪酬 分别为0亿元、0亿元、0亿元及0亿元。</v>
      </c>
    </row>
    <row r="69" spans="1:9" ht="14.1" customHeight="1">
      <c r="A69" s="40">
        <v>2015</v>
      </c>
      <c r="B69" s="40" t="s">
        <v>360</v>
      </c>
      <c r="C69" s="147"/>
      <c r="D69" s="147"/>
      <c r="E69" s="147"/>
      <c r="F69" s="147"/>
      <c r="G69">
        <f t="shared" si="8"/>
        <v>0</v>
      </c>
      <c r="H69" t="str">
        <f t="shared" si="9"/>
        <v xml:space="preserve">  应交税费 </v>
      </c>
      <c r="I69" s="40" t="str">
        <f t="shared" si="7"/>
        <v>近三年及一期，拟承租人  应交税费 分别为0亿元、0亿元、0亿元及0亿元。</v>
      </c>
    </row>
    <row r="70" spans="1:9" ht="14.1" customHeight="1">
      <c r="A70" s="40">
        <v>2016</v>
      </c>
      <c r="B70" s="40" t="s">
        <v>361</v>
      </c>
      <c r="C70" s="147"/>
      <c r="D70" s="147"/>
      <c r="E70" s="147"/>
      <c r="F70" s="147"/>
      <c r="G70">
        <f t="shared" si="8"/>
        <v>0</v>
      </c>
      <c r="H70" t="str">
        <f t="shared" si="9"/>
        <v xml:space="preserve">  其他应付款 </v>
      </c>
      <c r="I70" s="40" t="str">
        <f t="shared" si="7"/>
        <v>近三年及一期，拟承租人  其他应付款 分别为0亿元、0亿元、0亿元及0亿元。</v>
      </c>
    </row>
    <row r="71" spans="1:9" ht="14.1" customHeight="1">
      <c r="A71" s="40">
        <v>2017</v>
      </c>
      <c r="B71" s="40" t="s">
        <v>362</v>
      </c>
      <c r="C71" s="147"/>
      <c r="D71" s="147"/>
      <c r="E71" s="147"/>
      <c r="F71" s="147"/>
      <c r="G71">
        <f t="shared" si="8"/>
        <v>0</v>
      </c>
      <c r="H71" t="str">
        <f t="shared" si="9"/>
        <v xml:space="preserve">   其中：应付利息</v>
      </c>
      <c r="I71" s="40" t="str">
        <f t="shared" si="7"/>
        <v>近三年及一期，拟承租人   其中：应付利息分别为0亿元、0亿元、0亿元及0亿元。</v>
      </c>
    </row>
    <row r="72" spans="1:9" ht="14.1" customHeight="1">
      <c r="A72" s="40">
        <v>201701</v>
      </c>
      <c r="B72" s="40" t="s">
        <v>363</v>
      </c>
      <c r="C72" s="147"/>
      <c r="D72" s="147"/>
      <c r="E72" s="147"/>
      <c r="F72" s="147"/>
      <c r="G72">
        <f t="shared" si="8"/>
        <v>0</v>
      </c>
      <c r="H72" t="str">
        <f t="shared" si="9"/>
        <v xml:space="preserve">         应付股利</v>
      </c>
      <c r="I72" s="40" t="str">
        <f t="shared" si="7"/>
        <v>近三年及一期，拟承租人         应付股利分别为0亿元、0亿元、0亿元及0亿元。</v>
      </c>
    </row>
    <row r="73" spans="1:9" ht="14.1" customHeight="1">
      <c r="A73" s="40">
        <v>2018</v>
      </c>
      <c r="B73" s="40" t="s">
        <v>364</v>
      </c>
      <c r="C73" s="147"/>
      <c r="D73" s="147"/>
      <c r="E73" s="147"/>
      <c r="F73" s="147"/>
      <c r="G73">
        <f t="shared" si="8"/>
        <v>0</v>
      </c>
      <c r="H73" t="str">
        <f t="shared" si="9"/>
        <v xml:space="preserve">  应付手续费及佣金* </v>
      </c>
      <c r="I73" s="40" t="str">
        <f t="shared" si="7"/>
        <v>近三年及一期，拟承租人  应付手续费及佣金* 分别为0亿元、0亿元、0亿元及0亿元。</v>
      </c>
    </row>
    <row r="74" spans="1:9" ht="14.1" customHeight="1">
      <c r="A74" s="40">
        <v>2019</v>
      </c>
      <c r="B74" s="40" t="s">
        <v>365</v>
      </c>
      <c r="C74" s="147"/>
      <c r="D74" s="147"/>
      <c r="E74" s="147"/>
      <c r="F74" s="147"/>
      <c r="G74">
        <f t="shared" si="8"/>
        <v>0</v>
      </c>
      <c r="H74" t="str">
        <f t="shared" si="9"/>
        <v xml:space="preserve">  应付分保账款* </v>
      </c>
      <c r="I74" s="40" t="str">
        <f t="shared" si="7"/>
        <v>近三年及一期，拟承租人  应付分保账款* 分别为0亿元、0亿元、0亿元及0亿元。</v>
      </c>
    </row>
    <row r="75" spans="1:9" ht="14.1" customHeight="1">
      <c r="A75" s="40">
        <v>2020</v>
      </c>
      <c r="B75" s="40" t="s">
        <v>366</v>
      </c>
      <c r="C75" s="147"/>
      <c r="D75" s="147"/>
      <c r="E75" s="147"/>
      <c r="F75" s="147"/>
      <c r="G75">
        <f t="shared" si="8"/>
        <v>0</v>
      </c>
      <c r="H75" t="str">
        <f t="shared" si="9"/>
        <v xml:space="preserve">  持有待售负债 </v>
      </c>
      <c r="I75" s="40" t="str">
        <f t="shared" si="7"/>
        <v>近三年及一期，拟承租人  持有待售负债 分别为0亿元、0亿元、0亿元及0亿元。</v>
      </c>
    </row>
    <row r="76" spans="1:9" ht="14.1" customHeight="1">
      <c r="A76" s="40">
        <v>2021</v>
      </c>
      <c r="B76" s="40" t="s">
        <v>367</v>
      </c>
      <c r="C76" s="147"/>
      <c r="D76" s="147"/>
      <c r="E76" s="147"/>
      <c r="F76" s="147"/>
      <c r="G76">
        <f t="shared" si="8"/>
        <v>0</v>
      </c>
      <c r="H76" t="str">
        <f t="shared" si="9"/>
        <v xml:space="preserve">  一年内到期的非流动负债 </v>
      </c>
      <c r="I76" s="40" t="str">
        <f t="shared" si="7"/>
        <v>近三年及一期，拟承租人  一年内到期的非流动负债 分别为0亿元、0亿元、0亿元及0亿元。</v>
      </c>
    </row>
    <row r="77" spans="1:9" ht="14.1" customHeight="1">
      <c r="A77" s="40">
        <v>2022</v>
      </c>
      <c r="B77" s="40" t="s">
        <v>368</v>
      </c>
      <c r="C77" s="147"/>
      <c r="D77" s="147"/>
      <c r="E77" s="147"/>
      <c r="F77" s="147"/>
      <c r="G77">
        <f t="shared" si="8"/>
        <v>0</v>
      </c>
      <c r="H77" t="str">
        <f t="shared" si="9"/>
        <v xml:space="preserve">  其他流动负债 </v>
      </c>
      <c r="I77" s="40" t="str">
        <f t="shared" si="7"/>
        <v>近三年及一期，拟承租人  其他流动负债 分别为0亿元、0亿元、0亿元及0亿元。</v>
      </c>
    </row>
    <row r="78" spans="1:9" s="144" customFormat="1" ht="14.1" customHeight="1">
      <c r="A78" s="148">
        <v>2099</v>
      </c>
      <c r="B78" s="148" t="s">
        <v>369</v>
      </c>
      <c r="C78" s="149">
        <f t="shared" ref="C78:F78" si="10">C55+C56+C57+C58+C59+C60+C61+C62+C63+C64+C65+C66+C67+C68+C69+C70+C73+C74+C75+C76+C77</f>
        <v>0</v>
      </c>
      <c r="D78" s="149">
        <f t="shared" si="10"/>
        <v>0</v>
      </c>
      <c r="E78" s="149">
        <f t="shared" si="10"/>
        <v>0</v>
      </c>
      <c r="F78" s="149">
        <f t="shared" si="10"/>
        <v>0</v>
      </c>
      <c r="G78">
        <f t="shared" si="8"/>
        <v>0</v>
      </c>
      <c r="H78" t="str">
        <f t="shared" si="9"/>
        <v xml:space="preserve">    流动负债合计 </v>
      </c>
      <c r="I78" s="40" t="str">
        <f t="shared" si="7"/>
        <v>近三年及一期，拟承租人    流动负债合计 分别为0亿元、0亿元、0亿元及0亿元。</v>
      </c>
    </row>
    <row r="79" spans="1:9" ht="14.1" customHeight="1">
      <c r="A79" s="40">
        <v>2100</v>
      </c>
      <c r="B79" s="53" t="s">
        <v>370</v>
      </c>
      <c r="C79" s="147"/>
      <c r="D79" s="147"/>
      <c r="E79" s="147"/>
      <c r="F79" s="147"/>
      <c r="G79">
        <f t="shared" si="8"/>
        <v>0</v>
      </c>
      <c r="H79" t="str">
        <f t="shared" si="9"/>
        <v xml:space="preserve">非流动负债： </v>
      </c>
      <c r="I79" s="40" t="str">
        <f t="shared" si="7"/>
        <v>近三年及一期，拟承租人非流动负债： 分别为0亿元、0亿元、0亿元及0亿元。</v>
      </c>
    </row>
    <row r="80" spans="1:9" ht="14.1" customHeight="1">
      <c r="A80" s="40">
        <v>2101</v>
      </c>
      <c r="B80" s="40" t="s">
        <v>371</v>
      </c>
      <c r="C80" s="147"/>
      <c r="D80" s="147"/>
      <c r="E80" s="147"/>
      <c r="F80" s="147"/>
      <c r="G80">
        <f t="shared" si="8"/>
        <v>0</v>
      </c>
      <c r="H80" t="str">
        <f t="shared" si="9"/>
        <v xml:space="preserve">  保险合同准备金* </v>
      </c>
      <c r="I80" s="40" t="str">
        <f t="shared" si="7"/>
        <v>近三年及一期，拟承租人  保险合同准备金* 分别为0亿元、0亿元、0亿元及0亿元。</v>
      </c>
    </row>
    <row r="81" spans="1:9" ht="14.1" customHeight="1">
      <c r="A81" s="40">
        <v>2102</v>
      </c>
      <c r="B81" s="40" t="s">
        <v>372</v>
      </c>
      <c r="C81" s="147"/>
      <c r="D81" s="147"/>
      <c r="E81" s="147"/>
      <c r="F81" s="147"/>
      <c r="G81">
        <f t="shared" si="8"/>
        <v>0</v>
      </c>
      <c r="H81" t="str">
        <f t="shared" si="9"/>
        <v xml:space="preserve">  长期借款 </v>
      </c>
      <c r="I81" s="40" t="str">
        <f t="shared" si="7"/>
        <v>近三年及一期，拟承租人  长期借款 分别为0亿元、0亿元、0亿元及0亿元。</v>
      </c>
    </row>
    <row r="82" spans="1:9" ht="14.1" customHeight="1">
      <c r="A82" s="40">
        <v>2103</v>
      </c>
      <c r="B82" s="40" t="s">
        <v>373</v>
      </c>
      <c r="C82" s="147"/>
      <c r="D82" s="147"/>
      <c r="E82" s="147"/>
      <c r="F82" s="147"/>
      <c r="G82">
        <f t="shared" si="8"/>
        <v>0</v>
      </c>
      <c r="H82" t="str">
        <f t="shared" si="9"/>
        <v xml:space="preserve">  应付债券 </v>
      </c>
      <c r="I82" s="40" t="str">
        <f t="shared" si="7"/>
        <v>近三年及一期，拟承租人  应付债券 分别为0亿元、0亿元、0亿元及0亿元。</v>
      </c>
    </row>
    <row r="83" spans="1:9" ht="14.1" customHeight="1">
      <c r="A83" s="40">
        <v>210301</v>
      </c>
      <c r="B83" s="40" t="s">
        <v>374</v>
      </c>
      <c r="C83" s="147"/>
      <c r="D83" s="147"/>
      <c r="E83" s="147"/>
      <c r="F83" s="147"/>
      <c r="G83">
        <f t="shared" si="8"/>
        <v>0</v>
      </c>
      <c r="H83" t="str">
        <f t="shared" si="9"/>
        <v xml:space="preserve">    其中：优先股 </v>
      </c>
      <c r="I83" s="40" t="str">
        <f t="shared" si="7"/>
        <v>近三年及一期，拟承租人    其中：优先股 分别为0亿元、0亿元、0亿元及0亿元。</v>
      </c>
    </row>
    <row r="84" spans="1:9" ht="14.1" customHeight="1">
      <c r="A84" s="40">
        <v>210302</v>
      </c>
      <c r="B84" s="40" t="s">
        <v>375</v>
      </c>
      <c r="C84" s="147"/>
      <c r="D84" s="147"/>
      <c r="E84" s="147"/>
      <c r="F84" s="147"/>
      <c r="G84">
        <f t="shared" si="8"/>
        <v>0</v>
      </c>
      <c r="H84" t="str">
        <f t="shared" si="9"/>
        <v xml:space="preserve">          永续债 </v>
      </c>
      <c r="I84" s="40" t="str">
        <f t="shared" si="7"/>
        <v>近三年及一期，拟承租人          永续债 分别为0亿元、0亿元、0亿元及0亿元。</v>
      </c>
    </row>
    <row r="85" spans="1:9" ht="14.1" customHeight="1">
      <c r="A85" s="40">
        <v>2104</v>
      </c>
      <c r="B85" s="40" t="s">
        <v>376</v>
      </c>
      <c r="C85" s="147"/>
      <c r="D85" s="147"/>
      <c r="E85" s="147"/>
      <c r="F85" s="147"/>
      <c r="G85">
        <f t="shared" si="8"/>
        <v>0</v>
      </c>
      <c r="H85" t="str">
        <f t="shared" si="9"/>
        <v xml:space="preserve">  租赁负债 </v>
      </c>
      <c r="I85" s="40" t="str">
        <f t="shared" si="7"/>
        <v>近三年及一期，拟承租人  租赁负债 分别为0亿元、0亿元、0亿元及0亿元。</v>
      </c>
    </row>
    <row r="86" spans="1:9" ht="14.1" customHeight="1">
      <c r="A86" s="40">
        <v>2105</v>
      </c>
      <c r="B86" s="40" t="s">
        <v>377</v>
      </c>
      <c r="C86" s="147"/>
      <c r="D86" s="147"/>
      <c r="E86" s="147"/>
      <c r="F86" s="147"/>
      <c r="G86">
        <f t="shared" si="8"/>
        <v>0</v>
      </c>
      <c r="H86" t="str">
        <f t="shared" si="9"/>
        <v xml:space="preserve">  专项应付款 </v>
      </c>
      <c r="I86" s="40" t="str">
        <f t="shared" si="7"/>
        <v>近三年及一期，拟承租人  专项应付款 分别为0亿元、0亿元、0亿元及0亿元。</v>
      </c>
    </row>
    <row r="87" spans="1:9" ht="14.1" customHeight="1">
      <c r="A87" s="40">
        <v>2106</v>
      </c>
      <c r="B87" s="40" t="s">
        <v>378</v>
      </c>
      <c r="C87" s="147"/>
      <c r="D87" s="147"/>
      <c r="E87" s="147"/>
      <c r="F87" s="147"/>
      <c r="G87">
        <f t="shared" si="8"/>
        <v>0</v>
      </c>
      <c r="H87" t="str">
        <f t="shared" si="9"/>
        <v xml:space="preserve">  长期应付款 </v>
      </c>
      <c r="I87" s="40" t="str">
        <f t="shared" ref="I87:I110" si="11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分别为0亿元、0亿元、0亿元及0亿元。</v>
      </c>
    </row>
    <row r="88" spans="1:9" ht="14.1" customHeight="1">
      <c r="A88" s="40">
        <v>2107</v>
      </c>
      <c r="B88" s="40" t="s">
        <v>379</v>
      </c>
      <c r="C88" s="147"/>
      <c r="D88" s="147"/>
      <c r="E88" s="147"/>
      <c r="F88" s="147"/>
      <c r="G88">
        <f t="shared" si="8"/>
        <v>0</v>
      </c>
      <c r="H88" t="str">
        <f t="shared" si="9"/>
        <v xml:space="preserve">  长期应付职工薪酬</v>
      </c>
      <c r="I88" s="40" t="str">
        <f t="shared" si="11"/>
        <v>近三年及一期，拟承租人  长期应付职工薪酬分别为0亿元、0亿元、0亿元及0亿元。</v>
      </c>
    </row>
    <row r="89" spans="1:9" ht="14.1" customHeight="1">
      <c r="A89" s="40">
        <v>2108</v>
      </c>
      <c r="B89" s="40" t="s">
        <v>380</v>
      </c>
      <c r="C89" s="147"/>
      <c r="D89" s="147"/>
      <c r="E89" s="147"/>
      <c r="F89" s="147"/>
      <c r="G89">
        <f t="shared" si="8"/>
        <v>0</v>
      </c>
      <c r="H89" t="str">
        <f t="shared" si="9"/>
        <v xml:space="preserve">  预计负债 </v>
      </c>
      <c r="I89" s="40" t="str">
        <f t="shared" si="11"/>
        <v>近三年及一期，拟承租人  预计负债 分别为0亿元、0亿元、0亿元及0亿元。</v>
      </c>
    </row>
    <row r="90" spans="1:9" ht="14.1" customHeight="1">
      <c r="A90" s="40">
        <v>2109</v>
      </c>
      <c r="B90" s="40" t="s">
        <v>381</v>
      </c>
      <c r="C90" s="147"/>
      <c r="D90" s="147"/>
      <c r="E90" s="147"/>
      <c r="F90" s="147"/>
      <c r="G90">
        <f t="shared" si="8"/>
        <v>0</v>
      </c>
      <c r="H90" t="str">
        <f t="shared" si="9"/>
        <v xml:space="preserve">  递延收益 </v>
      </c>
      <c r="I90" s="40" t="str">
        <f t="shared" si="11"/>
        <v>近三年及一期，拟承租人  递延收益 分别为0亿元、0亿元、0亿元及0亿元。</v>
      </c>
    </row>
    <row r="91" spans="1:9" ht="14.1" customHeight="1">
      <c r="A91" s="40">
        <v>2110</v>
      </c>
      <c r="B91" s="40" t="s">
        <v>382</v>
      </c>
      <c r="C91" s="147"/>
      <c r="D91" s="147"/>
      <c r="E91" s="147"/>
      <c r="F91" s="147"/>
      <c r="G91">
        <f t="shared" si="8"/>
        <v>0</v>
      </c>
      <c r="H91" t="str">
        <f t="shared" si="9"/>
        <v xml:space="preserve">  递延所得税负债 </v>
      </c>
      <c r="I91" s="40" t="str">
        <f t="shared" si="11"/>
        <v>近三年及一期，拟承租人  递延所得税负债 分别为0亿元、0亿元、0亿元及0亿元。</v>
      </c>
    </row>
    <row r="92" spans="1:9" ht="14.1" customHeight="1">
      <c r="A92" s="40">
        <v>2111</v>
      </c>
      <c r="B92" s="40" t="s">
        <v>383</v>
      </c>
      <c r="C92" s="147"/>
      <c r="D92" s="147"/>
      <c r="E92" s="147"/>
      <c r="F92" s="147"/>
      <c r="G92">
        <f t="shared" si="8"/>
        <v>0</v>
      </c>
      <c r="H92" t="str">
        <f t="shared" si="9"/>
        <v xml:space="preserve">  其他非流动负债 </v>
      </c>
      <c r="I92" s="40" t="str">
        <f t="shared" si="11"/>
        <v>近三年及一期，拟承租人  其他非流动负债 分别为0亿元、0亿元、0亿元及0亿元。</v>
      </c>
    </row>
    <row r="93" spans="1:9" s="144" customFormat="1" ht="14.1" customHeight="1">
      <c r="A93" s="148">
        <v>2199</v>
      </c>
      <c r="B93" s="148" t="s">
        <v>384</v>
      </c>
      <c r="C93" s="149">
        <f t="shared" ref="C93:F93" si="12">C81+C82+C85+C86+C87+C88+C89+C90+C91+C92</f>
        <v>0</v>
      </c>
      <c r="D93" s="149">
        <f t="shared" si="12"/>
        <v>0</v>
      </c>
      <c r="E93" s="149">
        <f t="shared" si="12"/>
        <v>0</v>
      </c>
      <c r="F93" s="149">
        <f t="shared" si="12"/>
        <v>0</v>
      </c>
      <c r="G93">
        <f t="shared" si="8"/>
        <v>0</v>
      </c>
      <c r="H93" t="str">
        <f t="shared" si="9"/>
        <v xml:space="preserve">    非流动负债合计 </v>
      </c>
      <c r="I93" s="40" t="str">
        <f t="shared" si="11"/>
        <v>近三年及一期，拟承租人    非流动负债合计 分别为0亿元、0亿元、0亿元及0亿元。</v>
      </c>
    </row>
    <row r="94" spans="1:9" s="144" customFormat="1" ht="14.1" customHeight="1">
      <c r="A94" s="148">
        <v>3999</v>
      </c>
      <c r="B94" s="148" t="s">
        <v>385</v>
      </c>
      <c r="C94" s="149">
        <f t="shared" ref="C94:F94" si="13">C78+C93</f>
        <v>0</v>
      </c>
      <c r="D94" s="149">
        <f t="shared" si="13"/>
        <v>0</v>
      </c>
      <c r="E94" s="149">
        <f t="shared" si="13"/>
        <v>0</v>
      </c>
      <c r="F94" s="149">
        <f t="shared" si="13"/>
        <v>0</v>
      </c>
      <c r="G94">
        <f t="shared" si="8"/>
        <v>0</v>
      </c>
      <c r="H94" s="144" t="str">
        <f t="shared" si="9"/>
        <v xml:space="preserve">      负债合计</v>
      </c>
      <c r="I94" s="40" t="str">
        <f t="shared" si="11"/>
        <v>近三年及一期，拟承租人      负债合计分别为0亿元、0亿元、0亿元及0亿元。</v>
      </c>
    </row>
    <row r="95" spans="1:9" ht="14.1" customHeight="1">
      <c r="A95" s="40">
        <v>5000</v>
      </c>
      <c r="B95" s="140" t="s">
        <v>386</v>
      </c>
      <c r="C95" s="147"/>
      <c r="D95" s="147"/>
      <c r="E95" s="147"/>
      <c r="F95" s="147"/>
      <c r="G95">
        <f t="shared" si="8"/>
        <v>0</v>
      </c>
      <c r="H95" t="str">
        <f t="shared" si="9"/>
        <v xml:space="preserve">所有者权益（或股东权益）： </v>
      </c>
      <c r="I95" s="40" t="str">
        <f t="shared" si="11"/>
        <v>近三年及一期，拟承租人所有者权益（或股东权益）： 分别为0亿元、0亿元、0亿元及0亿元。</v>
      </c>
    </row>
    <row r="96" spans="1:9" ht="14.1" customHeight="1">
      <c r="A96" s="40">
        <v>5001</v>
      </c>
      <c r="B96" s="40" t="s">
        <v>387</v>
      </c>
      <c r="C96" s="147"/>
      <c r="D96" s="147"/>
      <c r="E96" s="147"/>
      <c r="F96" s="147"/>
      <c r="G96">
        <f t="shared" si="8"/>
        <v>0</v>
      </c>
      <c r="H96" t="str">
        <f t="shared" si="9"/>
        <v xml:space="preserve">  实收资本（或股本） </v>
      </c>
      <c r="I96" s="40" t="str">
        <f t="shared" si="11"/>
        <v>近三年及一期，拟承租人  实收资本（或股本） 分别为0亿元、0亿元、0亿元及0亿元。</v>
      </c>
    </row>
    <row r="97" spans="1:9" ht="14.1" customHeight="1">
      <c r="A97" s="40">
        <v>5002</v>
      </c>
      <c r="B97" s="40" t="s">
        <v>388</v>
      </c>
      <c r="C97" s="147"/>
      <c r="D97" s="147"/>
      <c r="E97" s="147"/>
      <c r="F97" s="147"/>
      <c r="G97">
        <f t="shared" si="8"/>
        <v>0</v>
      </c>
      <c r="H97" t="str">
        <f t="shared" si="9"/>
        <v xml:space="preserve">  其他权益工具 </v>
      </c>
      <c r="I97" s="40" t="str">
        <f t="shared" si="11"/>
        <v>近三年及一期，拟承租人  其他权益工具 分别为0亿元、0亿元、0亿元及0亿元。</v>
      </c>
    </row>
    <row r="98" spans="1:9" ht="14.1" customHeight="1">
      <c r="A98" s="40">
        <v>500201</v>
      </c>
      <c r="B98" s="53" t="s">
        <v>389</v>
      </c>
      <c r="C98" s="147"/>
      <c r="D98" s="147"/>
      <c r="E98" s="147"/>
      <c r="F98" s="147"/>
      <c r="G98">
        <f t="shared" ref="G98:G110" si="14">C98+D98+E98+F98</f>
        <v>0</v>
      </c>
      <c r="H98" t="str">
        <f t="shared" ref="H98:H110" si="15">B98</f>
        <v xml:space="preserve">    其中：优先股 </v>
      </c>
      <c r="I98" s="40" t="str">
        <f t="shared" si="11"/>
        <v>近三年及一期，拟承租人    其中：优先股 分别为0亿元、0亿元、0亿元及0亿元。</v>
      </c>
    </row>
    <row r="99" spans="1:9" ht="14.1" customHeight="1">
      <c r="A99" s="40">
        <v>500202</v>
      </c>
      <c r="B99" s="40" t="s">
        <v>375</v>
      </c>
      <c r="C99" s="147"/>
      <c r="D99" s="147"/>
      <c r="E99" s="147"/>
      <c r="F99" s="147"/>
      <c r="G99">
        <f t="shared" si="14"/>
        <v>0</v>
      </c>
      <c r="H99" t="str">
        <f t="shared" si="15"/>
        <v xml:space="preserve">          永续债 </v>
      </c>
      <c r="I99" s="40" t="str">
        <f t="shared" si="11"/>
        <v>近三年及一期，拟承租人          永续债 分别为0亿元、0亿元、0亿元及0亿元。</v>
      </c>
    </row>
    <row r="100" spans="1:9" ht="14.1" customHeight="1">
      <c r="A100" s="40">
        <v>5003</v>
      </c>
      <c r="B100" s="40" t="s">
        <v>390</v>
      </c>
      <c r="C100" s="147"/>
      <c r="D100" s="147"/>
      <c r="E100" s="147"/>
      <c r="F100" s="147"/>
      <c r="G100">
        <f t="shared" si="14"/>
        <v>0</v>
      </c>
      <c r="H100" t="str">
        <f t="shared" si="15"/>
        <v xml:space="preserve">  资本公积 </v>
      </c>
      <c r="I100" s="40" t="str">
        <f t="shared" si="11"/>
        <v>近三年及一期，拟承租人  资本公积 分别为0亿元、0亿元、0亿元及0亿元。</v>
      </c>
    </row>
    <row r="101" spans="1:9" ht="14.1" customHeight="1">
      <c r="A101" s="40">
        <v>5004</v>
      </c>
      <c r="B101" s="40" t="s">
        <v>391</v>
      </c>
      <c r="C101" s="147"/>
      <c r="D101" s="147"/>
      <c r="E101" s="147"/>
      <c r="F101" s="147"/>
      <c r="G101">
        <f t="shared" si="14"/>
        <v>0</v>
      </c>
      <c r="H101" t="str">
        <f t="shared" si="15"/>
        <v xml:space="preserve">  减：库存股 </v>
      </c>
      <c r="I101" s="40" t="str">
        <f t="shared" si="11"/>
        <v>近三年及一期，拟承租人  减：库存股 分别为0亿元、0亿元、0亿元及0亿元。</v>
      </c>
    </row>
    <row r="102" spans="1:9" ht="14.1" customHeight="1">
      <c r="A102" s="40">
        <v>5005</v>
      </c>
      <c r="B102" s="40" t="s">
        <v>392</v>
      </c>
      <c r="C102" s="147"/>
      <c r="D102" s="147"/>
      <c r="E102" s="147"/>
      <c r="F102" s="147"/>
      <c r="G102">
        <f t="shared" si="14"/>
        <v>0</v>
      </c>
      <c r="H102" t="str">
        <f t="shared" si="15"/>
        <v xml:space="preserve">  其他综合收益 </v>
      </c>
      <c r="I102" s="40" t="str">
        <f t="shared" si="11"/>
        <v>近三年及一期，拟承租人  其他综合收益 分别为0亿元、0亿元、0亿元及0亿元。</v>
      </c>
    </row>
    <row r="103" spans="1:9" ht="14.1" customHeight="1">
      <c r="A103" s="40">
        <v>5006</v>
      </c>
      <c r="B103" s="40" t="s">
        <v>393</v>
      </c>
      <c r="C103" s="147"/>
      <c r="D103" s="147"/>
      <c r="E103" s="147"/>
      <c r="F103" s="147"/>
      <c r="G103">
        <f t="shared" si="14"/>
        <v>0</v>
      </c>
      <c r="H103" t="str">
        <f t="shared" si="15"/>
        <v xml:space="preserve">  专项储备 400561</v>
      </c>
      <c r="I103" s="40" t="str">
        <f t="shared" si="11"/>
        <v>近三年及一期，拟承租人  专项储备 400561分别为0亿元、0亿元、0亿元及0亿元。</v>
      </c>
    </row>
    <row r="104" spans="1:9" ht="14.1" customHeight="1">
      <c r="A104" s="40">
        <v>5007</v>
      </c>
      <c r="B104" s="40" t="s">
        <v>394</v>
      </c>
      <c r="C104" s="147"/>
      <c r="D104" s="147"/>
      <c r="E104" s="147"/>
      <c r="F104" s="147"/>
      <c r="G104">
        <f t="shared" si="14"/>
        <v>0</v>
      </c>
      <c r="H104" t="str">
        <f t="shared" si="15"/>
        <v xml:space="preserve">  盈余公积 </v>
      </c>
      <c r="I104" s="40" t="str">
        <f t="shared" si="11"/>
        <v>近三年及一期，拟承租人  盈余公积 分别为0亿元、0亿元、0亿元及0亿元。</v>
      </c>
    </row>
    <row r="105" spans="1:9" ht="14.1" customHeight="1">
      <c r="A105" s="40">
        <v>5008</v>
      </c>
      <c r="B105" s="40" t="s">
        <v>395</v>
      </c>
      <c r="C105" s="147"/>
      <c r="D105" s="147"/>
      <c r="E105" s="147"/>
      <c r="F105" s="147"/>
      <c r="G105">
        <f t="shared" si="14"/>
        <v>0</v>
      </c>
      <c r="H105" t="str">
        <f t="shared" si="15"/>
        <v xml:space="preserve">  一般风险准备* </v>
      </c>
      <c r="I105" s="40" t="str">
        <f t="shared" si="11"/>
        <v>近三年及一期，拟承租人  一般风险准备* 分别为0亿元、0亿元、0亿元及0亿元。</v>
      </c>
    </row>
    <row r="106" spans="1:9" ht="14.1" customHeight="1">
      <c r="A106" s="40">
        <v>5009</v>
      </c>
      <c r="B106" s="40" t="s">
        <v>396</v>
      </c>
      <c r="C106" s="147"/>
      <c r="D106" s="147"/>
      <c r="E106" s="147"/>
      <c r="F106" s="147"/>
      <c r="G106">
        <f t="shared" si="14"/>
        <v>0</v>
      </c>
      <c r="H106" t="str">
        <f t="shared" si="15"/>
        <v xml:space="preserve">  未分配利润 </v>
      </c>
      <c r="I106" s="40" t="str">
        <f t="shared" si="11"/>
        <v>近三年及一期，拟承租人  未分配利润 分别为0亿元、0亿元、0亿元及0亿元。</v>
      </c>
    </row>
    <row r="107" spans="1:9" s="144" customFormat="1" ht="14.1" customHeight="1">
      <c r="A107" s="148">
        <v>5010</v>
      </c>
      <c r="B107" s="151" t="s">
        <v>397</v>
      </c>
      <c r="C107" s="149">
        <f t="shared" ref="C107:F107" si="16">C96+C97+C100+C101+C102+C103+C104+C105+C106</f>
        <v>0</v>
      </c>
      <c r="D107" s="149">
        <f t="shared" si="16"/>
        <v>0</v>
      </c>
      <c r="E107" s="149">
        <f t="shared" si="16"/>
        <v>0</v>
      </c>
      <c r="F107" s="149">
        <f t="shared" si="16"/>
        <v>0</v>
      </c>
      <c r="G107">
        <f t="shared" si="14"/>
        <v>0</v>
      </c>
      <c r="H107" t="str">
        <f t="shared" si="15"/>
        <v>归属于母公司所有者权益（或股东权益）合计</v>
      </c>
      <c r="I107" s="40" t="str">
        <f t="shared" si="11"/>
        <v>近三年及一期，拟承租人归属于母公司所有者权益（或股东权益）合计分别为0亿元、0亿元、0亿元及0亿元。</v>
      </c>
    </row>
    <row r="108" spans="1:9" ht="14.1" customHeight="1">
      <c r="A108" s="40">
        <v>5011</v>
      </c>
      <c r="B108" s="40" t="s">
        <v>398</v>
      </c>
      <c r="C108" s="147"/>
      <c r="D108" s="147"/>
      <c r="E108" s="147"/>
      <c r="F108" s="147"/>
      <c r="G108">
        <f t="shared" si="14"/>
        <v>0</v>
      </c>
      <c r="H108" t="str">
        <f t="shared" si="15"/>
        <v xml:space="preserve">  少数股东权益 </v>
      </c>
      <c r="I108" s="40" t="str">
        <f t="shared" si="11"/>
        <v>近三年及一期，拟承租人  少数股东权益 分别为0亿元、0亿元、0亿元及0亿元。</v>
      </c>
    </row>
    <row r="109" spans="1:9" s="144" customFormat="1" ht="14.1" customHeight="1">
      <c r="A109" s="148">
        <v>5099</v>
      </c>
      <c r="B109" s="148" t="s">
        <v>399</v>
      </c>
      <c r="C109" s="149">
        <f t="shared" ref="C109:F109" si="17">C107+C108</f>
        <v>0</v>
      </c>
      <c r="D109" s="149">
        <f t="shared" si="17"/>
        <v>0</v>
      </c>
      <c r="E109" s="149">
        <f t="shared" si="17"/>
        <v>0</v>
      </c>
      <c r="F109" s="149">
        <f t="shared" si="17"/>
        <v>0</v>
      </c>
      <c r="G109">
        <f t="shared" si="14"/>
        <v>0</v>
      </c>
      <c r="H109" t="str">
        <f t="shared" si="15"/>
        <v xml:space="preserve">  所有者权益（或股东权益）合计 </v>
      </c>
      <c r="I109" s="40" t="str">
        <f t="shared" si="11"/>
        <v>近三年及一期，拟承租人  所有者权益（或股东权益）合计 分别为0亿元、0亿元、0亿元及0亿元。</v>
      </c>
    </row>
    <row r="110" spans="1:9" s="144" customFormat="1" ht="14.1" customHeight="1">
      <c r="A110" s="148">
        <v>5999</v>
      </c>
      <c r="B110" s="148" t="s">
        <v>400</v>
      </c>
      <c r="C110" s="149">
        <f t="shared" ref="C110:F110" si="18">C94+C109</f>
        <v>0</v>
      </c>
      <c r="D110" s="149">
        <f t="shared" si="18"/>
        <v>0</v>
      </c>
      <c r="E110" s="149">
        <f t="shared" si="18"/>
        <v>0</v>
      </c>
      <c r="F110" s="149">
        <f t="shared" si="18"/>
        <v>0</v>
      </c>
      <c r="G110">
        <f t="shared" si="14"/>
        <v>0</v>
      </c>
      <c r="H110" t="str">
        <f t="shared" si="15"/>
        <v xml:space="preserve"> 负债和所有者权益（或股东权益）总计 </v>
      </c>
      <c r="I110" s="40" t="str">
        <f t="shared" si="11"/>
        <v>近三年及一期，拟承租人 负债和所有者权益（或股东权益）总计 分别为0亿元、0亿元、0亿元及0亿元。</v>
      </c>
    </row>
    <row r="111" spans="1:9">
      <c r="C111" s="118">
        <f t="shared" ref="C111:F111" si="19">C110-C53</f>
        <v>0</v>
      </c>
      <c r="D111" s="118">
        <f t="shared" si="19"/>
        <v>0</v>
      </c>
      <c r="E111" s="118">
        <f t="shared" si="19"/>
        <v>0</v>
      </c>
      <c r="F111" s="118">
        <f t="shared" si="19"/>
        <v>0</v>
      </c>
    </row>
  </sheetData>
  <autoFilter ref="A1:I111" xr:uid="{00000000-0009-0000-0000-000003000000}"/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9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G70"/>
  <sheetViews>
    <sheetView tabSelected="1" topLeftCell="A38" zoomScale="86" zoomScaleNormal="175" workbookViewId="0">
      <selection activeCell="C42" sqref="C42:F42"/>
    </sheetView>
  </sheetViews>
  <sheetFormatPr defaultColWidth="9" defaultRowHeight="12.7"/>
  <cols>
    <col min="1" max="1" width="8.5859375" customWidth="1"/>
    <col min="2" max="2" width="47.5859375" customWidth="1"/>
    <col min="3" max="3" width="15.5859375" customWidth="1"/>
    <col min="4" max="4" width="15.29296875" style="137" customWidth="1"/>
    <col min="5" max="5" width="17" style="137" customWidth="1"/>
    <col min="6" max="6" width="16.41015625" style="137" customWidth="1"/>
  </cols>
  <sheetData>
    <row r="1" spans="1:6" ht="22.2" customHeight="1">
      <c r="A1" s="134" t="s">
        <v>290</v>
      </c>
      <c r="B1" s="134" t="s">
        <v>291</v>
      </c>
      <c r="C1" s="135">
        <v>45657</v>
      </c>
      <c r="D1" s="135">
        <v>45291</v>
      </c>
      <c r="E1" s="135">
        <v>44926</v>
      </c>
      <c r="F1" s="135">
        <v>44561</v>
      </c>
    </row>
    <row r="2" spans="1:6" ht="14.1" customHeight="1">
      <c r="A2" s="53">
        <v>6100</v>
      </c>
      <c r="B2" s="53" t="s">
        <v>401</v>
      </c>
      <c r="C2" s="141">
        <f t="shared" ref="C2:F2" si="0">C3+C4+C5+C6+C7</f>
        <v>0</v>
      </c>
      <c r="D2" s="142">
        <f t="shared" si="0"/>
        <v>0</v>
      </c>
      <c r="E2" s="142">
        <f t="shared" si="0"/>
        <v>0</v>
      </c>
      <c r="F2" s="142">
        <f t="shared" si="0"/>
        <v>0</v>
      </c>
    </row>
    <row r="3" spans="1:6" ht="14.1" customHeight="1">
      <c r="A3" s="53">
        <v>6101</v>
      </c>
      <c r="B3" s="53" t="s">
        <v>402</v>
      </c>
      <c r="C3" s="157"/>
      <c r="D3" s="157"/>
      <c r="E3" s="157"/>
      <c r="F3" s="157"/>
    </row>
    <row r="4" spans="1:6" ht="14.1" customHeight="1">
      <c r="A4" s="53">
        <v>6102</v>
      </c>
      <c r="B4" s="53" t="s">
        <v>403</v>
      </c>
      <c r="C4" s="158"/>
      <c r="D4" s="157"/>
      <c r="E4" s="157"/>
      <c r="F4" s="157"/>
    </row>
    <row r="5" spans="1:6" ht="14.1" customHeight="1">
      <c r="A5" s="53">
        <v>6103</v>
      </c>
      <c r="B5" s="53" t="s">
        <v>404</v>
      </c>
      <c r="C5" s="158"/>
      <c r="D5" s="157"/>
      <c r="E5" s="157"/>
      <c r="F5" s="157"/>
    </row>
    <row r="6" spans="1:6" ht="14.1" customHeight="1">
      <c r="A6" s="53">
        <v>6104</v>
      </c>
      <c r="B6" s="53" t="s">
        <v>405</v>
      </c>
      <c r="C6" s="158"/>
      <c r="D6" s="157"/>
      <c r="E6" s="157"/>
      <c r="F6" s="157"/>
    </row>
    <row r="7" spans="1:6" ht="14.1" customHeight="1">
      <c r="A7" s="53">
        <v>6105</v>
      </c>
      <c r="B7" s="53" t="s">
        <v>406</v>
      </c>
      <c r="C7" s="158"/>
      <c r="D7" s="157"/>
      <c r="E7" s="157"/>
      <c r="F7" s="157"/>
    </row>
    <row r="8" spans="1:6" ht="14.1" customHeight="1">
      <c r="A8" s="53">
        <v>6200</v>
      </c>
      <c r="B8" s="53" t="s">
        <v>407</v>
      </c>
      <c r="C8" s="158"/>
      <c r="D8" s="159"/>
      <c r="E8" s="159"/>
      <c r="F8" s="159"/>
    </row>
    <row r="9" spans="1:6" ht="14.1" customHeight="1">
      <c r="A9" s="53">
        <v>6201</v>
      </c>
      <c r="B9" s="53" t="s">
        <v>408</v>
      </c>
      <c r="C9" s="142">
        <f>C10+C11</f>
        <v>0</v>
      </c>
      <c r="D9" s="142">
        <f>D10+D11</f>
        <v>0</v>
      </c>
      <c r="E9" s="142">
        <f>E10+E11</f>
        <v>0</v>
      </c>
      <c r="F9" s="142">
        <f>F10+F11</f>
        <v>0</v>
      </c>
    </row>
    <row r="10" spans="1:6" ht="14.1" customHeight="1">
      <c r="A10" s="53">
        <v>620101</v>
      </c>
      <c r="B10" s="53" t="s">
        <v>409</v>
      </c>
      <c r="C10" s="158"/>
      <c r="D10" s="158"/>
      <c r="E10" s="158"/>
      <c r="F10" s="158"/>
    </row>
    <row r="11" spans="1:6" ht="14.1" customHeight="1">
      <c r="A11" s="53">
        <v>620102</v>
      </c>
      <c r="B11" s="53" t="s">
        <v>410</v>
      </c>
      <c r="C11" s="158"/>
      <c r="D11" s="158"/>
      <c r="E11" s="158"/>
      <c r="F11" s="158"/>
    </row>
    <row r="12" spans="1:6" ht="14.1" customHeight="1">
      <c r="A12" s="53">
        <v>6202</v>
      </c>
      <c r="B12" s="53" t="s">
        <v>411</v>
      </c>
      <c r="C12" s="158"/>
      <c r="D12" s="158"/>
      <c r="E12" s="158"/>
      <c r="F12" s="158"/>
    </row>
    <row r="13" spans="1:6" ht="14.1" customHeight="1">
      <c r="A13" s="53">
        <v>6203</v>
      </c>
      <c r="B13" s="53" t="s">
        <v>412</v>
      </c>
      <c r="C13" s="158"/>
      <c r="D13" s="158"/>
      <c r="E13" s="158"/>
      <c r="F13" s="158"/>
    </row>
    <row r="14" spans="1:6" ht="13.5" customHeight="1">
      <c r="A14" s="53">
        <v>6204</v>
      </c>
      <c r="B14" s="53" t="s">
        <v>413</v>
      </c>
      <c r="C14" s="158"/>
      <c r="D14" s="158"/>
      <c r="E14" s="158"/>
      <c r="F14" s="158"/>
    </row>
    <row r="15" spans="1:6" ht="13.5" customHeight="1">
      <c r="A15" s="53">
        <v>6205</v>
      </c>
      <c r="B15" s="53" t="s">
        <v>414</v>
      </c>
      <c r="C15" s="158"/>
      <c r="D15" s="158"/>
      <c r="E15" s="158"/>
      <c r="F15" s="158"/>
    </row>
    <row r="16" spans="1:6" ht="14.1" customHeight="1">
      <c r="A16" s="53">
        <v>6206</v>
      </c>
      <c r="B16" s="53" t="s">
        <v>415</v>
      </c>
      <c r="C16" s="158"/>
      <c r="D16" s="158"/>
      <c r="E16" s="158"/>
      <c r="F16" s="158"/>
    </row>
    <row r="17" spans="1:6" ht="14.1" customHeight="1">
      <c r="A17" s="53">
        <v>6207</v>
      </c>
      <c r="B17" s="53" t="s">
        <v>416</v>
      </c>
      <c r="C17" s="158"/>
      <c r="D17" s="158"/>
      <c r="E17" s="158"/>
      <c r="F17" s="158"/>
    </row>
    <row r="18" spans="1:6" ht="14.1" customHeight="1">
      <c r="A18" s="53">
        <v>6208</v>
      </c>
      <c r="B18" s="53" t="s">
        <v>417</v>
      </c>
      <c r="C18" s="158"/>
      <c r="D18" s="158"/>
      <c r="E18" s="158"/>
      <c r="F18" s="158"/>
    </row>
    <row r="19" spans="1:6" ht="14.1" customHeight="1">
      <c r="A19" s="53">
        <v>6209</v>
      </c>
      <c r="B19" s="53" t="s">
        <v>418</v>
      </c>
      <c r="C19" s="160"/>
      <c r="D19" s="160"/>
      <c r="E19" s="160"/>
      <c r="F19" s="160"/>
    </row>
    <row r="20" spans="1:6" ht="14.1" customHeight="1">
      <c r="A20" s="53">
        <v>6210</v>
      </c>
      <c r="B20" s="53" t="s">
        <v>419</v>
      </c>
      <c r="C20" s="160"/>
      <c r="D20" s="160"/>
      <c r="E20" s="160"/>
      <c r="F20" s="160"/>
    </row>
    <row r="21" spans="1:6" ht="14.1" customHeight="1">
      <c r="A21" s="53">
        <v>6211</v>
      </c>
      <c r="B21" s="53" t="s">
        <v>420</v>
      </c>
      <c r="C21" s="160"/>
      <c r="D21" s="160"/>
      <c r="E21" s="160"/>
      <c r="F21" s="160"/>
    </row>
    <row r="22" spans="1:6" ht="14.1" customHeight="1">
      <c r="A22" s="53">
        <v>6212</v>
      </c>
      <c r="B22" s="53" t="s">
        <v>421</v>
      </c>
      <c r="C22" s="160"/>
      <c r="D22" s="160"/>
      <c r="E22" s="160"/>
      <c r="F22" s="160"/>
    </row>
    <row r="23" spans="1:6" ht="14.1" customHeight="1">
      <c r="A23" s="53">
        <v>6213</v>
      </c>
      <c r="B23" s="53" t="s">
        <v>422</v>
      </c>
      <c r="C23" s="160"/>
      <c r="D23" s="160"/>
      <c r="E23" s="160"/>
      <c r="F23" s="160"/>
    </row>
    <row r="24" spans="1:6" ht="14.1" customHeight="1">
      <c r="A24" s="53">
        <v>621301</v>
      </c>
      <c r="B24" s="53" t="s">
        <v>423</v>
      </c>
      <c r="C24" s="160"/>
      <c r="D24" s="160"/>
      <c r="E24" s="160"/>
      <c r="F24" s="160"/>
    </row>
    <row r="25" spans="1:6" ht="14.1" customHeight="1">
      <c r="A25" s="53">
        <v>621302</v>
      </c>
      <c r="B25" s="53" t="s">
        <v>424</v>
      </c>
      <c r="C25" s="160"/>
      <c r="D25" s="160"/>
      <c r="E25" s="160"/>
      <c r="F25" s="160"/>
    </row>
    <row r="26" spans="1:6" ht="14.1" customHeight="1">
      <c r="A26" s="53">
        <v>6214</v>
      </c>
      <c r="B26" s="53" t="s">
        <v>425</v>
      </c>
      <c r="C26" s="158"/>
      <c r="D26" s="158"/>
      <c r="E26" s="158"/>
      <c r="F26" s="158"/>
    </row>
    <row r="27" spans="1:6" ht="14.1" customHeight="1">
      <c r="A27" s="53">
        <v>6215</v>
      </c>
      <c r="B27" s="53" t="s">
        <v>426</v>
      </c>
      <c r="C27" s="158"/>
      <c r="D27" s="158"/>
      <c r="E27" s="158"/>
      <c r="F27" s="158"/>
    </row>
    <row r="28" spans="1:6" ht="14.1" customHeight="1">
      <c r="A28" s="53">
        <v>621501</v>
      </c>
      <c r="B28" s="53" t="s">
        <v>427</v>
      </c>
      <c r="C28" s="158"/>
      <c r="D28" s="158"/>
      <c r="E28" s="158"/>
      <c r="F28" s="158"/>
    </row>
    <row r="29" spans="1:6" ht="14.1" customHeight="1">
      <c r="A29" s="53">
        <v>621502</v>
      </c>
      <c r="B29" s="53" t="s">
        <v>428</v>
      </c>
      <c r="C29" s="161"/>
      <c r="D29" s="161"/>
      <c r="E29" s="161"/>
      <c r="F29" s="161"/>
    </row>
    <row r="30" spans="1:6" ht="14.1" customHeight="1">
      <c r="A30" s="53">
        <v>6216</v>
      </c>
      <c r="B30" s="53" t="s">
        <v>429</v>
      </c>
      <c r="C30" s="158"/>
      <c r="D30" s="158"/>
      <c r="E30" s="158"/>
      <c r="F30" s="158"/>
    </row>
    <row r="31" spans="1:6" ht="14.1" customHeight="1">
      <c r="A31" s="53">
        <v>6217</v>
      </c>
      <c r="B31" s="53" t="s">
        <v>430</v>
      </c>
      <c r="C31" s="161"/>
      <c r="D31" s="161"/>
      <c r="E31" s="161"/>
      <c r="F31" s="161"/>
    </row>
    <row r="32" spans="1:6" ht="14.1" customHeight="1">
      <c r="A32" s="53">
        <v>6218</v>
      </c>
      <c r="B32" s="53" t="s">
        <v>431</v>
      </c>
      <c r="C32" s="158"/>
      <c r="D32" s="158"/>
      <c r="E32" s="158"/>
      <c r="F32" s="158"/>
    </row>
    <row r="33" spans="1:7" ht="14.1" customHeight="1">
      <c r="A33" s="53">
        <v>6219</v>
      </c>
      <c r="B33" s="53" t="s">
        <v>432</v>
      </c>
      <c r="C33" s="158"/>
      <c r="D33" s="158"/>
      <c r="E33" s="158"/>
      <c r="F33" s="158"/>
      <c r="G33" s="143"/>
    </row>
    <row r="34" spans="1:7" ht="14.1" customHeight="1">
      <c r="A34" s="53">
        <v>6220</v>
      </c>
      <c r="B34" s="53" t="s">
        <v>433</v>
      </c>
      <c r="C34" s="158"/>
      <c r="D34" s="158"/>
      <c r="E34" s="158"/>
      <c r="F34" s="158"/>
    </row>
    <row r="35" spans="1:7" ht="14.1" customHeight="1">
      <c r="A35" s="53">
        <v>6221</v>
      </c>
      <c r="B35" s="53" t="s">
        <v>434</v>
      </c>
      <c r="C35" s="158"/>
      <c r="D35" s="158"/>
      <c r="E35" s="158"/>
      <c r="F35" s="158"/>
    </row>
    <row r="36" spans="1:7" ht="14.1" customHeight="1">
      <c r="A36" s="53">
        <v>6300</v>
      </c>
      <c r="B36" s="53" t="s">
        <v>435</v>
      </c>
      <c r="C36" s="141">
        <f>C2-C9-C12-C13-C14-C15-C16-C17-C18-C19-C20-C21-C22-C23+C26+C27+C30+C31+C32+C33+C34+C35</f>
        <v>0</v>
      </c>
      <c r="D36" s="141">
        <f>D2-D9-D12-D13-D14-D15-D16-D17-D18-D19-D20-D21-D22-D23+D26+D27+D30+D31+D32+D33+D34+D35</f>
        <v>0</v>
      </c>
      <c r="E36" s="141">
        <f>E2-E9-E12-E13-E14-E15-E16-E17-E18-E19-E20-E21-E22-E23+E26+E27+E30+E31+E32+E33+E34+E35</f>
        <v>0</v>
      </c>
      <c r="F36" s="141">
        <f>F2-F9-F12-F13-F14-F15-F16-F17-F18-F19-F20-F21-F22-F23+F26+F27+F30+F31+F32+F33+F34+F35</f>
        <v>0</v>
      </c>
    </row>
    <row r="37" spans="1:7" ht="14.1" customHeight="1">
      <c r="A37" s="53">
        <v>6301</v>
      </c>
      <c r="B37" s="53" t="s">
        <v>436</v>
      </c>
      <c r="C37" s="158"/>
      <c r="D37" s="158"/>
      <c r="E37" s="158"/>
      <c r="F37" s="158"/>
    </row>
    <row r="38" spans="1:7" ht="14.1" customHeight="1">
      <c r="A38" s="53">
        <v>6302</v>
      </c>
      <c r="B38" s="53" t="s">
        <v>437</v>
      </c>
      <c r="C38" s="158"/>
      <c r="D38" s="158"/>
      <c r="E38" s="158"/>
      <c r="F38" s="158"/>
    </row>
    <row r="39" spans="1:7" ht="14.1" customHeight="1">
      <c r="A39" s="53">
        <v>6400</v>
      </c>
      <c r="B39" s="53" t="s">
        <v>438</v>
      </c>
      <c r="C39" s="141">
        <f t="shared" ref="C39:F39" si="1">C36+C37-C38</f>
        <v>0</v>
      </c>
      <c r="D39" s="142">
        <f t="shared" si="1"/>
        <v>0</v>
      </c>
      <c r="E39" s="142">
        <f t="shared" si="1"/>
        <v>0</v>
      </c>
      <c r="F39" s="142">
        <f t="shared" si="1"/>
        <v>0</v>
      </c>
    </row>
    <row r="40" spans="1:7" ht="14.1" customHeight="1">
      <c r="A40" s="53">
        <v>6401</v>
      </c>
      <c r="B40" s="53" t="s">
        <v>439</v>
      </c>
      <c r="C40" s="158"/>
      <c r="D40" s="158"/>
      <c r="E40" s="158"/>
      <c r="F40" s="158"/>
    </row>
    <row r="41" spans="1:7" ht="14.1" customHeight="1">
      <c r="A41" s="53">
        <v>6500</v>
      </c>
      <c r="B41" s="53" t="s">
        <v>440</v>
      </c>
      <c r="C41" s="141">
        <f t="shared" ref="C41:F41" si="2">C39-C40</f>
        <v>0</v>
      </c>
      <c r="D41" s="142">
        <f t="shared" si="2"/>
        <v>0</v>
      </c>
      <c r="E41" s="142">
        <f t="shared" si="2"/>
        <v>0</v>
      </c>
      <c r="F41" s="142">
        <f t="shared" si="2"/>
        <v>0</v>
      </c>
    </row>
    <row r="42" spans="1:7" ht="14.1" customHeight="1">
      <c r="A42" s="53">
        <v>6501</v>
      </c>
      <c r="B42" s="53" t="s">
        <v>441</v>
      </c>
      <c r="C42" s="158"/>
      <c r="D42" s="157"/>
      <c r="E42" s="157"/>
      <c r="F42" s="157"/>
    </row>
    <row r="43" spans="1:7" ht="14.1" customHeight="1">
      <c r="A43" s="53">
        <v>650101</v>
      </c>
      <c r="B43" s="53" t="s">
        <v>442</v>
      </c>
      <c r="C43" s="158"/>
      <c r="D43" s="157"/>
      <c r="E43" s="157"/>
      <c r="F43" s="157"/>
    </row>
    <row r="44" spans="1:7" ht="14.1" customHeight="1">
      <c r="A44" s="53">
        <v>650102</v>
      </c>
      <c r="B44" s="53" t="s">
        <v>443</v>
      </c>
      <c r="C44" s="158"/>
      <c r="D44" s="157"/>
      <c r="E44" s="157"/>
      <c r="F44" s="157"/>
    </row>
    <row r="45" spans="1:7" ht="14.1" customHeight="1">
      <c r="A45" s="53">
        <v>6502</v>
      </c>
      <c r="B45" s="53" t="s">
        <v>444</v>
      </c>
      <c r="C45" s="158"/>
      <c r="D45" s="157"/>
      <c r="E45" s="157"/>
      <c r="F45" s="157"/>
    </row>
    <row r="46" spans="1:7" ht="14.1" customHeight="1">
      <c r="A46" s="53">
        <v>650201</v>
      </c>
      <c r="B46" s="53" t="s">
        <v>445</v>
      </c>
      <c r="C46" s="158"/>
      <c r="D46" s="158"/>
      <c r="E46" s="158"/>
      <c r="F46" s="158"/>
    </row>
    <row r="47" spans="1:7">
      <c r="A47" s="53">
        <v>650202</v>
      </c>
      <c r="B47" s="53" t="s">
        <v>446</v>
      </c>
      <c r="C47" s="158"/>
      <c r="D47" s="158"/>
      <c r="E47" s="158"/>
      <c r="F47" s="158"/>
    </row>
    <row r="48" spans="1:7">
      <c r="A48" s="53">
        <v>6600</v>
      </c>
      <c r="B48" s="53" t="s">
        <v>447</v>
      </c>
      <c r="C48" s="162"/>
      <c r="D48" s="157"/>
      <c r="E48" s="157"/>
      <c r="F48" s="157"/>
    </row>
    <row r="49" spans="1:6">
      <c r="A49" s="53">
        <v>6601</v>
      </c>
      <c r="B49" s="53" t="s">
        <v>448</v>
      </c>
      <c r="C49" s="162"/>
      <c r="D49" s="157"/>
      <c r="E49" s="157"/>
      <c r="F49" s="157"/>
    </row>
    <row r="50" spans="1:6">
      <c r="A50" s="53">
        <v>660101</v>
      </c>
      <c r="B50" s="53" t="s">
        <v>449</v>
      </c>
      <c r="C50" s="162"/>
      <c r="D50" s="157"/>
      <c r="E50" s="157"/>
      <c r="F50" s="157"/>
    </row>
    <row r="51" spans="1:6">
      <c r="A51" s="53">
        <v>66010101</v>
      </c>
      <c r="B51" s="53" t="s">
        <v>450</v>
      </c>
      <c r="C51" s="162"/>
      <c r="D51" s="157"/>
      <c r="E51" s="157"/>
      <c r="F51" s="157"/>
    </row>
    <row r="52" spans="1:6">
      <c r="A52" s="53">
        <v>66010102</v>
      </c>
      <c r="B52" s="53" t="s">
        <v>451</v>
      </c>
      <c r="C52" s="162"/>
      <c r="D52" s="157"/>
      <c r="E52" s="157"/>
      <c r="F52" s="157"/>
    </row>
    <row r="53" spans="1:6">
      <c r="A53" s="53">
        <v>66010103</v>
      </c>
      <c r="B53" s="53" t="s">
        <v>452</v>
      </c>
      <c r="C53" s="162"/>
      <c r="D53" s="157"/>
      <c r="E53" s="157"/>
      <c r="F53" s="157"/>
    </row>
    <row r="54" spans="1:6">
      <c r="A54" s="53">
        <v>66010104</v>
      </c>
      <c r="B54" s="53" t="s">
        <v>453</v>
      </c>
      <c r="C54" s="162"/>
      <c r="D54" s="157"/>
      <c r="E54" s="157"/>
      <c r="F54" s="157"/>
    </row>
    <row r="55" spans="1:6">
      <c r="A55" s="53">
        <v>66010105</v>
      </c>
      <c r="B55" s="53" t="s">
        <v>454</v>
      </c>
      <c r="C55" s="162"/>
      <c r="D55" s="157"/>
      <c r="E55" s="157"/>
      <c r="F55" s="157"/>
    </row>
    <row r="56" spans="1:6">
      <c r="A56" s="53">
        <v>660102</v>
      </c>
      <c r="B56" s="53" t="s">
        <v>455</v>
      </c>
      <c r="C56" s="162"/>
      <c r="D56" s="157"/>
      <c r="E56" s="157"/>
      <c r="F56" s="157"/>
    </row>
    <row r="57" spans="1:6">
      <c r="A57" s="53">
        <v>66010201</v>
      </c>
      <c r="B57" s="53" t="s">
        <v>456</v>
      </c>
      <c r="C57" s="162"/>
      <c r="D57" s="157"/>
      <c r="E57" s="157"/>
      <c r="F57" s="157"/>
    </row>
    <row r="58" spans="1:6">
      <c r="A58" s="53">
        <v>66010202</v>
      </c>
      <c r="B58" s="53" t="s">
        <v>457</v>
      </c>
      <c r="C58" s="162"/>
      <c r="D58" s="157"/>
      <c r="E58" s="157"/>
      <c r="F58" s="157"/>
    </row>
    <row r="59" spans="1:6">
      <c r="A59" s="53">
        <v>66010203</v>
      </c>
      <c r="B59" s="53" t="s">
        <v>458</v>
      </c>
      <c r="C59" s="162"/>
      <c r="D59" s="157"/>
      <c r="E59" s="157"/>
      <c r="F59" s="157"/>
    </row>
    <row r="60" spans="1:6">
      <c r="A60" s="53">
        <v>66010204</v>
      </c>
      <c r="B60" s="53" t="s">
        <v>459</v>
      </c>
      <c r="C60" s="162"/>
      <c r="D60" s="157"/>
      <c r="E60" s="157"/>
      <c r="F60" s="157"/>
    </row>
    <row r="61" spans="1:6">
      <c r="A61" s="53">
        <v>66010205</v>
      </c>
      <c r="B61" s="53" t="s">
        <v>460</v>
      </c>
      <c r="C61" s="162"/>
      <c r="D61" s="157"/>
      <c r="E61" s="157"/>
      <c r="F61" s="157"/>
    </row>
    <row r="62" spans="1:6">
      <c r="A62" s="53">
        <v>66010206</v>
      </c>
      <c r="B62" s="53" t="s">
        <v>461</v>
      </c>
      <c r="C62" s="162"/>
      <c r="D62" s="157"/>
      <c r="E62" s="157"/>
      <c r="F62" s="157"/>
    </row>
    <row r="63" spans="1:6">
      <c r="A63" s="53">
        <v>66010207</v>
      </c>
      <c r="B63" s="53" t="s">
        <v>462</v>
      </c>
      <c r="C63" s="162"/>
      <c r="D63" s="157"/>
      <c r="E63" s="157"/>
      <c r="F63" s="157"/>
    </row>
    <row r="64" spans="1:6">
      <c r="A64" s="53">
        <v>6602</v>
      </c>
      <c r="B64" s="53" t="s">
        <v>463</v>
      </c>
      <c r="C64" s="162"/>
      <c r="D64" s="157"/>
      <c r="E64" s="157"/>
      <c r="F64" s="157"/>
    </row>
    <row r="65" spans="1:6">
      <c r="A65" s="53">
        <v>6700</v>
      </c>
      <c r="B65" s="53" t="s">
        <v>464</v>
      </c>
      <c r="C65" s="141">
        <f t="shared" ref="C65:F65" si="3">C41+C48</f>
        <v>0</v>
      </c>
      <c r="D65" s="142">
        <f t="shared" si="3"/>
        <v>0</v>
      </c>
      <c r="E65" s="142">
        <f t="shared" si="3"/>
        <v>0</v>
      </c>
      <c r="F65" s="142">
        <f t="shared" si="3"/>
        <v>0</v>
      </c>
    </row>
    <row r="66" spans="1:6">
      <c r="A66" s="53">
        <v>6701</v>
      </c>
      <c r="B66" s="53" t="s">
        <v>465</v>
      </c>
      <c r="C66" s="161">
        <f>C65</f>
        <v>0</v>
      </c>
      <c r="D66" s="163">
        <f>D65</f>
        <v>0</v>
      </c>
      <c r="E66" s="163">
        <f>E65</f>
        <v>0</v>
      </c>
      <c r="F66" s="163">
        <f>F65</f>
        <v>0</v>
      </c>
    </row>
    <row r="67" spans="1:6">
      <c r="A67" s="53">
        <v>6702</v>
      </c>
      <c r="B67" s="53" t="s">
        <v>466</v>
      </c>
      <c r="C67" s="163">
        <v>0</v>
      </c>
      <c r="D67" s="163"/>
      <c r="E67" s="163"/>
      <c r="F67" s="163"/>
    </row>
    <row r="68" spans="1:6">
      <c r="A68" s="53">
        <v>6800</v>
      </c>
      <c r="B68" s="53" t="s">
        <v>467</v>
      </c>
      <c r="C68" s="162"/>
      <c r="D68" s="157"/>
      <c r="E68" s="157"/>
      <c r="F68" s="157"/>
    </row>
    <row r="69" spans="1:6">
      <c r="A69" s="53">
        <v>6801</v>
      </c>
      <c r="B69" s="53" t="s">
        <v>468</v>
      </c>
      <c r="C69" s="162"/>
      <c r="D69" s="157"/>
      <c r="E69" s="157"/>
      <c r="F69" s="157"/>
    </row>
    <row r="70" spans="1:6">
      <c r="A70" s="53">
        <v>6802</v>
      </c>
      <c r="B70" s="53" t="s">
        <v>469</v>
      </c>
      <c r="C70" s="162"/>
      <c r="D70" s="157"/>
      <c r="E70" s="157"/>
      <c r="F70" s="157"/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49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F57"/>
  <sheetViews>
    <sheetView topLeftCell="A41" zoomScale="106" zoomScaleNormal="145" workbookViewId="0">
      <selection activeCell="C56" sqref="C56:F56"/>
    </sheetView>
  </sheetViews>
  <sheetFormatPr defaultColWidth="9" defaultRowHeight="12.7"/>
  <cols>
    <col min="1" max="1" width="8.5859375" style="131" customWidth="1"/>
    <col min="2" max="2" width="43.5859375" customWidth="1"/>
    <col min="3" max="3" width="17.87890625"/>
    <col min="4" max="4" width="16.1171875" customWidth="1"/>
    <col min="5" max="5" width="18.5859375" customWidth="1"/>
    <col min="6" max="6" width="16.29296875" style="132" customWidth="1"/>
  </cols>
  <sheetData>
    <row r="1" spans="1:6" ht="22.2" customHeight="1">
      <c r="A1" s="133" t="s">
        <v>290</v>
      </c>
      <c r="B1" s="134" t="s">
        <v>291</v>
      </c>
      <c r="C1" s="135">
        <v>45657</v>
      </c>
      <c r="D1" s="135">
        <v>45291</v>
      </c>
      <c r="E1" s="136">
        <v>44926</v>
      </c>
      <c r="F1" s="136">
        <v>44561</v>
      </c>
    </row>
    <row r="2" spans="1:6" ht="14.1" customHeight="1">
      <c r="A2" s="40">
        <v>7101</v>
      </c>
      <c r="B2" s="53" t="s">
        <v>470</v>
      </c>
      <c r="C2" s="162"/>
      <c r="D2" s="162"/>
      <c r="E2" s="162"/>
      <c r="F2" s="162"/>
    </row>
    <row r="3" spans="1:6" ht="14.1" customHeight="1">
      <c r="A3" s="40">
        <v>710101</v>
      </c>
      <c r="B3" s="53" t="s">
        <v>471</v>
      </c>
      <c r="C3" s="164"/>
      <c r="D3" s="164"/>
      <c r="E3" s="164"/>
      <c r="F3" s="164"/>
    </row>
    <row r="4" spans="1:6" ht="14.1" customHeight="1">
      <c r="A4" s="40">
        <v>710102</v>
      </c>
      <c r="B4" s="53" t="s">
        <v>472</v>
      </c>
      <c r="C4" s="165"/>
      <c r="D4" s="165"/>
      <c r="E4" s="165"/>
      <c r="F4" s="165"/>
    </row>
    <row r="5" spans="1:6" ht="14.1" customHeight="1">
      <c r="A5" s="40">
        <v>710103</v>
      </c>
      <c r="B5" s="53" t="s">
        <v>473</v>
      </c>
      <c r="C5" s="162"/>
      <c r="D5" s="162"/>
      <c r="E5" s="162"/>
      <c r="F5" s="162"/>
    </row>
    <row r="6" spans="1:6" ht="14.1" customHeight="1">
      <c r="A6" s="40">
        <v>710104</v>
      </c>
      <c r="B6" s="53" t="s">
        <v>474</v>
      </c>
      <c r="C6" s="162"/>
      <c r="D6" s="162"/>
      <c r="E6" s="162"/>
      <c r="F6" s="162"/>
    </row>
    <row r="7" spans="1:6" ht="14.1" customHeight="1">
      <c r="A7" s="40">
        <v>710105</v>
      </c>
      <c r="B7" s="53" t="s">
        <v>475</v>
      </c>
      <c r="C7" s="162"/>
      <c r="D7" s="162"/>
      <c r="E7" s="162"/>
      <c r="F7" s="162"/>
    </row>
    <row r="8" spans="1:6" ht="14.1" customHeight="1">
      <c r="A8" s="40">
        <v>710106</v>
      </c>
      <c r="B8" s="53" t="s">
        <v>476</v>
      </c>
      <c r="C8" s="162"/>
      <c r="D8" s="162"/>
      <c r="E8" s="162"/>
      <c r="F8" s="162"/>
    </row>
    <row r="9" spans="1:6" ht="14.1" customHeight="1">
      <c r="A9" s="40">
        <v>710107</v>
      </c>
      <c r="B9" s="53" t="s">
        <v>477</v>
      </c>
      <c r="C9" s="162"/>
      <c r="D9" s="162"/>
      <c r="E9" s="162"/>
      <c r="F9" s="162"/>
    </row>
    <row r="10" spans="1:6" ht="14.1" customHeight="1">
      <c r="A10" s="40">
        <v>710108</v>
      </c>
      <c r="B10" s="53" t="s">
        <v>478</v>
      </c>
      <c r="C10" s="162"/>
      <c r="D10" s="162"/>
      <c r="E10" s="162"/>
      <c r="F10" s="162"/>
    </row>
    <row r="11" spans="1:6" ht="14.1" customHeight="1">
      <c r="A11" s="40">
        <v>710109</v>
      </c>
      <c r="B11" s="53" t="s">
        <v>479</v>
      </c>
      <c r="C11" s="162"/>
      <c r="D11" s="162"/>
      <c r="E11" s="162"/>
      <c r="F11" s="162"/>
    </row>
    <row r="12" spans="1:6" ht="14.1" customHeight="1">
      <c r="A12" s="40">
        <v>710110</v>
      </c>
      <c r="B12" s="53" t="s">
        <v>480</v>
      </c>
      <c r="C12" s="162"/>
      <c r="D12" s="162"/>
      <c r="E12" s="162"/>
      <c r="F12" s="162"/>
    </row>
    <row r="13" spans="1:6" ht="14.1" customHeight="1">
      <c r="A13" s="40">
        <v>710111</v>
      </c>
      <c r="B13" s="53" t="s">
        <v>481</v>
      </c>
      <c r="C13" s="165"/>
      <c r="D13" s="165"/>
      <c r="E13" s="165"/>
      <c r="F13" s="165"/>
    </row>
    <row r="14" spans="1:6" ht="14.1" customHeight="1">
      <c r="A14" s="40">
        <v>710112</v>
      </c>
      <c r="B14" s="53" t="s">
        <v>482</v>
      </c>
      <c r="C14" s="159"/>
      <c r="D14" s="159"/>
      <c r="E14" s="159"/>
      <c r="F14" s="159"/>
    </row>
    <row r="15" spans="1:6" ht="14.1" customHeight="1">
      <c r="A15" s="40">
        <v>710113</v>
      </c>
      <c r="B15" s="53" t="s">
        <v>483</v>
      </c>
      <c r="C15" s="157"/>
      <c r="D15" s="157"/>
      <c r="E15" s="157"/>
      <c r="F15" s="157"/>
    </row>
    <row r="16" spans="1:6" ht="12.95" customHeight="1">
      <c r="A16" s="40">
        <v>710149</v>
      </c>
      <c r="B16" s="53" t="s">
        <v>484</v>
      </c>
      <c r="C16" s="138">
        <f>C3+C5+C4+C6+C7+C8+C9+C10+C11+C12+C13+C14+C15</f>
        <v>0</v>
      </c>
      <c r="D16" s="138">
        <f>D3+D5+D4+D6+D7+D8+D9+D10+D11+D12+D13+D14+D15</f>
        <v>0</v>
      </c>
      <c r="E16" s="138">
        <f>E3+E5+E4+E6+E7+E8+E9+E10+E11+E12+E13+E14+E15</f>
        <v>0</v>
      </c>
      <c r="F16" s="138">
        <f>F3+F5+F4+F6+F7+F8+F9+F10+F11+F12+F13+F14+F15</f>
        <v>0</v>
      </c>
    </row>
    <row r="17" spans="1:6" ht="14.1" customHeight="1">
      <c r="A17" s="40">
        <v>710151</v>
      </c>
      <c r="B17" s="40" t="s">
        <v>485</v>
      </c>
      <c r="C17" s="157"/>
      <c r="D17" s="157"/>
      <c r="E17" s="157"/>
      <c r="F17" s="157"/>
    </row>
    <row r="18" spans="1:6" ht="14.1" customHeight="1">
      <c r="A18" s="40">
        <v>710152</v>
      </c>
      <c r="B18" s="53" t="s">
        <v>486</v>
      </c>
      <c r="C18" s="157"/>
      <c r="D18" s="157"/>
      <c r="E18" s="157"/>
      <c r="F18" s="157"/>
    </row>
    <row r="19" spans="1:6" ht="14.1" customHeight="1">
      <c r="A19" s="40">
        <v>710153</v>
      </c>
      <c r="B19" s="53" t="s">
        <v>487</v>
      </c>
      <c r="C19" s="157"/>
      <c r="D19" s="157"/>
      <c r="E19" s="157"/>
      <c r="F19" s="157"/>
    </row>
    <row r="20" spans="1:6" ht="14.1" customHeight="1">
      <c r="A20" s="40">
        <v>710154</v>
      </c>
      <c r="B20" s="53" t="s">
        <v>488</v>
      </c>
      <c r="C20" s="157"/>
      <c r="D20" s="157"/>
      <c r="E20" s="157"/>
      <c r="F20" s="157"/>
    </row>
    <row r="21" spans="1:6" ht="14.1" customHeight="1">
      <c r="A21" s="40">
        <v>710155</v>
      </c>
      <c r="B21" s="53" t="s">
        <v>489</v>
      </c>
      <c r="C21" s="157"/>
      <c r="D21" s="157"/>
      <c r="E21" s="157"/>
      <c r="F21" s="157"/>
    </row>
    <row r="22" spans="1:6" ht="14.1" customHeight="1">
      <c r="A22" s="40">
        <v>710156</v>
      </c>
      <c r="B22" s="53" t="s">
        <v>490</v>
      </c>
      <c r="C22" s="157"/>
      <c r="D22" s="157"/>
      <c r="E22" s="157"/>
      <c r="F22" s="157"/>
    </row>
    <row r="23" spans="1:6" ht="14.1" customHeight="1">
      <c r="A23" s="40">
        <v>710157</v>
      </c>
      <c r="B23" s="53" t="s">
        <v>491</v>
      </c>
      <c r="C23" s="157"/>
      <c r="D23" s="157"/>
      <c r="E23" s="157"/>
      <c r="F23" s="157"/>
    </row>
    <row r="24" spans="1:6" ht="14.1" customHeight="1">
      <c r="A24" s="40">
        <v>710158</v>
      </c>
      <c r="B24" s="53" t="s">
        <v>492</v>
      </c>
      <c r="C24" s="157"/>
      <c r="D24" s="157"/>
      <c r="E24" s="166"/>
      <c r="F24" s="157"/>
    </row>
    <row r="25" spans="1:6" ht="14.1" customHeight="1">
      <c r="A25" s="40">
        <v>710159</v>
      </c>
      <c r="B25" s="53" t="s">
        <v>493</v>
      </c>
      <c r="C25" s="157"/>
      <c r="D25" s="157"/>
      <c r="E25" s="157"/>
      <c r="F25" s="157"/>
    </row>
    <row r="26" spans="1:6" ht="14.1" customHeight="1">
      <c r="A26" s="40">
        <v>710160</v>
      </c>
      <c r="B26" s="53" t="s">
        <v>494</v>
      </c>
      <c r="C26" s="157"/>
      <c r="D26" s="157"/>
      <c r="E26" s="157"/>
      <c r="F26" s="157"/>
    </row>
    <row r="27" spans="1:6" ht="14.1" customHeight="1">
      <c r="A27" s="40">
        <v>710189</v>
      </c>
      <c r="B27" s="53" t="s">
        <v>495</v>
      </c>
      <c r="C27" s="138">
        <f>SUM(C17:C26)</f>
        <v>0</v>
      </c>
      <c r="D27" s="138">
        <f>SUM(D17:D26)</f>
        <v>0</v>
      </c>
      <c r="E27" s="138">
        <f>SUM(E17:E26)</f>
        <v>0</v>
      </c>
      <c r="F27" s="139">
        <f>SUM(F17:F26)</f>
        <v>0</v>
      </c>
    </row>
    <row r="28" spans="1:6" ht="14.1" customHeight="1">
      <c r="A28" s="40">
        <v>710199</v>
      </c>
      <c r="B28" s="53" t="s">
        <v>496</v>
      </c>
      <c r="C28" s="138">
        <f>C16-C27</f>
        <v>0</v>
      </c>
      <c r="D28" s="138">
        <f>D16-D27</f>
        <v>0</v>
      </c>
      <c r="E28" s="138">
        <f>E16-E27</f>
        <v>0</v>
      </c>
      <c r="F28" s="139">
        <f>F16-F27</f>
        <v>0</v>
      </c>
    </row>
    <row r="29" spans="1:6" ht="14.1" customHeight="1">
      <c r="A29" s="40">
        <v>7201</v>
      </c>
      <c r="B29" s="53" t="s">
        <v>497</v>
      </c>
      <c r="C29" s="162"/>
      <c r="D29" s="162"/>
      <c r="E29" s="162"/>
      <c r="F29" s="162"/>
    </row>
    <row r="30" spans="1:6" ht="14.1" customHeight="1">
      <c r="A30" s="40">
        <v>720101</v>
      </c>
      <c r="B30" s="53" t="s">
        <v>498</v>
      </c>
      <c r="C30" s="157"/>
      <c r="D30" s="157"/>
      <c r="E30" s="157"/>
      <c r="F30" s="157"/>
    </row>
    <row r="31" spans="1:6" ht="14.1" customHeight="1">
      <c r="A31" s="40">
        <v>720102</v>
      </c>
      <c r="B31" s="53" t="s">
        <v>499</v>
      </c>
      <c r="C31" s="157"/>
      <c r="D31" s="157"/>
      <c r="E31" s="157"/>
      <c r="F31" s="157"/>
    </row>
    <row r="32" spans="1:6" ht="14.1" customHeight="1">
      <c r="A32" s="40">
        <v>720103</v>
      </c>
      <c r="B32" s="53" t="s">
        <v>500</v>
      </c>
      <c r="C32" s="157"/>
      <c r="D32" s="157"/>
      <c r="E32" s="157"/>
      <c r="F32" s="157"/>
    </row>
    <row r="33" spans="1:6" ht="14.1" customHeight="1">
      <c r="A33" s="40">
        <v>720104</v>
      </c>
      <c r="B33" s="53" t="s">
        <v>501</v>
      </c>
      <c r="C33" s="157"/>
      <c r="D33" s="157"/>
      <c r="E33" s="157"/>
      <c r="F33" s="157"/>
    </row>
    <row r="34" spans="1:6" ht="14.1" customHeight="1">
      <c r="A34" s="40">
        <v>720105</v>
      </c>
      <c r="B34" s="53" t="s">
        <v>502</v>
      </c>
      <c r="C34" s="157"/>
      <c r="D34" s="157"/>
      <c r="E34" s="157"/>
      <c r="F34" s="157"/>
    </row>
    <row r="35" spans="1:6" ht="14.1" customHeight="1">
      <c r="A35" s="40">
        <v>720149</v>
      </c>
      <c r="B35" s="53" t="s">
        <v>503</v>
      </c>
      <c r="C35" s="138">
        <f>SUM(C30:C34)</f>
        <v>0</v>
      </c>
      <c r="D35" s="138">
        <f>SUM(D30:D34)</f>
        <v>0</v>
      </c>
      <c r="E35" s="138">
        <f>SUM(E30:E34)</f>
        <v>0</v>
      </c>
      <c r="F35" s="138">
        <f>SUM(F30:F34)</f>
        <v>0</v>
      </c>
    </row>
    <row r="36" spans="1:6" ht="14.1" customHeight="1">
      <c r="A36" s="40">
        <v>720151</v>
      </c>
      <c r="B36" s="140" t="s">
        <v>504</v>
      </c>
      <c r="C36" s="157"/>
      <c r="D36" s="157"/>
      <c r="E36" s="157"/>
      <c r="F36" s="157"/>
    </row>
    <row r="37" spans="1:6" ht="14.1" customHeight="1">
      <c r="A37" s="40">
        <v>720152</v>
      </c>
      <c r="B37" s="53" t="s">
        <v>505</v>
      </c>
      <c r="C37" s="157"/>
      <c r="D37" s="157"/>
      <c r="E37" s="157"/>
      <c r="F37" s="157"/>
    </row>
    <row r="38" spans="1:6" ht="14.1" customHeight="1">
      <c r="A38" s="40">
        <v>720153</v>
      </c>
      <c r="B38" s="53" t="s">
        <v>506</v>
      </c>
      <c r="C38" s="157"/>
      <c r="D38" s="157"/>
      <c r="E38" s="157"/>
      <c r="F38" s="157"/>
    </row>
    <row r="39" spans="1:6" ht="14.1" customHeight="1">
      <c r="A39" s="40">
        <v>720154</v>
      </c>
      <c r="B39" s="53" t="s">
        <v>507</v>
      </c>
      <c r="C39" s="157"/>
      <c r="D39" s="157"/>
      <c r="E39" s="157"/>
      <c r="F39" s="157"/>
    </row>
    <row r="40" spans="1:6" ht="13">
      <c r="A40" s="131">
        <v>720155</v>
      </c>
      <c r="B40" s="19" t="s">
        <v>508</v>
      </c>
      <c r="C40" s="157"/>
      <c r="D40" s="157"/>
      <c r="E40" s="157"/>
      <c r="F40" s="157"/>
    </row>
    <row r="41" spans="1:6" ht="13">
      <c r="A41" s="131">
        <v>720189</v>
      </c>
      <c r="B41" s="19" t="s">
        <v>509</v>
      </c>
      <c r="C41" s="138">
        <f>SUM(C36:C40)</f>
        <v>0</v>
      </c>
      <c r="D41" s="138">
        <f>SUM(D36:D40)</f>
        <v>0</v>
      </c>
      <c r="E41" s="138">
        <f>SUM(E36:E40)</f>
        <v>0</v>
      </c>
      <c r="F41" s="139">
        <f>SUM(F36:F40)</f>
        <v>0</v>
      </c>
    </row>
    <row r="42" spans="1:6" ht="13">
      <c r="A42" s="131">
        <v>720199</v>
      </c>
      <c r="B42" s="19" t="s">
        <v>510</v>
      </c>
      <c r="C42" s="138">
        <f>C35-C41</f>
        <v>0</v>
      </c>
      <c r="D42" s="138">
        <f>D35-D41</f>
        <v>0</v>
      </c>
      <c r="E42" s="138">
        <f>E35-E41</f>
        <v>0</v>
      </c>
      <c r="F42" s="139">
        <f>F35-F41</f>
        <v>0</v>
      </c>
    </row>
    <row r="43" spans="1:6" ht="13">
      <c r="A43" s="131">
        <v>7301</v>
      </c>
      <c r="B43" s="19" t="s">
        <v>511</v>
      </c>
      <c r="C43" s="162"/>
      <c r="D43" s="162"/>
      <c r="E43" s="162"/>
      <c r="F43" s="162"/>
    </row>
    <row r="44" spans="1:6" ht="13">
      <c r="A44" s="131">
        <v>730101</v>
      </c>
      <c r="B44" s="19" t="s">
        <v>512</v>
      </c>
      <c r="C44" s="157"/>
      <c r="D44" s="157"/>
      <c r="E44" s="157"/>
      <c r="F44" s="157"/>
    </row>
    <row r="45" spans="1:6" ht="13">
      <c r="A45" s="131">
        <v>730102</v>
      </c>
      <c r="B45" s="19" t="s">
        <v>513</v>
      </c>
      <c r="C45" s="157"/>
      <c r="D45" s="157"/>
      <c r="E45" s="157"/>
      <c r="F45" s="157"/>
    </row>
    <row r="46" spans="1:6" ht="13">
      <c r="A46" s="131">
        <v>730103</v>
      </c>
      <c r="B46" s="19" t="s">
        <v>514</v>
      </c>
      <c r="C46" s="157"/>
      <c r="D46" s="157"/>
      <c r="E46" s="157"/>
      <c r="F46" s="157"/>
    </row>
    <row r="47" spans="1:6" ht="13">
      <c r="A47" s="131">
        <v>730104</v>
      </c>
      <c r="B47" s="19" t="s">
        <v>515</v>
      </c>
      <c r="C47" s="157"/>
      <c r="D47" s="157"/>
      <c r="E47" s="157"/>
      <c r="F47" s="157"/>
    </row>
    <row r="48" spans="1:6" ht="13">
      <c r="A48" s="131">
        <v>730149</v>
      </c>
      <c r="B48" s="19" t="s">
        <v>516</v>
      </c>
      <c r="C48" s="138">
        <f>SUM(C44:C47)</f>
        <v>0</v>
      </c>
      <c r="D48" s="138">
        <f>SUM(D44:D47)</f>
        <v>0</v>
      </c>
      <c r="E48" s="138">
        <f>SUM(E44:E47)</f>
        <v>0</v>
      </c>
      <c r="F48" s="139">
        <f>SUM(F44:F47)</f>
        <v>0</v>
      </c>
    </row>
    <row r="49" spans="1:6" ht="13">
      <c r="A49" s="131">
        <v>730151</v>
      </c>
      <c r="B49" s="19" t="s">
        <v>517</v>
      </c>
      <c r="C49" s="157"/>
      <c r="D49" s="157"/>
      <c r="E49" s="157"/>
      <c r="F49" s="157"/>
    </row>
    <row r="50" spans="1:6" ht="13">
      <c r="A50" s="131">
        <v>730152</v>
      </c>
      <c r="B50" s="19" t="s">
        <v>518</v>
      </c>
      <c r="C50" s="157"/>
      <c r="D50" s="157"/>
      <c r="E50" s="157"/>
      <c r="F50" s="157"/>
    </row>
    <row r="51" spans="1:6" ht="13">
      <c r="A51" s="131">
        <v>730153</v>
      </c>
      <c r="B51" s="19" t="s">
        <v>519</v>
      </c>
      <c r="C51" s="157"/>
      <c r="D51" s="157"/>
      <c r="E51" s="157"/>
      <c r="F51" s="157"/>
    </row>
    <row r="52" spans="1:6" ht="13">
      <c r="A52" s="131">
        <v>730189</v>
      </c>
      <c r="B52" s="19" t="s">
        <v>520</v>
      </c>
      <c r="C52" s="138">
        <f>SUM(C49:C51)</f>
        <v>0</v>
      </c>
      <c r="D52" s="138">
        <f>SUM(D49:D51)</f>
        <v>0</v>
      </c>
      <c r="E52" s="138">
        <f>SUM(E49:E51)</f>
        <v>0</v>
      </c>
      <c r="F52" s="139">
        <f>SUM(F49:F51)</f>
        <v>0</v>
      </c>
    </row>
    <row r="53" spans="1:6" ht="13">
      <c r="A53" s="131">
        <v>730199</v>
      </c>
      <c r="B53" s="19" t="s">
        <v>521</v>
      </c>
      <c r="C53" s="138">
        <f>C48-C52</f>
        <v>0</v>
      </c>
      <c r="D53" s="138">
        <f>D48-D52</f>
        <v>0</v>
      </c>
      <c r="E53" s="138">
        <f>E48-E52</f>
        <v>0</v>
      </c>
      <c r="F53" s="139">
        <f>F48-F52</f>
        <v>0</v>
      </c>
    </row>
    <row r="54" spans="1:6" ht="13">
      <c r="A54" s="131">
        <v>7401</v>
      </c>
      <c r="B54" s="19" t="s">
        <v>522</v>
      </c>
      <c r="C54" s="157"/>
      <c r="D54" s="157"/>
      <c r="E54" s="166"/>
      <c r="F54" s="163"/>
    </row>
    <row r="55" spans="1:6" ht="13">
      <c r="A55" s="131">
        <v>7501</v>
      </c>
      <c r="B55" s="19" t="s">
        <v>523</v>
      </c>
      <c r="C55" s="138">
        <f>C28+C42+C53+C54</f>
        <v>0</v>
      </c>
      <c r="D55" s="138">
        <f t="shared" ref="D55:F55" si="0">D28+D42+D53+D54</f>
        <v>0</v>
      </c>
      <c r="E55" s="138">
        <f t="shared" si="0"/>
        <v>0</v>
      </c>
      <c r="F55" s="138">
        <f t="shared" si="0"/>
        <v>0</v>
      </c>
    </row>
    <row r="56" spans="1:6" ht="13">
      <c r="A56" s="131">
        <v>750101</v>
      </c>
      <c r="B56" s="19" t="s">
        <v>524</v>
      </c>
      <c r="C56" s="157"/>
      <c r="D56" s="157"/>
      <c r="E56" s="157"/>
      <c r="F56" s="157"/>
    </row>
    <row r="57" spans="1:6" ht="13">
      <c r="A57" s="131">
        <v>7601</v>
      </c>
      <c r="B57" s="19" t="s">
        <v>525</v>
      </c>
      <c r="C57" s="138">
        <f>C55+C56</f>
        <v>0</v>
      </c>
      <c r="D57" s="138">
        <f>D55+D56</f>
        <v>0</v>
      </c>
      <c r="E57" s="138">
        <f>E55+E56</f>
        <v>0</v>
      </c>
      <c r="F57" s="139">
        <f>F55+F56</f>
        <v>0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9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O173"/>
  <sheetViews>
    <sheetView topLeftCell="A13" zoomScale="85" zoomScaleNormal="85" workbookViewId="0">
      <selection activeCell="B145" sqref="B145"/>
    </sheetView>
  </sheetViews>
  <sheetFormatPr defaultColWidth="9.1171875" defaultRowHeight="12.7"/>
  <cols>
    <col min="1" max="1" width="32.41015625" bestFit="1" customWidth="1"/>
    <col min="2" max="2" width="17.41015625" bestFit="1" customWidth="1"/>
    <col min="3" max="3" width="18.703125" bestFit="1" customWidth="1"/>
    <col min="4" max="5" width="17.41015625" bestFit="1" customWidth="1"/>
    <col min="6" max="6" width="5.41015625" customWidth="1"/>
    <col min="7" max="7" width="9.703125" customWidth="1"/>
    <col min="8" max="8" width="24.5859375" customWidth="1"/>
    <col min="9" max="9" width="16.29296875" customWidth="1"/>
    <col min="10" max="10" width="11.87890625" customWidth="1"/>
    <col min="12" max="12" width="9" customWidth="1"/>
    <col min="13" max="15" width="10" customWidth="1"/>
  </cols>
  <sheetData>
    <row r="1" spans="1:15" ht="15.75" customHeight="1">
      <c r="A1" s="172" t="s">
        <v>526</v>
      </c>
      <c r="B1" s="172"/>
      <c r="C1" s="172"/>
      <c r="D1" s="172"/>
      <c r="E1" s="172"/>
    </row>
    <row r="2" spans="1:15" ht="15.75" customHeight="1">
      <c r="A2" s="173" t="s">
        <v>533</v>
      </c>
      <c r="B2" s="173"/>
      <c r="C2" s="173"/>
      <c r="D2" s="173"/>
      <c r="E2" s="173"/>
    </row>
    <row r="3" spans="1:15" ht="15.75" customHeight="1">
      <c r="A3" s="176" t="s">
        <v>527</v>
      </c>
      <c r="B3" s="113">
        <v>45657</v>
      </c>
      <c r="C3" s="113">
        <f>DATE(YEAR(B3)-1,12,31)</f>
        <v>45291</v>
      </c>
      <c r="D3" s="113">
        <f>DATE(YEAR(C3)-1,MONTH(C3),DAY(C3))</f>
        <v>44926</v>
      </c>
      <c r="E3" s="113">
        <f>DATE(YEAR(C3)-2,MONTH(C3),DAY(C3))</f>
        <v>44561</v>
      </c>
      <c r="L3" s="120">
        <f>B3</f>
        <v>45657</v>
      </c>
      <c r="M3" s="120">
        <f>C3</f>
        <v>45291</v>
      </c>
      <c r="N3" s="120">
        <f t="shared" ref="N3:O3" si="0">D3</f>
        <v>44926</v>
      </c>
      <c r="O3" s="120">
        <f t="shared" si="0"/>
        <v>44561</v>
      </c>
    </row>
    <row r="4" spans="1:15" ht="15.35">
      <c r="A4" s="176"/>
      <c r="B4" s="114" t="s">
        <v>528</v>
      </c>
      <c r="C4" s="114" t="s">
        <v>528</v>
      </c>
      <c r="D4" s="114" t="s">
        <v>528</v>
      </c>
      <c r="E4" s="114" t="s">
        <v>528</v>
      </c>
    </row>
    <row r="5" spans="1:15" ht="15.75" customHeight="1">
      <c r="A5" s="174" t="s">
        <v>529</v>
      </c>
      <c r="B5" s="174"/>
      <c r="C5" s="174"/>
      <c r="D5" s="174"/>
      <c r="E5" s="174"/>
      <c r="H5" s="19" t="s">
        <v>530</v>
      </c>
      <c r="L5" s="95" t="s">
        <v>531</v>
      </c>
      <c r="M5" s="95" t="s">
        <v>531</v>
      </c>
      <c r="N5" s="95" t="s">
        <v>531</v>
      </c>
      <c r="O5" s="95" t="s">
        <v>531</v>
      </c>
    </row>
    <row r="6" spans="1:15" ht="15.35">
      <c r="A6" s="116" t="s">
        <v>532</v>
      </c>
      <c r="B6" s="117">
        <f>ROUND(HLOOKUP($B$3,bs!$C$1:$AA$110,MATCH("*"&amp;A6&amp;"*",bs!$B$1:$B$110,),FALSE),0)/IF(ISNUMBER(SEARCH("亿", $A$2)), 100000000,
IF(ISNUMBER(SEARCH("万", $A$2)), 10000, 1))</f>
        <v>0</v>
      </c>
      <c r="C6" s="117">
        <f>ROUND(HLOOKUP($C$3,bs!$C$1:$AA$110,MATCH("*"&amp;A6&amp;"*",bs!$B$1:$B$110,),FALSE),0)/IF(ISNUMBER(SEARCH("亿", $A$2)), 100000000,
IF(ISNUMBER(SEARCH("万", $A$2)), 10000, 1))</f>
        <v>0</v>
      </c>
      <c r="D6" s="117">
        <f>ROUND(HLOOKUP($D$3,bs!$C$1:$AA$110,MATCH("*"&amp;A6&amp;"*",bs!$B$1:$B$110,),FALSE),0)/IF(ISNUMBER(SEARCH("亿", $A$2)), 100000000,
IF(ISNUMBER(SEARCH("万", $A$2)), 10000, 1))</f>
        <v>0</v>
      </c>
      <c r="E6" s="117">
        <f>ROUND(HLOOKUP($E$3,bs!$C$1:$AA$110,MATCH("*"&amp;A6&amp;"*",bs!$B$1:$B$110,),FALSE),0)/IF(ISNUMBER(SEARCH("亿", $A$2)), 100000000,
IF(ISNUMBER(SEARCH("万", $A$2)), 10000, 1))</f>
        <v>0</v>
      </c>
      <c r="H6" s="118">
        <f>B6+C6+D6+E6</f>
        <v>0</v>
      </c>
      <c r="I6" t="str">
        <f>A6</f>
        <v xml:space="preserve">  货币资金 </v>
      </c>
      <c r="J6" t="str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2021年-2023年及2024年12月，拟承租人  货币资金 分别为0.00亿元、0.00亿元、0.00亿元及0.00亿元。</v>
      </c>
      <c r="M6" s="96" t="e">
        <f>(C6-D6)/D6</f>
        <v>#DIV/0!</v>
      </c>
      <c r="N6" s="96" t="e">
        <f>(D6-E6)/E6</f>
        <v>#DIV/0!</v>
      </c>
    </row>
    <row r="7" spans="1:15" ht="15.35" hidden="1">
      <c r="A7" s="116" t="s">
        <v>534</v>
      </c>
      <c r="B7" s="117">
        <f>ROUND(HLOOKUP($B$3,bs!$C$1:$AA$110,MATCH("*"&amp;A7&amp;"*",bs!$B$1:$B$110,),FALSE),0)/IF(ISNUMBER(SEARCH("亿", $A$2)), 100000000,
IF(ISNUMBER(SEARCH("万", $A$2)), 10000, 1))</f>
        <v>0</v>
      </c>
      <c r="C7" s="117">
        <f>ROUND(HLOOKUP($C$3,bs!$C$1:$AA$110,MATCH("*"&amp;A7&amp;"*",bs!$B$1:$B$110,),FALSE),0)/IF(ISNUMBER(SEARCH("亿", $A$2)), 100000000,
IF(ISNUMBER(SEARCH("万", $A$2)), 10000, 1))</f>
        <v>0</v>
      </c>
      <c r="D7" s="117">
        <f>ROUND(HLOOKUP($D$3,bs!$C$1:$AA$110,MATCH("*"&amp;A7&amp;"*",bs!$B$1:$B$110,),FALSE),0)/IF(ISNUMBER(SEARCH("亿", $A$2)), 100000000,
IF(ISNUMBER(SEARCH("万", $A$2)), 10000, 1))</f>
        <v>0</v>
      </c>
      <c r="E7" s="117">
        <f>ROUND(HLOOKUP($E$3,bs!$C$1:$AA$110,MATCH("*"&amp;A7&amp;"*",bs!$B$1:$B$110,),FALSE),0)/IF(ISNUMBER(SEARCH("亿", $A$2)), 100000000,
IF(ISNUMBER(SEARCH("万", $A$2)), 10000, 1))</f>
        <v>0</v>
      </c>
      <c r="H7" s="118">
        <f t="shared" ref="H7:H70" si="1">B7+C7+D7+E7</f>
        <v>0</v>
      </c>
    </row>
    <row r="8" spans="1:15" ht="15.35" hidden="1">
      <c r="A8" s="116" t="s">
        <v>535</v>
      </c>
      <c r="B8" s="117">
        <f>ROUND(HLOOKUP($B$3,bs!$C$1:$AA$110,MATCH("*"&amp;A8&amp;"*",bs!$B$1:$B$110,),FALSE),0)/IF(ISNUMBER(SEARCH("亿", $A$2)), 100000000,
IF(ISNUMBER(SEARCH("万", $A$2)), 10000, 1))</f>
        <v>0</v>
      </c>
      <c r="C8" s="117">
        <f>ROUND(HLOOKUP($C$3,bs!$C$1:$AA$110,MATCH("*"&amp;A8&amp;"*",bs!$B$1:$B$110,),FALSE),0)/IF(ISNUMBER(SEARCH("亿", $A$2)), 100000000,
IF(ISNUMBER(SEARCH("万", $A$2)), 10000, 1))</f>
        <v>0</v>
      </c>
      <c r="D8" s="117">
        <f>ROUND(HLOOKUP($D$3,bs!$C$1:$AA$110,MATCH("*"&amp;A8&amp;"*",bs!$B$1:$B$110,),FALSE),0)/IF(ISNUMBER(SEARCH("亿", $A$2)), 100000000,
IF(ISNUMBER(SEARCH("万", $A$2)), 10000, 1))</f>
        <v>0</v>
      </c>
      <c r="E8" s="117">
        <f>ROUND(HLOOKUP($E$3,bs!$C$1:$AA$110,MATCH("*"&amp;A8&amp;"*",bs!$B$1:$B$110,),FALSE),0)/IF(ISNUMBER(SEARCH("亿", $A$2)), 100000000,
IF(ISNUMBER(SEARCH("万", $A$2)), 10000, 1))</f>
        <v>0</v>
      </c>
      <c r="H8" s="118">
        <f t="shared" si="1"/>
        <v>0</v>
      </c>
    </row>
    <row r="9" spans="1:15" ht="15.35">
      <c r="A9" s="116" t="s">
        <v>536</v>
      </c>
      <c r="B9" s="117">
        <f>ROUND(HLOOKUP($B$3,bs!$C$1:$AA$110,MATCH("*"&amp;A9&amp;"*",bs!$B$1:$B$110,),FALSE),0)/IF(ISNUMBER(SEARCH("亿", $A$2)), 100000000,
IF(ISNUMBER(SEARCH("万", $A$2)), 10000, 1))</f>
        <v>0</v>
      </c>
      <c r="C9" s="117">
        <f>ROUND(HLOOKUP($C$3,bs!$C$1:$AA$110,MATCH("*"&amp;A9&amp;"*",bs!$B$1:$B$110,),FALSE),0)/IF(ISNUMBER(SEARCH("亿", $A$2)), 100000000,
IF(ISNUMBER(SEARCH("万", $A$2)), 10000, 1))</f>
        <v>0</v>
      </c>
      <c r="D9" s="117">
        <f>ROUND(HLOOKUP($D$3,bs!$C$1:$AA$110,MATCH("*"&amp;A9&amp;"*",bs!$B$1:$B$110,),FALSE),0)/IF(ISNUMBER(SEARCH("亿", $A$2)), 100000000,
IF(ISNUMBER(SEARCH("万", $A$2)), 10000, 1))</f>
        <v>0</v>
      </c>
      <c r="E9" s="117">
        <f>ROUND(HLOOKUP($E$3,bs!$C$1:$AA$110,MATCH("*"&amp;A9&amp;"*",bs!$B$1:$B$110,),FALSE),0)/IF(ISNUMBER(SEARCH("亿", $A$2)), 100000000,
IF(ISNUMBER(SEARCH("万", $A$2)), 10000, 1))</f>
        <v>0</v>
      </c>
      <c r="H9" s="118">
        <f t="shared" si="1"/>
        <v>0</v>
      </c>
      <c r="I9" t="str">
        <f>A9</f>
        <v xml:space="preserve">  交易性金融资产 </v>
      </c>
      <c r="J9" t="str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2021年-2023年及2024年12月，拟承租人  交易性金融资产 分别为0.00亿元、0.00亿元、0.00亿元及0.00亿元。</v>
      </c>
      <c r="M9" s="96" t="e">
        <f>(C9-D9)/D9</f>
        <v>#DIV/0!</v>
      </c>
      <c r="N9" s="96" t="e">
        <f>(D9-E9)/E9</f>
        <v>#DIV/0!</v>
      </c>
    </row>
    <row r="10" spans="1:15" ht="15.35" hidden="1">
      <c r="A10" s="116" t="s">
        <v>537</v>
      </c>
      <c r="B10" s="117">
        <f>ROUND(HLOOKUP($B$3,bs!$C$1:$AA$110,MATCH("*"&amp;A10&amp;"*",bs!$B$1:$B$110,),FALSE),0)/IF(ISNUMBER(SEARCH("亿", $A$2)), 100000000,
IF(ISNUMBER(SEARCH("万", $A$2)), 10000, 1))</f>
        <v>0</v>
      </c>
      <c r="C10" s="117">
        <f>ROUND(HLOOKUP($C$3,bs!$C$1:$AA$110,MATCH("*"&amp;A10&amp;"*",bs!$B$1:$B$110,),FALSE),0)/IF(ISNUMBER(SEARCH("亿", $A$2)), 100000000,
IF(ISNUMBER(SEARCH("万", $A$2)), 10000, 1))</f>
        <v>0</v>
      </c>
      <c r="D10" s="117">
        <f>ROUND(HLOOKUP($D$3,bs!$C$1:$AA$110,MATCH("*"&amp;A10&amp;"*",bs!$B$1:$B$110,),FALSE),0)/IF(ISNUMBER(SEARCH("亿", $A$2)), 100000000,
IF(ISNUMBER(SEARCH("万", $A$2)), 10000, 1))</f>
        <v>0</v>
      </c>
      <c r="E10" s="117">
        <f>ROUND(HLOOKUP($E$3,bs!$C$1:$AA$110,MATCH("*"&amp;A10&amp;"*",bs!$B$1:$B$110,),FALSE),0)/IF(ISNUMBER(SEARCH("亿", $A$2)), 100000000,
IF(ISNUMBER(SEARCH("万", $A$2)), 10000, 1))</f>
        <v>0</v>
      </c>
      <c r="H10" s="118">
        <f t="shared" si="1"/>
        <v>0</v>
      </c>
    </row>
    <row r="11" spans="1:15" ht="15.35">
      <c r="A11" s="116" t="s">
        <v>538</v>
      </c>
      <c r="B11" s="117">
        <f>ROUND(HLOOKUP($B$3,bs!$C$1:$AA$110,MATCH("*"&amp;A11&amp;"*",bs!$B$1:$B$110,),FALSE),0)/IF(ISNUMBER(SEARCH("亿", $A$2)), 100000000,
IF(ISNUMBER(SEARCH("万", $A$2)), 10000, 1))</f>
        <v>0</v>
      </c>
      <c r="C11" s="117">
        <f>ROUND(HLOOKUP($C$3,bs!$C$1:$AA$110,MATCH("*"&amp;A11&amp;"*",bs!$B$1:$B$110,),FALSE),0)/IF(ISNUMBER(SEARCH("亿", $A$2)), 100000000,
IF(ISNUMBER(SEARCH("万", $A$2)), 10000, 1))</f>
        <v>0</v>
      </c>
      <c r="D11" s="117">
        <f>ROUND(HLOOKUP($D$3,bs!$C$1:$AA$110,MATCH("*"&amp;A11&amp;"*",bs!$B$1:$B$110,),FALSE),0)/IF(ISNUMBER(SEARCH("亿", $A$2)), 100000000,
IF(ISNUMBER(SEARCH("万", $A$2)), 10000, 1))</f>
        <v>0</v>
      </c>
      <c r="E11" s="117">
        <f>ROUND(HLOOKUP($E$3,bs!$C$1:$AA$110,MATCH("*"&amp;A11&amp;"*",bs!$B$1:$B$110,),FALSE),0)/IF(ISNUMBER(SEARCH("亿", $A$2)), 100000000,
IF(ISNUMBER(SEARCH("万", $A$2)), 10000, 1))</f>
        <v>0</v>
      </c>
      <c r="H11" s="118">
        <f t="shared" si="1"/>
        <v>0</v>
      </c>
      <c r="I11" t="str">
        <f t="shared" ref="I11:I14" si="2">A11</f>
        <v xml:space="preserve">  应收票据 </v>
      </c>
      <c r="J11" t="str">
        <f t="shared" ref="J11:J14" si="3"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2021年-2023年及2024年12月，拟承租人  应收票据 分别为0.00亿元、0.00亿元、0.00亿元及0.00亿元。</v>
      </c>
      <c r="M11" s="96" t="e">
        <f t="shared" ref="M11:M14" si="4">(C11-D11)/D11</f>
        <v>#DIV/0!</v>
      </c>
      <c r="N11" s="96" t="e">
        <f t="shared" ref="N11:N14" si="5">(D11-E11)/E11</f>
        <v>#DIV/0!</v>
      </c>
    </row>
    <row r="12" spans="1:15" ht="15.35">
      <c r="A12" s="116" t="s">
        <v>539</v>
      </c>
      <c r="B12" s="117">
        <f>ROUND(HLOOKUP($B$3,bs!$C$1:$AA$110,MATCH("*"&amp;A12&amp;"*",bs!$B$1:$B$110,),FALSE),0)/IF(ISNUMBER(SEARCH("亿", $A$2)), 100000000,
IF(ISNUMBER(SEARCH("万", $A$2)), 10000, 1))</f>
        <v>0</v>
      </c>
      <c r="C12" s="117">
        <f>ROUND(HLOOKUP($C$3,bs!$C$1:$AA$110,MATCH("*"&amp;A12&amp;"*",bs!$B$1:$B$110,),FALSE),0)/IF(ISNUMBER(SEARCH("亿", $A$2)), 100000000,
IF(ISNUMBER(SEARCH("万", $A$2)), 10000, 1))</f>
        <v>0</v>
      </c>
      <c r="D12" s="117">
        <f>ROUND(HLOOKUP($D$3,bs!$C$1:$AA$110,MATCH("*"&amp;A12&amp;"*",bs!$B$1:$B$110,),FALSE),0)/IF(ISNUMBER(SEARCH("亿", $A$2)), 100000000,
IF(ISNUMBER(SEARCH("万", $A$2)), 10000, 1))</f>
        <v>0</v>
      </c>
      <c r="E12" s="117">
        <f>ROUND(HLOOKUP($E$3,bs!$C$1:$AA$110,MATCH("*"&amp;A12&amp;"*",bs!$B$1:$B$110,),FALSE),0)/IF(ISNUMBER(SEARCH("亿", $A$2)), 100000000,
IF(ISNUMBER(SEARCH("万", $A$2)), 10000, 1))</f>
        <v>0</v>
      </c>
      <c r="H12" s="118">
        <f t="shared" si="1"/>
        <v>0</v>
      </c>
      <c r="I12" t="str">
        <f t="shared" si="2"/>
        <v xml:space="preserve">  应收账款 </v>
      </c>
      <c r="J12" t="str">
        <f t="shared" si="3"/>
        <v>2021年-2023年及2024年12月，拟承租人  应收账款 分别为0.00亿元、0.00亿元、0.00亿元及0.00亿元。</v>
      </c>
      <c r="M12" s="96" t="e">
        <f t="shared" si="4"/>
        <v>#DIV/0!</v>
      </c>
      <c r="N12" s="96" t="e">
        <f t="shared" si="5"/>
        <v>#DIV/0!</v>
      </c>
    </row>
    <row r="13" spans="1:15" ht="15.35">
      <c r="A13" s="116" t="s">
        <v>540</v>
      </c>
      <c r="B13" s="117">
        <f>ROUND(HLOOKUP($B$3,bs!$C$1:$AA$110,MATCH("*"&amp;A13&amp;"*",bs!$B$1:$B$110,),FALSE),0)/IF(ISNUMBER(SEARCH("亿", $A$2)), 100000000,
IF(ISNUMBER(SEARCH("万", $A$2)), 10000, 1))</f>
        <v>0</v>
      </c>
      <c r="C13" s="117">
        <f>ROUND(HLOOKUP($C$3,bs!$C$1:$AA$110,MATCH("*"&amp;A13&amp;"*",bs!$B$1:$B$110,),FALSE),0)/IF(ISNUMBER(SEARCH("亿", $A$2)), 100000000,
IF(ISNUMBER(SEARCH("万", $A$2)), 10000, 1))</f>
        <v>0</v>
      </c>
      <c r="D13" s="117">
        <f>ROUND(HLOOKUP($D$3,bs!$C$1:$AA$110,MATCH("*"&amp;A13&amp;"*",bs!$B$1:$B$110,),FALSE),0)/IF(ISNUMBER(SEARCH("亿", $A$2)), 100000000,
IF(ISNUMBER(SEARCH("万", $A$2)), 10000, 1))</f>
        <v>0</v>
      </c>
      <c r="E13" s="117">
        <f>ROUND(HLOOKUP($E$3,bs!$C$1:$AA$110,MATCH("*"&amp;A13&amp;"*",bs!$B$1:$B$110,),FALSE),0)/IF(ISNUMBER(SEARCH("亿", $A$2)), 100000000,
IF(ISNUMBER(SEARCH("万", $A$2)), 10000, 1))</f>
        <v>0</v>
      </c>
      <c r="H13" s="118">
        <f t="shared" si="1"/>
        <v>0</v>
      </c>
      <c r="I13" t="str">
        <f t="shared" si="2"/>
        <v xml:space="preserve">  应收款项融资 </v>
      </c>
      <c r="J13" t="str">
        <f t="shared" si="3"/>
        <v>2021年-2023年及2024年12月，拟承租人  应收款项融资 分别为0.00亿元、0.00亿元、0.00亿元及0.00亿元。</v>
      </c>
      <c r="M13" s="96" t="e">
        <f t="shared" si="4"/>
        <v>#DIV/0!</v>
      </c>
      <c r="N13" s="96" t="e">
        <f t="shared" si="5"/>
        <v>#DIV/0!</v>
      </c>
    </row>
    <row r="14" spans="1:15" ht="15.35">
      <c r="A14" s="116" t="s">
        <v>541</v>
      </c>
      <c r="B14" s="117">
        <f>ROUND(HLOOKUP($B$3,bs!$C$1:$AA$110,MATCH("*"&amp;A14&amp;"*",bs!$B$1:$B$110,),FALSE),0)/IF(ISNUMBER(SEARCH("亿", $A$2)), 100000000,
IF(ISNUMBER(SEARCH("万", $A$2)), 10000, 1))</f>
        <v>0</v>
      </c>
      <c r="C14" s="117">
        <f>ROUND(HLOOKUP($C$3,bs!$C$1:$AA$110,MATCH("*"&amp;A14&amp;"*",bs!$B$1:$B$110,),FALSE),0)/IF(ISNUMBER(SEARCH("亿", $A$2)), 100000000,
IF(ISNUMBER(SEARCH("万", $A$2)), 10000, 1))</f>
        <v>0</v>
      </c>
      <c r="D14" s="117">
        <f>ROUND(HLOOKUP($D$3,bs!$C$1:$AA$110,MATCH("*"&amp;A14&amp;"*",bs!$B$1:$B$110,),FALSE),0)/IF(ISNUMBER(SEARCH("亿", $A$2)), 100000000,
IF(ISNUMBER(SEARCH("万", $A$2)), 10000, 1))</f>
        <v>0</v>
      </c>
      <c r="E14" s="117">
        <f>ROUND(HLOOKUP($E$3,bs!$C$1:$AA$110,MATCH("*"&amp;A14&amp;"*",bs!$B$1:$B$110,),FALSE),0)/IF(ISNUMBER(SEARCH("亿", $A$2)), 100000000,
IF(ISNUMBER(SEARCH("万", $A$2)), 10000, 1))</f>
        <v>0</v>
      </c>
      <c r="H14" s="118">
        <f t="shared" si="1"/>
        <v>0</v>
      </c>
      <c r="I14" t="str">
        <f t="shared" si="2"/>
        <v xml:space="preserve">  预付款项 </v>
      </c>
      <c r="J14" t="str">
        <f t="shared" si="3"/>
        <v>2021年-2023年及2024年12月，拟承租人  预付款项 分别为0.00亿元、0.00亿元、0.00亿元及0.00亿元。</v>
      </c>
      <c r="M14" s="96" t="e">
        <f t="shared" si="4"/>
        <v>#DIV/0!</v>
      </c>
      <c r="N14" s="96" t="e">
        <f t="shared" si="5"/>
        <v>#DIV/0!</v>
      </c>
    </row>
    <row r="15" spans="1:15" ht="15.35" hidden="1">
      <c r="A15" s="116" t="s">
        <v>542</v>
      </c>
      <c r="B15" s="117">
        <f>ROUND(HLOOKUP($B$3,bs!$C$1:$AA$110,MATCH("*"&amp;A15&amp;"*",bs!$B$1:$B$110,),FALSE),0)/IF(ISNUMBER(SEARCH("亿", $A$2)), 100000000,
IF(ISNUMBER(SEARCH("万", $A$2)), 10000, 1))</f>
        <v>0</v>
      </c>
      <c r="C15" s="117">
        <f>ROUND(HLOOKUP($C$3,bs!$C$1:$AA$110,MATCH("*"&amp;A15&amp;"*",bs!$B$1:$B$110,),FALSE),0)/IF(ISNUMBER(SEARCH("亿", $A$2)), 100000000,
IF(ISNUMBER(SEARCH("万", $A$2)), 10000, 1))</f>
        <v>0</v>
      </c>
      <c r="D15" s="117">
        <f>ROUND(HLOOKUP($D$3,bs!$C$1:$AA$110,MATCH("*"&amp;A15&amp;"*",bs!$B$1:$B$110,),FALSE),0)/IF(ISNUMBER(SEARCH("亿", $A$2)), 100000000,
IF(ISNUMBER(SEARCH("万", $A$2)), 10000, 1))</f>
        <v>0</v>
      </c>
      <c r="E15" s="117">
        <f>ROUND(HLOOKUP($E$3,bs!$C$1:$AA$110,MATCH("*"&amp;A15&amp;"*",bs!$B$1:$B$110,),FALSE),0)/IF(ISNUMBER(SEARCH("亿", $A$2)), 100000000,
IF(ISNUMBER(SEARCH("万", $A$2)), 10000, 1))</f>
        <v>0</v>
      </c>
      <c r="H15" s="118">
        <f t="shared" si="1"/>
        <v>0</v>
      </c>
    </row>
    <row r="16" spans="1:15" ht="15.35" hidden="1">
      <c r="A16" s="116" t="s">
        <v>543</v>
      </c>
      <c r="B16" s="117">
        <f>ROUND(HLOOKUP($B$3,bs!$C$1:$AA$110,MATCH("*"&amp;A16&amp;"*",bs!$B$1:$B$110,),FALSE),0)/IF(ISNUMBER(SEARCH("亿", $A$2)), 100000000,
IF(ISNUMBER(SEARCH("万", $A$2)), 10000, 1))</f>
        <v>0</v>
      </c>
      <c r="C16" s="117">
        <f>ROUND(HLOOKUP($C$3,bs!$C$1:$AA$110,MATCH("*"&amp;A16&amp;"*",bs!$B$1:$B$110,),FALSE),0)/IF(ISNUMBER(SEARCH("亿", $A$2)), 100000000,
IF(ISNUMBER(SEARCH("万", $A$2)), 10000, 1))</f>
        <v>0</v>
      </c>
      <c r="D16" s="117">
        <f>ROUND(HLOOKUP($D$3,bs!$C$1:$AA$110,MATCH("*"&amp;A16&amp;"*",bs!$B$1:$B$110,),FALSE),0)/IF(ISNUMBER(SEARCH("亿", $A$2)), 100000000,
IF(ISNUMBER(SEARCH("万", $A$2)), 10000, 1))</f>
        <v>0</v>
      </c>
      <c r="E16" s="117">
        <f>ROUND(HLOOKUP($E$3,bs!$C$1:$AA$110,MATCH("*"&amp;A16&amp;"*",bs!$B$1:$B$110,),FALSE),0)/IF(ISNUMBER(SEARCH("亿", $A$2)), 100000000,
IF(ISNUMBER(SEARCH("万", $A$2)), 10000, 1))</f>
        <v>0</v>
      </c>
      <c r="H16" s="118">
        <f t="shared" si="1"/>
        <v>0</v>
      </c>
    </row>
    <row r="17" spans="1:14" ht="15.35" hidden="1">
      <c r="A17" s="116" t="s">
        <v>544</v>
      </c>
      <c r="B17" s="117">
        <f>ROUND(HLOOKUP($B$3,bs!$C$1:$AA$110,MATCH("*"&amp;A17&amp;"*",bs!$B$1:$B$110,),FALSE),0)/IF(ISNUMBER(SEARCH("亿", $A$2)), 100000000,
IF(ISNUMBER(SEARCH("万", $A$2)), 10000, 1))</f>
        <v>0</v>
      </c>
      <c r="C17" s="117">
        <f>ROUND(HLOOKUP($C$3,bs!$C$1:$AA$110,MATCH("*"&amp;A17&amp;"*",bs!$B$1:$B$110,),FALSE),0)/IF(ISNUMBER(SEARCH("亿", $A$2)), 100000000,
IF(ISNUMBER(SEARCH("万", $A$2)), 10000, 1))</f>
        <v>0</v>
      </c>
      <c r="D17" s="117">
        <f>ROUND(HLOOKUP($D$3,bs!$C$1:$AA$110,MATCH("*"&amp;A17&amp;"*",bs!$B$1:$B$110,),FALSE),0)/IF(ISNUMBER(SEARCH("亿", $A$2)), 100000000,
IF(ISNUMBER(SEARCH("万", $A$2)), 10000, 1))</f>
        <v>0</v>
      </c>
      <c r="E17" s="117">
        <f>ROUND(HLOOKUP($E$3,bs!$C$1:$AA$110,MATCH("*"&amp;A17&amp;"*",bs!$B$1:$B$110,),FALSE),0)/IF(ISNUMBER(SEARCH("亿", $A$2)), 100000000,
IF(ISNUMBER(SEARCH("万", $A$2)), 10000, 1))</f>
        <v>0</v>
      </c>
      <c r="H17" s="118">
        <f t="shared" si="1"/>
        <v>0</v>
      </c>
    </row>
    <row r="18" spans="1:14" ht="15.35">
      <c r="A18" s="116" t="s">
        <v>545</v>
      </c>
      <c r="B18" s="117">
        <f>ROUND(HLOOKUP($B$3,bs!$C$1:$AA$110,MATCH("*"&amp;A18&amp;"*",bs!$B$1:$B$110,),FALSE),0)/IF(ISNUMBER(SEARCH("亿", $A$2)), 100000000,
IF(ISNUMBER(SEARCH("万", $A$2)), 10000, 1))</f>
        <v>0</v>
      </c>
      <c r="C18" s="117">
        <f>ROUND(HLOOKUP($C$3,bs!$C$1:$AA$110,MATCH("*"&amp;A18&amp;"*",bs!$B$1:$B$110,),FALSE),0)/IF(ISNUMBER(SEARCH("亿", $A$2)), 100000000,
IF(ISNUMBER(SEARCH("万", $A$2)), 10000, 1))</f>
        <v>0</v>
      </c>
      <c r="D18" s="117">
        <f>ROUND(HLOOKUP($D$3,bs!$C$1:$AA$110,MATCH("*"&amp;A18&amp;"*",bs!$B$1:$B$110,),FALSE),0)/IF(ISNUMBER(SEARCH("亿", $A$2)), 100000000,
IF(ISNUMBER(SEARCH("万", $A$2)), 10000, 1))</f>
        <v>0</v>
      </c>
      <c r="E18" s="117">
        <f>ROUND(HLOOKUP($E$3,bs!$C$1:$AA$110,MATCH("*"&amp;A18&amp;"*",bs!$B$1:$B$110,),FALSE),0)/IF(ISNUMBER(SEARCH("亿", $A$2)), 100000000,
IF(ISNUMBER(SEARCH("万", $A$2)), 10000, 1))</f>
        <v>0</v>
      </c>
      <c r="H18" s="118">
        <f t="shared" si="1"/>
        <v>0</v>
      </c>
      <c r="I18" t="str">
        <f>A18</f>
        <v xml:space="preserve">  其他应收款 </v>
      </c>
      <c r="J18" t="str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2021年-2023年及2024年12月，拟承租人  其他应收款 分别为0.00亿元、0.00亿元、0.00亿元及0.00亿元。</v>
      </c>
      <c r="M18" s="96" t="e">
        <f>(C18-D18)/D18</f>
        <v>#DIV/0!</v>
      </c>
      <c r="N18" s="96" t="e">
        <f>(D18-E18)/E18</f>
        <v>#DIV/0!</v>
      </c>
    </row>
    <row r="19" spans="1:14" ht="15.35" hidden="1">
      <c r="A19" s="116" t="s">
        <v>546</v>
      </c>
      <c r="B19" s="117">
        <f>ROUND(HLOOKUP($B$3,bs!$C$1:$AA$110,MATCH("*"&amp;A19&amp;"*",bs!$B$1:$B$110,),FALSE),0)/IF(ISNUMBER(SEARCH("亿", $A$2)), 100000000,
IF(ISNUMBER(SEARCH("万", $A$2)), 10000, 1))</f>
        <v>0</v>
      </c>
      <c r="C19" s="117">
        <f>ROUND(HLOOKUP($C$3,bs!$C$1:$AA$110,MATCH("*"&amp;A19&amp;"*",bs!$B$1:$B$110,),FALSE),0)/IF(ISNUMBER(SEARCH("亿", $A$2)), 100000000,
IF(ISNUMBER(SEARCH("万", $A$2)), 10000, 1))</f>
        <v>0</v>
      </c>
      <c r="D19" s="117">
        <f>ROUND(HLOOKUP($D$3,bs!$C$1:$AA$110,MATCH("*"&amp;A19&amp;"*",bs!$B$1:$B$110,),FALSE),0)/IF(ISNUMBER(SEARCH("亿", $A$2)), 100000000,
IF(ISNUMBER(SEARCH("万", $A$2)), 10000, 1))</f>
        <v>0</v>
      </c>
      <c r="E19" s="117">
        <f>ROUND(HLOOKUP($E$3,bs!$C$1:$AA$110,MATCH("*"&amp;A19&amp;"*",bs!$B$1:$B$110,),FALSE),0)/IF(ISNUMBER(SEARCH("亿", $A$2)), 100000000,
IF(ISNUMBER(SEARCH("万", $A$2)), 10000, 1))</f>
        <v>0</v>
      </c>
      <c r="H19" s="118">
        <f t="shared" si="1"/>
        <v>0</v>
      </c>
    </row>
    <row r="20" spans="1:14" ht="15.35" hidden="1">
      <c r="A20" s="116" t="s">
        <v>547</v>
      </c>
      <c r="B20" s="117">
        <f>ROUND(HLOOKUP($B$3,bs!$C$1:$AA$110,MATCH("*"&amp;A20&amp;"*",bs!$B$1:$B$110,),FALSE),0)/IF(ISNUMBER(SEARCH("亿", $A$2)), 100000000,
IF(ISNUMBER(SEARCH("万", $A$2)), 10000, 1))</f>
        <v>0</v>
      </c>
      <c r="C20" s="117">
        <f>ROUND(HLOOKUP($C$3,bs!$C$1:$AA$110,MATCH("*"&amp;A20&amp;"*",bs!$B$1:$B$110,),FALSE),0)/IF(ISNUMBER(SEARCH("亿", $A$2)), 100000000,
IF(ISNUMBER(SEARCH("万", $A$2)), 10000, 1))</f>
        <v>0</v>
      </c>
      <c r="D20" s="117">
        <f>ROUND(HLOOKUP($D$3,bs!$C$1:$AA$110,MATCH("*"&amp;A20&amp;"*",bs!$B$1:$B$110,),FALSE),0)/IF(ISNUMBER(SEARCH("亿", $A$2)), 100000000,
IF(ISNUMBER(SEARCH("万", $A$2)), 10000, 1))</f>
        <v>0</v>
      </c>
      <c r="E20" s="117">
        <f>ROUND(HLOOKUP($E$3,bs!$C$1:$AA$110,MATCH("*"&amp;A20&amp;"*",bs!$B$1:$B$110,),FALSE),0)/IF(ISNUMBER(SEARCH("亿", $A$2)), 100000000,
IF(ISNUMBER(SEARCH("万", $A$2)), 10000, 1))</f>
        <v>0</v>
      </c>
      <c r="H20" s="118">
        <f t="shared" si="1"/>
        <v>0</v>
      </c>
    </row>
    <row r="21" spans="1:14" ht="15.35" hidden="1">
      <c r="A21" s="116" t="s">
        <v>548</v>
      </c>
      <c r="B21" s="117">
        <f>ROUND(HLOOKUP($B$3,bs!$C$1:$AA$110,MATCH("*"&amp;A21&amp;"*",bs!$B$1:$B$110,),FALSE),0)/IF(ISNUMBER(SEARCH("亿", $A$2)), 100000000,
IF(ISNUMBER(SEARCH("万", $A$2)), 10000, 1))</f>
        <v>0</v>
      </c>
      <c r="C21" s="117">
        <f>ROUND(HLOOKUP($C$3,bs!$C$1:$AA$110,MATCH("*"&amp;A21&amp;"*",bs!$B$1:$B$110,),FALSE),0)/IF(ISNUMBER(SEARCH("亿", $A$2)), 100000000,
IF(ISNUMBER(SEARCH("万", $A$2)), 10000, 1))</f>
        <v>0</v>
      </c>
      <c r="D21" s="117">
        <f>ROUND(HLOOKUP($D$3,bs!$C$1:$AA$110,MATCH("*"&amp;A21&amp;"*",bs!$B$1:$B$110,),FALSE),0)/IF(ISNUMBER(SEARCH("亿", $A$2)), 100000000,
IF(ISNUMBER(SEARCH("万", $A$2)), 10000, 1))</f>
        <v>0</v>
      </c>
      <c r="E21" s="117">
        <f>ROUND(HLOOKUP($E$3,bs!$C$1:$AA$110,MATCH("*"&amp;A21&amp;"*",bs!$B$1:$B$110,),FALSE),0)/IF(ISNUMBER(SEARCH("亿", $A$2)), 100000000,
IF(ISNUMBER(SEARCH("万", $A$2)), 10000, 1))</f>
        <v>0</v>
      </c>
      <c r="H21" s="118">
        <f t="shared" si="1"/>
        <v>0</v>
      </c>
    </row>
    <row r="22" spans="1:14" ht="15.35">
      <c r="A22" s="116" t="s">
        <v>549</v>
      </c>
      <c r="B22" s="117">
        <f>ROUND(HLOOKUP($B$3,bs!$C$1:$AA$110,MATCH("*"&amp;A22&amp;"*",bs!$B$1:$B$110,),FALSE),0)/IF(ISNUMBER(SEARCH("亿", $A$2)), 100000000,
IF(ISNUMBER(SEARCH("万", $A$2)), 10000, 1))</f>
        <v>0</v>
      </c>
      <c r="C22" s="117">
        <f>ROUND(HLOOKUP($C$3,bs!$C$1:$AA$110,MATCH("*"&amp;A22&amp;"*",bs!$B$1:$B$110,),FALSE),0)/IF(ISNUMBER(SEARCH("亿", $A$2)), 100000000,
IF(ISNUMBER(SEARCH("万", $A$2)), 10000, 1))</f>
        <v>0</v>
      </c>
      <c r="D22" s="117">
        <f>ROUND(HLOOKUP($D$3,bs!$C$1:$AA$110,MATCH("*"&amp;A22&amp;"*",bs!$B$1:$B$110,),FALSE),0)/IF(ISNUMBER(SEARCH("亿", $A$2)), 100000000,
IF(ISNUMBER(SEARCH("万", $A$2)), 10000, 1))</f>
        <v>0</v>
      </c>
      <c r="E22" s="117">
        <f>ROUND(HLOOKUP($E$3,bs!$C$1:$AA$110,MATCH("*"&amp;A22&amp;"*",bs!$B$1:$B$110,),FALSE),0)/IF(ISNUMBER(SEARCH("亿", $A$2)), 100000000,
IF(ISNUMBER(SEARCH("万", $A$2)), 10000, 1))</f>
        <v>0</v>
      </c>
      <c r="H22" s="118">
        <f t="shared" si="1"/>
        <v>0</v>
      </c>
      <c r="I22" t="str">
        <f>A22</f>
        <v xml:space="preserve">  存货 </v>
      </c>
      <c r="J22" t="str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2021年-2023年及2024年12月，拟承租人  存货 分别为0.00亿元、0.00亿元、0.00亿元及0.00亿元。</v>
      </c>
      <c r="M22" s="96" t="e">
        <f>(C22-D22)/D22</f>
        <v>#DIV/0!</v>
      </c>
      <c r="N22" s="96" t="e">
        <f>(D22-E22)/E22</f>
        <v>#DIV/0!</v>
      </c>
    </row>
    <row r="23" spans="1:14" ht="15.35" hidden="1">
      <c r="A23" s="116" t="s">
        <v>550</v>
      </c>
      <c r="B23" s="117">
        <f>ROUND(HLOOKUP($B$3,bs!$C$1:$AA$110,MATCH("*"&amp;A23&amp;"*",bs!$B$1:$B$110,),FALSE),0)/IF(ISNUMBER(SEARCH("亿", $A$2)), 100000000,
IF(ISNUMBER(SEARCH("万", $A$2)), 10000, 1))</f>
        <v>0</v>
      </c>
      <c r="C23" s="117">
        <f>ROUND(HLOOKUP($C$3,bs!$C$1:$AA$110,MATCH("*"&amp;A23&amp;"*",bs!$B$1:$B$110,),FALSE),0)/IF(ISNUMBER(SEARCH("亿", $A$2)), 100000000,
IF(ISNUMBER(SEARCH("万", $A$2)), 10000, 1))</f>
        <v>0</v>
      </c>
      <c r="D23" s="117">
        <f>ROUND(HLOOKUP($D$3,bs!$C$1:$AA$110,MATCH("*"&amp;A23&amp;"*",bs!$B$1:$B$110,),FALSE),0)/IF(ISNUMBER(SEARCH("亿", $A$2)), 100000000,
IF(ISNUMBER(SEARCH("万", $A$2)), 10000, 1))</f>
        <v>0</v>
      </c>
      <c r="E23" s="117">
        <f>ROUND(HLOOKUP($E$3,bs!$C$1:$AA$110,MATCH("*"&amp;A23&amp;"*",bs!$B$1:$B$110,),FALSE),0)/IF(ISNUMBER(SEARCH("亿", $A$2)), 100000000,
IF(ISNUMBER(SEARCH("万", $A$2)), 10000, 1))</f>
        <v>0</v>
      </c>
      <c r="H23" s="118">
        <f t="shared" si="1"/>
        <v>0</v>
      </c>
    </row>
    <row r="24" spans="1:14" ht="15.35" hidden="1">
      <c r="A24" s="116" t="s">
        <v>551</v>
      </c>
      <c r="B24" s="117">
        <f>ROUND(HLOOKUP($B$3,bs!$C$1:$AA$110,MATCH("*"&amp;A24&amp;"*",bs!$B$1:$B$110,),FALSE),0)/IF(ISNUMBER(SEARCH("亿", $A$2)), 100000000,
IF(ISNUMBER(SEARCH("万", $A$2)), 10000, 1))</f>
        <v>0</v>
      </c>
      <c r="C24" s="117">
        <f>ROUND(HLOOKUP($C$3,bs!$C$1:$AA$110,MATCH("*"&amp;A24&amp;"*",bs!$B$1:$B$110,),FALSE),0)/IF(ISNUMBER(SEARCH("亿", $A$2)), 100000000,
IF(ISNUMBER(SEARCH("万", $A$2)), 10000, 1))</f>
        <v>0</v>
      </c>
      <c r="D24" s="117">
        <f>ROUND(HLOOKUP($D$3,bs!$C$1:$AA$110,MATCH("*"&amp;A24&amp;"*",bs!$B$1:$B$110,),FALSE),0)/IF(ISNUMBER(SEARCH("亿", $A$2)), 100000000,
IF(ISNUMBER(SEARCH("万", $A$2)), 10000, 1))</f>
        <v>0</v>
      </c>
      <c r="E24" s="117">
        <f>ROUND(HLOOKUP($E$3,bs!$C$1:$AA$110,MATCH("*"&amp;A24&amp;"*",bs!$B$1:$B$110,),FALSE),0)/IF(ISNUMBER(SEARCH("亿", $A$2)), 100000000,
IF(ISNUMBER(SEARCH("万", $A$2)), 10000, 1))</f>
        <v>0</v>
      </c>
      <c r="H24" s="118">
        <f t="shared" si="1"/>
        <v>0</v>
      </c>
    </row>
    <row r="25" spans="1:14" ht="15.35" hidden="1">
      <c r="A25" s="116" t="s">
        <v>552</v>
      </c>
      <c r="B25" s="117">
        <f>ROUND(HLOOKUP($B$3,bs!$C$1:$AA$110,MATCH("*"&amp;A25&amp;"*",bs!$B$1:$B$110,),FALSE),0)/IF(ISNUMBER(SEARCH("亿", $A$2)), 100000000,
IF(ISNUMBER(SEARCH("万", $A$2)), 10000, 1))</f>
        <v>0</v>
      </c>
      <c r="C25" s="117">
        <f>ROUND(HLOOKUP($C$3,bs!$C$1:$AA$110,MATCH("*"&amp;A25&amp;"*",bs!$B$1:$B$110,),FALSE),0)/IF(ISNUMBER(SEARCH("亿", $A$2)), 100000000,
IF(ISNUMBER(SEARCH("万", $A$2)), 10000, 1))</f>
        <v>0</v>
      </c>
      <c r="D25" s="117">
        <f>ROUND(HLOOKUP($D$3,bs!$C$1:$AA$110,MATCH("*"&amp;A25&amp;"*",bs!$B$1:$B$110,),FALSE),0)/IF(ISNUMBER(SEARCH("亿", $A$2)), 100000000,
IF(ISNUMBER(SEARCH("万", $A$2)), 10000, 1))</f>
        <v>0</v>
      </c>
      <c r="E25" s="117">
        <f>ROUND(HLOOKUP($E$3,bs!$C$1:$AA$110,MATCH("*"&amp;A25&amp;"*",bs!$B$1:$B$110,),FALSE),0)/IF(ISNUMBER(SEARCH("亿", $A$2)), 100000000,
IF(ISNUMBER(SEARCH("万", $A$2)), 10000, 1))</f>
        <v>0</v>
      </c>
      <c r="H25" s="118">
        <f t="shared" si="1"/>
        <v>0</v>
      </c>
      <c r="I25" t="str">
        <f t="shared" ref="I25:I27" si="6">A25</f>
        <v xml:space="preserve">  一年内到期的非流动资产 </v>
      </c>
      <c r="J25" t="str">
        <f t="shared" ref="J25:J27" si="7"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2021年-2023年及2024年12月，拟承租人  一年内到期的非流动资产 分别为0.00亿元、0.00亿元、0.00亿元及0.00亿元。</v>
      </c>
      <c r="M25" s="96" t="e">
        <f t="shared" ref="M25:M27" si="8">(C25-D25)/D25</f>
        <v>#DIV/0!</v>
      </c>
      <c r="N25" s="96" t="e">
        <f t="shared" ref="N25:N27" si="9">(D25-E25)/E25</f>
        <v>#DIV/0!</v>
      </c>
    </row>
    <row r="26" spans="1:14" ht="15.35">
      <c r="A26" s="116" t="s">
        <v>553</v>
      </c>
      <c r="B26" s="117">
        <f>ROUND(HLOOKUP($B$3,bs!$C$1:$AA$110,MATCH("*"&amp;A26&amp;"*",bs!$B$1:$B$110,),FALSE),0)/IF(ISNUMBER(SEARCH("亿", $A$2)), 100000000,
IF(ISNUMBER(SEARCH("万", $A$2)), 10000, 1))</f>
        <v>0</v>
      </c>
      <c r="C26" s="117">
        <f>ROUND(HLOOKUP($C$3,bs!$C$1:$AA$110,MATCH("*"&amp;A26&amp;"*",bs!$B$1:$B$110,),FALSE),0)/IF(ISNUMBER(SEARCH("亿", $A$2)), 100000000,
IF(ISNUMBER(SEARCH("万", $A$2)), 10000, 1))</f>
        <v>0</v>
      </c>
      <c r="D26" s="117">
        <f>ROUND(HLOOKUP($D$3,bs!$C$1:$AA$110,MATCH("*"&amp;A26&amp;"*",bs!$B$1:$B$110,),FALSE),0)/IF(ISNUMBER(SEARCH("亿", $A$2)), 100000000,
IF(ISNUMBER(SEARCH("万", $A$2)), 10000, 1))</f>
        <v>0</v>
      </c>
      <c r="E26" s="117">
        <f>ROUND(HLOOKUP($E$3,bs!$C$1:$AA$110,MATCH("*"&amp;A26&amp;"*",bs!$B$1:$B$110,),FALSE),0)/IF(ISNUMBER(SEARCH("亿", $A$2)), 100000000,
IF(ISNUMBER(SEARCH("万", $A$2)), 10000, 1))</f>
        <v>0</v>
      </c>
      <c r="H26" s="118">
        <f t="shared" si="1"/>
        <v>0</v>
      </c>
      <c r="I26" t="str">
        <f t="shared" si="6"/>
        <v xml:space="preserve">  其他流动资产 </v>
      </c>
      <c r="J26" t="str">
        <f t="shared" si="7"/>
        <v>2021年-2023年及2024年12月，拟承租人  其他流动资产 分别为0.00亿元、0.00亿元、0.00亿元及0.00亿元。</v>
      </c>
      <c r="M26" s="96" t="e">
        <f t="shared" si="8"/>
        <v>#DIV/0!</v>
      </c>
      <c r="N26" s="96" t="e">
        <f t="shared" si="9"/>
        <v>#DIV/0!</v>
      </c>
    </row>
    <row r="27" spans="1:14" ht="15.35">
      <c r="A27" s="119" t="s">
        <v>554</v>
      </c>
      <c r="B27" s="117">
        <f>ROUND(HLOOKUP($B$3,bs!$C$1:$AA$110,MATCH("*"&amp;A27&amp;"*",bs!$B$1:$B$110,),FALSE),0)/IF(ISNUMBER(SEARCH("亿", $A$2)), 100000000,
IF(ISNUMBER(SEARCH("万", $A$2)), 10000, 1))</f>
        <v>0</v>
      </c>
      <c r="C27" s="117">
        <f>ROUND(HLOOKUP($C$3,bs!$C$1:$AA$110,MATCH("*"&amp;A27&amp;"*",bs!$B$1:$B$110,),FALSE),0)/IF(ISNUMBER(SEARCH("亿", $A$2)), 100000000,
IF(ISNUMBER(SEARCH("万", $A$2)), 10000, 1))</f>
        <v>0</v>
      </c>
      <c r="D27" s="117">
        <f>ROUND(HLOOKUP($D$3,bs!$C$1:$AA$110,MATCH("*"&amp;A27&amp;"*",bs!$B$1:$B$110,),FALSE),0)/IF(ISNUMBER(SEARCH("亿", $A$2)), 100000000,
IF(ISNUMBER(SEARCH("万", $A$2)), 10000, 1))</f>
        <v>0</v>
      </c>
      <c r="E27" s="117">
        <f>ROUND(HLOOKUP($E$3,bs!$C$1:$AA$110,MATCH("*"&amp;A27&amp;"*",bs!$B$1:$B$110,),FALSE),0)/IF(ISNUMBER(SEARCH("亿", $A$2)), 100000000,
IF(ISNUMBER(SEARCH("万", $A$2)), 10000, 1))</f>
        <v>0</v>
      </c>
      <c r="H27" s="118">
        <f t="shared" si="1"/>
        <v>0</v>
      </c>
      <c r="I27" t="str">
        <f t="shared" si="6"/>
        <v>流动资产合计</v>
      </c>
      <c r="J27" t="str">
        <f t="shared" si="7"/>
        <v>2021年-2023年及2024年12月，拟承租人流动资产合计分别为0.00亿元、0.00亿元、0.00亿元及0.00亿元。</v>
      </c>
      <c r="M27" s="96" t="e">
        <f t="shared" si="8"/>
        <v>#DIV/0!</v>
      </c>
      <c r="N27" s="96" t="e">
        <f t="shared" si="9"/>
        <v>#DIV/0!</v>
      </c>
    </row>
    <row r="28" spans="1:14" ht="15.35" hidden="1">
      <c r="A28" s="116" t="s">
        <v>555</v>
      </c>
      <c r="B28" s="117">
        <f>ROUND(HLOOKUP($B$3,bs!$C$1:$AA$110,MATCH("*"&amp;A28&amp;"*",bs!$B$1:$B$110,),FALSE),0)/IF(ISNUMBER(SEARCH("亿", $A$2)), 100000000,
IF(ISNUMBER(SEARCH("万", $A$2)), 10000, 1))</f>
        <v>0</v>
      </c>
      <c r="C28" s="117">
        <f>ROUND(HLOOKUP($C$3,bs!$C$1:$AA$110,MATCH("*"&amp;A28&amp;"*",bs!$B$1:$B$110,),FALSE),0)/IF(ISNUMBER(SEARCH("亿", $A$2)), 100000000,
IF(ISNUMBER(SEARCH("万", $A$2)), 10000, 1))</f>
        <v>0</v>
      </c>
      <c r="D28" s="117">
        <f>ROUND(HLOOKUP($D$3,bs!$C$1:$AA$110,MATCH("*"&amp;A28&amp;"*",bs!$B$1:$B$110,),FALSE),0)/IF(ISNUMBER(SEARCH("亿", $A$2)), 100000000,
IF(ISNUMBER(SEARCH("万", $A$2)), 10000, 1))</f>
        <v>0</v>
      </c>
      <c r="E28" s="117">
        <f>ROUND(HLOOKUP($E$3,bs!$C$1:$AA$110,MATCH("*"&amp;A28&amp;"*",bs!$B$1:$B$110,),FALSE),0)/IF(ISNUMBER(SEARCH("亿", $A$2)), 100000000,
IF(ISNUMBER(SEARCH("万", $A$2)), 10000, 1))</f>
        <v>0</v>
      </c>
      <c r="H28" s="118">
        <f t="shared" si="1"/>
        <v>0</v>
      </c>
    </row>
    <row r="29" spans="1:14" ht="15.35" hidden="1">
      <c r="A29" s="116" t="s">
        <v>556</v>
      </c>
      <c r="B29" s="117">
        <f>ROUND(HLOOKUP($B$3,bs!$C$1:$AA$110,MATCH("*"&amp;A29&amp;"*",bs!$B$1:$B$110,),FALSE),0)/IF(ISNUMBER(SEARCH("亿", $A$2)), 100000000,
IF(ISNUMBER(SEARCH("万", $A$2)), 10000, 1))</f>
        <v>0</v>
      </c>
      <c r="C29" s="117">
        <f>ROUND(HLOOKUP($C$3,bs!$C$1:$AA$110,MATCH("*"&amp;A29&amp;"*",bs!$B$1:$B$110,),FALSE),0)/IF(ISNUMBER(SEARCH("亿", $A$2)), 100000000,
IF(ISNUMBER(SEARCH("万", $A$2)), 10000, 1))</f>
        <v>0</v>
      </c>
      <c r="D29" s="117">
        <f>ROUND(HLOOKUP($D$3,bs!$C$1:$AA$110,MATCH("*"&amp;A29&amp;"*",bs!$B$1:$B$110,),FALSE),0)/IF(ISNUMBER(SEARCH("亿", $A$2)), 100000000,
IF(ISNUMBER(SEARCH("万", $A$2)), 10000, 1))</f>
        <v>0</v>
      </c>
      <c r="E29" s="117">
        <f>ROUND(HLOOKUP($E$3,bs!$C$1:$AA$110,MATCH("*"&amp;A29&amp;"*",bs!$B$1:$B$110,),FALSE),0)/IF(ISNUMBER(SEARCH("亿", $A$2)), 100000000,
IF(ISNUMBER(SEARCH("万", $A$2)), 10000, 1))</f>
        <v>0</v>
      </c>
      <c r="H29" s="118">
        <f t="shared" si="1"/>
        <v>0</v>
      </c>
    </row>
    <row r="30" spans="1:14" ht="15.35" hidden="1">
      <c r="A30" s="116" t="s">
        <v>557</v>
      </c>
      <c r="B30" s="117">
        <f>ROUND(HLOOKUP($B$3,bs!$C$1:$AA$110,MATCH("*"&amp;A30&amp;"*",bs!$B$1:$B$110,),FALSE),0)/IF(ISNUMBER(SEARCH("亿", $A$2)), 100000000,
IF(ISNUMBER(SEARCH("万", $A$2)), 10000, 1))</f>
        <v>0</v>
      </c>
      <c r="C30" s="117">
        <f>ROUND(HLOOKUP($C$3,bs!$C$1:$AA$110,MATCH("*"&amp;A30&amp;"*",bs!$B$1:$B$110,),FALSE),0)/IF(ISNUMBER(SEARCH("亿", $A$2)), 100000000,
IF(ISNUMBER(SEARCH("万", $A$2)), 10000, 1))</f>
        <v>0</v>
      </c>
      <c r="D30" s="117">
        <f>ROUND(HLOOKUP($D$3,bs!$C$1:$AA$110,MATCH("*"&amp;A30&amp;"*",bs!$B$1:$B$110,),FALSE),0)/IF(ISNUMBER(SEARCH("亿", $A$2)), 100000000,
IF(ISNUMBER(SEARCH("万", $A$2)), 10000, 1))</f>
        <v>0</v>
      </c>
      <c r="E30" s="117">
        <f>ROUND(HLOOKUP($E$3,bs!$C$1:$AA$110,MATCH("*"&amp;A30&amp;"*",bs!$B$1:$B$110,),FALSE),0)/IF(ISNUMBER(SEARCH("亿", $A$2)), 100000000,
IF(ISNUMBER(SEARCH("万", $A$2)), 10000, 1))</f>
        <v>0</v>
      </c>
      <c r="H30" s="118">
        <f t="shared" si="1"/>
        <v>0</v>
      </c>
    </row>
    <row r="31" spans="1:14" ht="15.35" hidden="1">
      <c r="A31" s="116" t="s">
        <v>558</v>
      </c>
      <c r="B31" s="117">
        <f>ROUND(HLOOKUP($B$3,bs!$C$1:$AA$110,MATCH("*"&amp;A31&amp;"*",bs!$B$1:$B$110,),FALSE),0)/IF(ISNUMBER(SEARCH("亿", $A$2)), 100000000,
IF(ISNUMBER(SEARCH("万", $A$2)), 10000, 1))</f>
        <v>0</v>
      </c>
      <c r="C31" s="117">
        <f>ROUND(HLOOKUP($C$3,bs!$C$1:$AA$110,MATCH("*"&amp;A31&amp;"*",bs!$B$1:$B$110,),FALSE),0)/IF(ISNUMBER(SEARCH("亿", $A$2)), 100000000,
IF(ISNUMBER(SEARCH("万", $A$2)), 10000, 1))</f>
        <v>0</v>
      </c>
      <c r="D31" s="117">
        <f>ROUND(HLOOKUP($D$3,bs!$C$1:$AA$110,MATCH("*"&amp;A31&amp;"*",bs!$B$1:$B$110,),FALSE),0)/IF(ISNUMBER(SEARCH("亿", $A$2)), 100000000,
IF(ISNUMBER(SEARCH("万", $A$2)), 10000, 1))</f>
        <v>0</v>
      </c>
      <c r="E31" s="117">
        <f>ROUND(HLOOKUP($E$3,bs!$C$1:$AA$110,MATCH("*"&amp;A31&amp;"*",bs!$B$1:$B$110,),FALSE),0)/IF(ISNUMBER(SEARCH("亿", $A$2)), 100000000,
IF(ISNUMBER(SEARCH("万", $A$2)), 10000, 1))</f>
        <v>0</v>
      </c>
      <c r="H31" s="118">
        <f t="shared" si="1"/>
        <v>0</v>
      </c>
      <c r="I31" t="str">
        <f>A31</f>
        <v xml:space="preserve">  长期应收款 </v>
      </c>
      <c r="J31" t="str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2021年-2023年及2024年12月，拟承租人  长期应收款 分别为0.00亿元、0.00亿元、0.00亿元及0.00亿元。</v>
      </c>
      <c r="M31" s="96" t="e">
        <f>(C31-D31)/D31</f>
        <v>#DIV/0!</v>
      </c>
      <c r="N31" s="96" t="e">
        <f>(D31-E31)/E31</f>
        <v>#DIV/0!</v>
      </c>
    </row>
    <row r="32" spans="1:14" ht="15.35">
      <c r="A32" s="116" t="s">
        <v>559</v>
      </c>
      <c r="B32" s="117">
        <f>ROUND(HLOOKUP($B$3,bs!$C$1:$AA$110,MATCH("*"&amp;A32&amp;"*",bs!$B$1:$B$110,),FALSE),0)/IF(ISNUMBER(SEARCH("亿", $A$2)), 100000000,
IF(ISNUMBER(SEARCH("万", $A$2)), 10000, 1))</f>
        <v>0</v>
      </c>
      <c r="C32" s="117">
        <f>ROUND(HLOOKUP($C$3,bs!$C$1:$AA$110,MATCH("*"&amp;A32&amp;"*",bs!$B$1:$B$110,),FALSE),0)/IF(ISNUMBER(SEARCH("亿", $A$2)), 100000000,
IF(ISNUMBER(SEARCH("万", $A$2)), 10000, 1))</f>
        <v>0</v>
      </c>
      <c r="D32" s="117">
        <f>ROUND(HLOOKUP($D$3,bs!$C$1:$AA$110,MATCH("*"&amp;A32&amp;"*",bs!$B$1:$B$110,),FALSE),0)/IF(ISNUMBER(SEARCH("亿", $A$2)), 100000000,
IF(ISNUMBER(SEARCH("万", $A$2)), 10000, 1))</f>
        <v>0</v>
      </c>
      <c r="E32" s="117">
        <f>ROUND(HLOOKUP($E$3,bs!$C$1:$AA$110,MATCH("*"&amp;A32&amp;"*",bs!$B$1:$B$110,),FALSE),0)/IF(ISNUMBER(SEARCH("亿", $A$2)), 100000000,
IF(ISNUMBER(SEARCH("万", $A$2)), 10000, 1))</f>
        <v>0</v>
      </c>
      <c r="H32" s="118">
        <f t="shared" si="1"/>
        <v>0</v>
      </c>
    </row>
    <row r="33" spans="1:14" ht="15.35" hidden="1">
      <c r="A33" s="116" t="s">
        <v>560</v>
      </c>
      <c r="B33" s="117">
        <f>ROUND(HLOOKUP($B$3,bs!$C$1:$AA$110,MATCH("*"&amp;A33&amp;"*",bs!$B$1:$B$110,),FALSE),0)/IF(ISNUMBER(SEARCH("亿", $A$2)), 100000000,
IF(ISNUMBER(SEARCH("万", $A$2)), 10000, 1))</f>
        <v>0</v>
      </c>
      <c r="C33" s="117">
        <f>ROUND(HLOOKUP($C$3,bs!$C$1:$AA$110,MATCH("*"&amp;A33&amp;"*",bs!$B$1:$B$110,),FALSE),0)/IF(ISNUMBER(SEARCH("亿", $A$2)), 100000000,
IF(ISNUMBER(SEARCH("万", $A$2)), 10000, 1))</f>
        <v>0</v>
      </c>
      <c r="D33" s="117">
        <f>ROUND(HLOOKUP($D$3,bs!$C$1:$AA$110,MATCH("*"&amp;A33&amp;"*",bs!$B$1:$B$110,),FALSE),0)/IF(ISNUMBER(SEARCH("亿", $A$2)), 100000000,
IF(ISNUMBER(SEARCH("万", $A$2)), 10000, 1))</f>
        <v>0</v>
      </c>
      <c r="E33" s="117">
        <f>ROUND(HLOOKUP($E$3,bs!$C$1:$AA$110,MATCH("*"&amp;A33&amp;"*",bs!$B$1:$B$110,),FALSE),0)/IF(ISNUMBER(SEARCH("亿", $A$2)), 100000000,
IF(ISNUMBER(SEARCH("万", $A$2)), 10000, 1))</f>
        <v>0</v>
      </c>
      <c r="H33" s="118">
        <f t="shared" si="1"/>
        <v>0</v>
      </c>
    </row>
    <row r="34" spans="1:14" ht="15.35" hidden="1">
      <c r="A34" s="116" t="s">
        <v>561</v>
      </c>
      <c r="B34" s="117">
        <f>ROUND(HLOOKUP($B$3,bs!$C$1:$AA$110,MATCH("*"&amp;A34&amp;"*",bs!$B$1:$B$110,),FALSE),0)/IF(ISNUMBER(SEARCH("亿", $A$2)), 100000000,
IF(ISNUMBER(SEARCH("万", $A$2)), 10000, 1))</f>
        <v>0</v>
      </c>
      <c r="C34" s="117">
        <f>ROUND(HLOOKUP($C$3,bs!$C$1:$AA$110,MATCH("*"&amp;A34&amp;"*",bs!$B$1:$B$110,),FALSE),0)/IF(ISNUMBER(SEARCH("亿", $A$2)), 100000000,
IF(ISNUMBER(SEARCH("万", $A$2)), 10000, 1))</f>
        <v>0</v>
      </c>
      <c r="D34" s="117">
        <f>ROUND(HLOOKUP($D$3,bs!$C$1:$AA$110,MATCH("*"&amp;A34&amp;"*",bs!$B$1:$B$110,),FALSE),0)/IF(ISNUMBER(SEARCH("亿", $A$2)), 100000000,
IF(ISNUMBER(SEARCH("万", $A$2)), 10000, 1))</f>
        <v>0</v>
      </c>
      <c r="E34" s="117">
        <f>ROUND(HLOOKUP($E$3,bs!$C$1:$AA$110,MATCH("*"&amp;A34&amp;"*",bs!$B$1:$B$110,),FALSE),0)/IF(ISNUMBER(SEARCH("亿", $A$2)), 100000000,
IF(ISNUMBER(SEARCH("万", $A$2)), 10000, 1))</f>
        <v>0</v>
      </c>
      <c r="H34" s="118">
        <f t="shared" si="1"/>
        <v>0</v>
      </c>
    </row>
    <row r="35" spans="1:14" ht="15.35" hidden="1">
      <c r="A35" s="116" t="s">
        <v>562</v>
      </c>
      <c r="B35" s="117">
        <f>ROUND(HLOOKUP($B$3,bs!$C$1:$AA$110,MATCH("*"&amp;A35&amp;"*",bs!$B$1:$B$110,),FALSE),0)/IF(ISNUMBER(SEARCH("亿", $A$2)), 100000000,
IF(ISNUMBER(SEARCH("万", $A$2)), 10000, 1))</f>
        <v>0</v>
      </c>
      <c r="C35" s="117">
        <f>ROUND(HLOOKUP($C$3,bs!$C$1:$AA$110,MATCH("*"&amp;A35&amp;"*",bs!$B$1:$B$110,),FALSE),0)/IF(ISNUMBER(SEARCH("亿", $A$2)), 100000000,
IF(ISNUMBER(SEARCH("万", $A$2)), 10000, 1))</f>
        <v>0</v>
      </c>
      <c r="D35" s="117">
        <f>ROUND(HLOOKUP($D$3,bs!$C$1:$AA$110,MATCH("*"&amp;A35&amp;"*",bs!$B$1:$B$110,),FALSE),0)/IF(ISNUMBER(SEARCH("亿", $A$2)), 100000000,
IF(ISNUMBER(SEARCH("万", $A$2)), 10000, 1))</f>
        <v>0</v>
      </c>
      <c r="E35" s="117">
        <f>ROUND(HLOOKUP($E$3,bs!$C$1:$AA$110,MATCH("*"&amp;A35&amp;"*",bs!$B$1:$B$110,),FALSE),0)/IF(ISNUMBER(SEARCH("亿", $A$2)), 100000000,
IF(ISNUMBER(SEARCH("万", $A$2)), 10000, 1))</f>
        <v>0</v>
      </c>
      <c r="H35" s="118">
        <f t="shared" si="1"/>
        <v>0</v>
      </c>
    </row>
    <row r="36" spans="1:14" ht="15.35" hidden="1">
      <c r="A36" s="116" t="s">
        <v>563</v>
      </c>
      <c r="B36" s="117">
        <f>ROUND(HLOOKUP($B$3,bs!$C$1:$AA$110,MATCH("*"&amp;A36&amp;"*",bs!$B$1:$B$110,),FALSE),0)/IF(ISNUMBER(SEARCH("亿", $A$2)), 100000000,
IF(ISNUMBER(SEARCH("万", $A$2)), 10000, 1))</f>
        <v>0</v>
      </c>
      <c r="C36" s="117">
        <f>ROUND(HLOOKUP($C$3,bs!$C$1:$AA$110,MATCH("*"&amp;A36&amp;"*",bs!$B$1:$B$110,),FALSE),0)/IF(ISNUMBER(SEARCH("亿", $A$2)), 100000000,
IF(ISNUMBER(SEARCH("万", $A$2)), 10000, 1))</f>
        <v>0</v>
      </c>
      <c r="D36" s="117">
        <f>ROUND(HLOOKUP($D$3,bs!$C$1:$AA$110,MATCH("*"&amp;A36&amp;"*",bs!$B$1:$B$110,),FALSE),0)/IF(ISNUMBER(SEARCH("亿", $A$2)), 100000000,
IF(ISNUMBER(SEARCH("万", $A$2)), 10000, 1))</f>
        <v>0</v>
      </c>
      <c r="E36" s="117">
        <f>ROUND(HLOOKUP($E$3,bs!$C$1:$AA$110,MATCH("*"&amp;A36&amp;"*",bs!$B$1:$B$110,),FALSE),0)/IF(ISNUMBER(SEARCH("亿", $A$2)), 100000000,
IF(ISNUMBER(SEARCH("万", $A$2)), 10000, 1))</f>
        <v>0</v>
      </c>
      <c r="H36" s="118">
        <f t="shared" si="1"/>
        <v>0</v>
      </c>
    </row>
    <row r="37" spans="1:14" ht="15.35" hidden="1">
      <c r="A37" s="116" t="s">
        <v>564</v>
      </c>
      <c r="B37" s="117">
        <f>ROUND(HLOOKUP($B$3,bs!$C$1:$AA$110,MATCH("*"&amp;A37&amp;"*",bs!$B$1:$B$110,),FALSE),0)/IF(ISNUMBER(SEARCH("亿", $A$2)), 100000000,
IF(ISNUMBER(SEARCH("万", $A$2)), 10000, 1))</f>
        <v>0</v>
      </c>
      <c r="C37" s="117">
        <f>ROUND(HLOOKUP($C$3,bs!$C$1:$AA$110,MATCH("*"&amp;A37&amp;"*",bs!$B$1:$B$110,),FALSE),0)/IF(ISNUMBER(SEARCH("亿", $A$2)), 100000000,
IF(ISNUMBER(SEARCH("万", $A$2)), 10000, 1))</f>
        <v>0</v>
      </c>
      <c r="D37" s="117">
        <f>ROUND(HLOOKUP($D$3,bs!$C$1:$AA$110,MATCH("*"&amp;A37&amp;"*",bs!$B$1:$B$110,),FALSE),0)/IF(ISNUMBER(SEARCH("亿", $A$2)), 100000000,
IF(ISNUMBER(SEARCH("万", $A$2)), 10000, 1))</f>
        <v>0</v>
      </c>
      <c r="E37" s="117">
        <f>ROUND(HLOOKUP($E$3,bs!$C$1:$AA$110,MATCH("*"&amp;A37&amp;"*",bs!$B$1:$B$110,),FALSE),0)/IF(ISNUMBER(SEARCH("亿", $A$2)), 100000000,
IF(ISNUMBER(SEARCH("万", $A$2)), 10000, 1))</f>
        <v>0</v>
      </c>
      <c r="H37" s="118">
        <f t="shared" si="1"/>
        <v>0</v>
      </c>
    </row>
    <row r="38" spans="1:14" ht="15.35">
      <c r="A38" s="116" t="s">
        <v>565</v>
      </c>
      <c r="B38" s="117">
        <f>ROUND(HLOOKUP($B$3,bs!$C$1:$AA$110,MATCH("*"&amp;A38&amp;"*",bs!$B$1:$B$110,),FALSE),0)/IF(ISNUMBER(SEARCH("亿", $A$2)), 100000000,
IF(ISNUMBER(SEARCH("万", $A$2)), 10000, 1))</f>
        <v>0</v>
      </c>
      <c r="C38" s="117">
        <f>ROUND(HLOOKUP($C$3,bs!$C$1:$AA$110,MATCH("*"&amp;A38&amp;"*",bs!$B$1:$B$110,),FALSE),0)/IF(ISNUMBER(SEARCH("亿", $A$2)), 100000000,
IF(ISNUMBER(SEARCH("万", $A$2)), 10000, 1))</f>
        <v>0</v>
      </c>
      <c r="D38" s="117">
        <f>ROUND(HLOOKUP($D$3,bs!$C$1:$AA$110,MATCH("*"&amp;A38&amp;"*",bs!$B$1:$B$110,),FALSE),0)/IF(ISNUMBER(SEARCH("亿", $A$2)), 100000000,
IF(ISNUMBER(SEARCH("万", $A$2)), 10000, 1))</f>
        <v>0</v>
      </c>
      <c r="E38" s="117">
        <f>ROUND(HLOOKUP($E$3,bs!$C$1:$AA$110,MATCH("*"&amp;A38&amp;"*",bs!$B$1:$B$110,),FALSE),0)/IF(ISNUMBER(SEARCH("亿", $A$2)), 100000000,
IF(ISNUMBER(SEARCH("万", $A$2)), 10000, 1))</f>
        <v>0</v>
      </c>
      <c r="H38" s="118">
        <f t="shared" si="1"/>
        <v>0</v>
      </c>
      <c r="I38" t="str">
        <f>A38</f>
        <v xml:space="preserve">  固定资产 </v>
      </c>
      <c r="J38" t="str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2021年-2023年及2024年12月，拟承租人  固定资产 分别为0.00亿元、0.00亿元、0.00亿元及0.00亿元。</v>
      </c>
      <c r="M38" s="96" t="e">
        <f>(C38-D38)/D38</f>
        <v>#DIV/0!</v>
      </c>
      <c r="N38" s="96" t="e">
        <f>(D38-E38)/E38</f>
        <v>#DIV/0!</v>
      </c>
    </row>
    <row r="39" spans="1:14" ht="15.35" hidden="1">
      <c r="A39" s="116" t="s">
        <v>566</v>
      </c>
      <c r="B39" s="117">
        <f>ROUND(HLOOKUP($B$3,bs!$C$1:$AA$110,MATCH("*"&amp;A39&amp;"*",bs!$B$1:$B$110,),FALSE),0)/IF(ISNUMBER(SEARCH("亿", $A$2)), 100000000,
IF(ISNUMBER(SEARCH("万", $A$2)), 10000, 1))</f>
        <v>0</v>
      </c>
      <c r="C39" s="117">
        <f>ROUND(HLOOKUP($C$3,bs!$C$1:$AA$110,MATCH("*"&amp;A39&amp;"*",bs!$B$1:$B$110,),FALSE),0)/IF(ISNUMBER(SEARCH("亿", $A$2)), 100000000,
IF(ISNUMBER(SEARCH("万", $A$2)), 10000, 1))</f>
        <v>0</v>
      </c>
      <c r="D39" s="117">
        <f>ROUND(HLOOKUP($D$3,bs!$C$1:$AA$110,MATCH("*"&amp;A39&amp;"*",bs!$B$1:$B$110,),FALSE),0)/IF(ISNUMBER(SEARCH("亿", $A$2)), 100000000,
IF(ISNUMBER(SEARCH("万", $A$2)), 10000, 1))</f>
        <v>0</v>
      </c>
      <c r="E39" s="117">
        <f>ROUND(HLOOKUP($E$3,bs!$C$1:$AA$110,MATCH("*"&amp;A39&amp;"*",bs!$B$1:$B$110,),FALSE),0)/IF(ISNUMBER(SEARCH("亿", $A$2)), 100000000,
IF(ISNUMBER(SEARCH("万", $A$2)), 10000, 1))</f>
        <v>0</v>
      </c>
      <c r="H39" s="118">
        <f t="shared" si="1"/>
        <v>0</v>
      </c>
    </row>
    <row r="40" spans="1:14" ht="15.35" hidden="1">
      <c r="A40" s="116" t="s">
        <v>567</v>
      </c>
      <c r="B40" s="117">
        <f>ROUND(HLOOKUP($B$3,bs!$C$1:$AA$110,MATCH("*"&amp;A40&amp;"*",bs!$B$1:$B$110,),FALSE),0)/IF(ISNUMBER(SEARCH("亿", $A$2)), 100000000,
IF(ISNUMBER(SEARCH("万", $A$2)), 10000, 1))</f>
        <v>0</v>
      </c>
      <c r="C40" s="117">
        <f>ROUND(HLOOKUP($C$3,bs!$C$1:$AA$110,MATCH("*"&amp;A40&amp;"*",bs!$B$1:$B$110,),FALSE),0)/IF(ISNUMBER(SEARCH("亿", $A$2)), 100000000,
IF(ISNUMBER(SEARCH("万", $A$2)), 10000, 1))</f>
        <v>0</v>
      </c>
      <c r="D40" s="117">
        <f>ROUND(HLOOKUP($D$3,bs!$C$1:$AA$110,MATCH("*"&amp;A40&amp;"*",bs!$B$1:$B$110,),FALSE),0)/IF(ISNUMBER(SEARCH("亿", $A$2)), 100000000,
IF(ISNUMBER(SEARCH("万", $A$2)), 10000, 1))</f>
        <v>0</v>
      </c>
      <c r="E40" s="117">
        <f>ROUND(HLOOKUP($E$3,bs!$C$1:$AA$110,MATCH("*"&amp;A40&amp;"*",bs!$B$1:$B$110,),FALSE),0)/IF(ISNUMBER(SEARCH("亿", $A$2)), 100000000,
IF(ISNUMBER(SEARCH("万", $A$2)), 10000, 1))</f>
        <v>0</v>
      </c>
      <c r="H40" s="118">
        <f t="shared" si="1"/>
        <v>0</v>
      </c>
    </row>
    <row r="41" spans="1:14" ht="15.35">
      <c r="A41" s="116" t="s">
        <v>568</v>
      </c>
      <c r="B41" s="117">
        <f>ROUND(HLOOKUP($B$3,bs!$C$1:$AA$110,MATCH("*"&amp;A41&amp;"*",bs!$B$1:$B$110,),FALSE),0)/IF(ISNUMBER(SEARCH("亿", $A$2)), 100000000,
IF(ISNUMBER(SEARCH("万", $A$2)), 10000, 1))</f>
        <v>0</v>
      </c>
      <c r="C41" s="117">
        <f>ROUND(HLOOKUP($C$3,bs!$C$1:$AA$110,MATCH("*"&amp;A41&amp;"*",bs!$B$1:$B$110,),FALSE),0)/IF(ISNUMBER(SEARCH("亿", $A$2)), 100000000,
IF(ISNUMBER(SEARCH("万", $A$2)), 10000, 1))</f>
        <v>0</v>
      </c>
      <c r="D41" s="117">
        <f>ROUND(HLOOKUP($D$3,bs!$C$1:$AA$110,MATCH("*"&amp;A41&amp;"*",bs!$B$1:$B$110,),FALSE),0)/IF(ISNUMBER(SEARCH("亿", $A$2)), 100000000,
IF(ISNUMBER(SEARCH("万", $A$2)), 10000, 1))</f>
        <v>0</v>
      </c>
      <c r="E41" s="117">
        <f>ROUND(HLOOKUP($E$3,bs!$C$1:$AA$110,MATCH("*"&amp;A41&amp;"*",bs!$B$1:$B$110,),FALSE),0)/IF(ISNUMBER(SEARCH("亿", $A$2)), 100000000,
IF(ISNUMBER(SEARCH("万", $A$2)), 10000, 1))</f>
        <v>0</v>
      </c>
      <c r="H41" s="118">
        <f t="shared" si="1"/>
        <v>0</v>
      </c>
      <c r="I41" t="str">
        <f>A41</f>
        <v xml:space="preserve">  固定资产净额</v>
      </c>
      <c r="J41" t="str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2021年-2023年及2024年12月，拟承租人  固定资产净额分别为0.00亿元、0.00亿元、0.00亿元及0.00亿元。</v>
      </c>
      <c r="M41" s="96" t="e">
        <f>(C41-D41)/D41</f>
        <v>#DIV/0!</v>
      </c>
      <c r="N41" s="96" t="e">
        <f>(D41-E41)/E41</f>
        <v>#DIV/0!</v>
      </c>
    </row>
    <row r="42" spans="1:14" ht="15.35" hidden="1">
      <c r="A42" s="116" t="s">
        <v>569</v>
      </c>
      <c r="B42" s="117">
        <f>ROUND(HLOOKUP($B$3,bs!$C$1:$AA$110,MATCH("*"&amp;A42&amp;"*",bs!$B$1:$B$110,),FALSE),0)/IF(ISNUMBER(SEARCH("亿", $A$2)), 100000000,
IF(ISNUMBER(SEARCH("万", $A$2)), 10000, 1))</f>
        <v>0</v>
      </c>
      <c r="C42" s="117">
        <f>ROUND(HLOOKUP($C$3,bs!$C$1:$AA$110,MATCH("*"&amp;A42&amp;"*",bs!$B$1:$B$110,),FALSE),0)/IF(ISNUMBER(SEARCH("亿", $A$2)), 100000000,
IF(ISNUMBER(SEARCH("万", $A$2)), 10000, 1))</f>
        <v>0</v>
      </c>
      <c r="D42" s="117">
        <f>ROUND(HLOOKUP($D$3,bs!$C$1:$AA$110,MATCH("*"&amp;A42&amp;"*",bs!$B$1:$B$110,),FALSE),0)/IF(ISNUMBER(SEARCH("亿", $A$2)), 100000000,
IF(ISNUMBER(SEARCH("万", $A$2)), 10000, 1))</f>
        <v>0</v>
      </c>
      <c r="E42" s="117">
        <f>ROUND(HLOOKUP($E$3,bs!$C$1:$AA$110,MATCH("*"&amp;A42&amp;"*",bs!$B$1:$B$110,),FALSE),0)/IF(ISNUMBER(SEARCH("亿", $A$2)), 100000000,
IF(ISNUMBER(SEARCH("万", $A$2)), 10000, 1))</f>
        <v>0</v>
      </c>
      <c r="H42" s="118">
        <f t="shared" si="1"/>
        <v>0</v>
      </c>
    </row>
    <row r="43" spans="1:14" ht="15.35" hidden="1">
      <c r="A43" s="116" t="s">
        <v>570</v>
      </c>
      <c r="B43" s="117">
        <f>ROUND(HLOOKUP($B$3,bs!$C$1:$AA$110,MATCH("*"&amp;A43&amp;"*",bs!$B$1:$B$110,),FALSE),0)/IF(ISNUMBER(SEARCH("亿", $A$2)), 100000000,
IF(ISNUMBER(SEARCH("万", $A$2)), 10000, 1))</f>
        <v>0</v>
      </c>
      <c r="C43" s="117">
        <f>ROUND(HLOOKUP($C$3,bs!$C$1:$AA$110,MATCH("*"&amp;A43&amp;"*",bs!$B$1:$B$110,),FALSE),0)/IF(ISNUMBER(SEARCH("亿", $A$2)), 100000000,
IF(ISNUMBER(SEARCH("万", $A$2)), 10000, 1))</f>
        <v>0</v>
      </c>
      <c r="D43" s="117">
        <f>ROUND(HLOOKUP($D$3,bs!$C$1:$AA$110,MATCH("*"&amp;A43&amp;"*",bs!$B$1:$B$110,),FALSE),0)/IF(ISNUMBER(SEARCH("亿", $A$2)), 100000000,
IF(ISNUMBER(SEARCH("万", $A$2)), 10000, 1))</f>
        <v>0</v>
      </c>
      <c r="E43" s="117">
        <f>ROUND(HLOOKUP($E$3,bs!$C$1:$AA$110,MATCH("*"&amp;A43&amp;"*",bs!$B$1:$B$110,),FALSE),0)/IF(ISNUMBER(SEARCH("亿", $A$2)), 100000000,
IF(ISNUMBER(SEARCH("万", $A$2)), 10000, 1))</f>
        <v>0</v>
      </c>
      <c r="H43" s="118">
        <f t="shared" si="1"/>
        <v>0</v>
      </c>
    </row>
    <row r="44" spans="1:14" ht="15.35">
      <c r="A44" s="116" t="s">
        <v>571</v>
      </c>
      <c r="B44" s="117">
        <f>ROUND(HLOOKUP($B$3,bs!$C$1:$AA$110,MATCH("*"&amp;A44&amp;"*",bs!$B$1:$B$110,),FALSE),0)/IF(ISNUMBER(SEARCH("亿", $A$2)), 100000000,
IF(ISNUMBER(SEARCH("万", $A$2)), 10000, 1))</f>
        <v>0</v>
      </c>
      <c r="C44" s="117">
        <f>ROUND(HLOOKUP($C$3,bs!$C$1:$AA$110,MATCH("*"&amp;A44&amp;"*",bs!$B$1:$B$110,),FALSE),0)/IF(ISNUMBER(SEARCH("亿", $A$2)), 100000000,
IF(ISNUMBER(SEARCH("万", $A$2)), 10000, 1))</f>
        <v>0</v>
      </c>
      <c r="D44" s="117">
        <f>ROUND(HLOOKUP($D$3,bs!$C$1:$AA$110,MATCH("*"&amp;A44&amp;"*",bs!$B$1:$B$110,),FALSE),0)/IF(ISNUMBER(SEARCH("亿", $A$2)), 100000000,
IF(ISNUMBER(SEARCH("万", $A$2)), 10000, 1))</f>
        <v>0</v>
      </c>
      <c r="E44" s="117">
        <f>ROUND(HLOOKUP($E$3,bs!$C$1:$AA$110,MATCH("*"&amp;A44&amp;"*",bs!$B$1:$B$110,),FALSE),0)/IF(ISNUMBER(SEARCH("亿", $A$2)), 100000000,
IF(ISNUMBER(SEARCH("万", $A$2)), 10000, 1))</f>
        <v>0</v>
      </c>
      <c r="H44" s="118">
        <f t="shared" si="1"/>
        <v>0</v>
      </c>
      <c r="I44" t="str">
        <f>A44</f>
        <v xml:space="preserve">  在建工程 </v>
      </c>
      <c r="J44" t="str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2021年-2023年及2024年12月，拟承租人  在建工程 分别为0.00亿元、0.00亿元、0.00亿元及0.00亿元。</v>
      </c>
      <c r="M44" s="96" t="e">
        <f>(C44-D44)/D44</f>
        <v>#DIV/0!</v>
      </c>
      <c r="N44" s="96" t="e">
        <f>(D44-E44)/E44</f>
        <v>#DIV/0!</v>
      </c>
    </row>
    <row r="45" spans="1:14" ht="15.35" hidden="1">
      <c r="A45" s="116" t="s">
        <v>572</v>
      </c>
      <c r="B45" s="117">
        <f>ROUND(HLOOKUP($B$3,bs!$C$1:$AA$110,MATCH("*"&amp;A45&amp;"*",bs!$B$1:$B$110,),FALSE),0)/IF(ISNUMBER(SEARCH("亿", $A$2)), 100000000,
IF(ISNUMBER(SEARCH("万", $A$2)), 10000, 1))</f>
        <v>0</v>
      </c>
      <c r="C45" s="117">
        <f>ROUND(HLOOKUP($C$3,bs!$C$1:$AA$110,MATCH("*"&amp;A45&amp;"*",bs!$B$1:$B$110,),FALSE),0)/IF(ISNUMBER(SEARCH("亿", $A$2)), 100000000,
IF(ISNUMBER(SEARCH("万", $A$2)), 10000, 1))</f>
        <v>0</v>
      </c>
      <c r="D45" s="117">
        <f>ROUND(HLOOKUP($D$3,bs!$C$1:$AA$110,MATCH("*"&amp;A45&amp;"*",bs!$B$1:$B$110,),FALSE),0)/IF(ISNUMBER(SEARCH("亿", $A$2)), 100000000,
IF(ISNUMBER(SEARCH("万", $A$2)), 10000, 1))</f>
        <v>0</v>
      </c>
      <c r="E45" s="117">
        <f>ROUND(HLOOKUP($E$3,bs!$C$1:$AA$110,MATCH("*"&amp;A45&amp;"*",bs!$B$1:$B$110,),FALSE),0)/IF(ISNUMBER(SEARCH("亿", $A$2)), 100000000,
IF(ISNUMBER(SEARCH("万", $A$2)), 10000, 1))</f>
        <v>0</v>
      </c>
      <c r="H45" s="118">
        <f t="shared" si="1"/>
        <v>0</v>
      </c>
    </row>
    <row r="46" spans="1:14" ht="15.35" hidden="1">
      <c r="A46" s="116" t="s">
        <v>573</v>
      </c>
      <c r="B46" s="117">
        <f>ROUND(HLOOKUP($B$3,bs!$C$1:$AA$110,MATCH("*"&amp;A46&amp;"*",bs!$B$1:$B$110,),FALSE),0)/IF(ISNUMBER(SEARCH("亿", $A$2)), 100000000,
IF(ISNUMBER(SEARCH("万", $A$2)), 10000, 1))</f>
        <v>0</v>
      </c>
      <c r="C46" s="117">
        <f>ROUND(HLOOKUP($C$3,bs!$C$1:$AA$110,MATCH("*"&amp;A46&amp;"*",bs!$B$1:$B$110,),FALSE),0)/IF(ISNUMBER(SEARCH("亿", $A$2)), 100000000,
IF(ISNUMBER(SEARCH("万", $A$2)), 10000, 1))</f>
        <v>0</v>
      </c>
      <c r="D46" s="117">
        <f>ROUND(HLOOKUP($D$3,bs!$C$1:$AA$110,MATCH("*"&amp;A46&amp;"*",bs!$B$1:$B$110,),FALSE),0)/IF(ISNUMBER(SEARCH("亿", $A$2)), 100000000,
IF(ISNUMBER(SEARCH("万", $A$2)), 10000, 1))</f>
        <v>0</v>
      </c>
      <c r="E46" s="117">
        <f>ROUND(HLOOKUP($E$3,bs!$C$1:$AA$110,MATCH("*"&amp;A46&amp;"*",bs!$B$1:$B$110,),FALSE),0)/IF(ISNUMBER(SEARCH("亿", $A$2)), 100000000,
IF(ISNUMBER(SEARCH("万", $A$2)), 10000, 1))</f>
        <v>0</v>
      </c>
      <c r="H46" s="118">
        <f t="shared" si="1"/>
        <v>0</v>
      </c>
    </row>
    <row r="47" spans="1:14" ht="15.35">
      <c r="A47" s="116" t="s">
        <v>574</v>
      </c>
      <c r="B47" s="117">
        <f>ROUND(HLOOKUP($B$3,bs!$C$1:$AA$110,MATCH("*"&amp;A47&amp;"*",bs!$B$1:$B$110,),FALSE),0)/IF(ISNUMBER(SEARCH("亿", $A$2)), 100000000,
IF(ISNUMBER(SEARCH("万", $A$2)), 10000, 1))</f>
        <v>0</v>
      </c>
      <c r="C47" s="117">
        <f>ROUND(HLOOKUP($C$3,bs!$C$1:$AA$110,MATCH("*"&amp;A47&amp;"*",bs!$B$1:$B$110,),FALSE),0)/IF(ISNUMBER(SEARCH("亿", $A$2)), 100000000,
IF(ISNUMBER(SEARCH("万", $A$2)), 10000, 1))</f>
        <v>0</v>
      </c>
      <c r="D47" s="117">
        <f>ROUND(HLOOKUP($D$3,bs!$C$1:$AA$110,MATCH("*"&amp;A47&amp;"*",bs!$B$1:$B$110,),FALSE),0)/IF(ISNUMBER(SEARCH("亿", $A$2)), 100000000,
IF(ISNUMBER(SEARCH("万", $A$2)), 10000, 1))</f>
        <v>0</v>
      </c>
      <c r="E47" s="117">
        <f>ROUND(HLOOKUP($E$3,bs!$C$1:$AA$110,MATCH("*"&amp;A47&amp;"*",bs!$B$1:$B$110,),FALSE),0)/IF(ISNUMBER(SEARCH("亿", $A$2)), 100000000,
IF(ISNUMBER(SEARCH("万", $A$2)), 10000, 1))</f>
        <v>0</v>
      </c>
      <c r="H47" s="118">
        <f t="shared" si="1"/>
        <v>0</v>
      </c>
      <c r="I47" t="str">
        <f t="shared" ref="I47:I48" si="10">A47</f>
        <v xml:space="preserve">  使用权资产 </v>
      </c>
      <c r="J47" t="str">
        <f t="shared" ref="J47:J48" si="11"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2021年-2023年及2024年12月，拟承租人  使用权资产 分别为0.00亿元、0.00亿元、0.00亿元及0.00亿元。</v>
      </c>
      <c r="M47" s="96" t="e">
        <f t="shared" ref="M47:M48" si="12">(C47-D47)/D47</f>
        <v>#DIV/0!</v>
      </c>
      <c r="N47" s="96" t="e">
        <f t="shared" ref="N47:N48" si="13">(D47-E47)/E47</f>
        <v>#DIV/0!</v>
      </c>
    </row>
    <row r="48" spans="1:14" ht="15.35">
      <c r="A48" s="116" t="s">
        <v>575</v>
      </c>
      <c r="B48" s="117">
        <f>ROUND(HLOOKUP($B$3,bs!$C$1:$AA$110,MATCH("*"&amp;A48&amp;"*",bs!$B$1:$B$110,),FALSE),0)/IF(ISNUMBER(SEARCH("亿", $A$2)), 100000000,
IF(ISNUMBER(SEARCH("万", $A$2)), 10000, 1))</f>
        <v>0</v>
      </c>
      <c r="C48" s="117">
        <f>ROUND(HLOOKUP($C$3,bs!$C$1:$AA$110,MATCH("*"&amp;A48&amp;"*",bs!$B$1:$B$110,),FALSE),0)/IF(ISNUMBER(SEARCH("亿", $A$2)), 100000000,
IF(ISNUMBER(SEARCH("万", $A$2)), 10000, 1))</f>
        <v>0</v>
      </c>
      <c r="D48" s="117">
        <f>ROUND(HLOOKUP($D$3,bs!$C$1:$AA$110,MATCH("*"&amp;A48&amp;"*",bs!$B$1:$B$110,),FALSE),0)/IF(ISNUMBER(SEARCH("亿", $A$2)), 100000000,
IF(ISNUMBER(SEARCH("万", $A$2)), 10000, 1))</f>
        <v>0</v>
      </c>
      <c r="E48" s="117">
        <f>ROUND(HLOOKUP($E$3,bs!$C$1:$AA$110,MATCH("*"&amp;A48&amp;"*",bs!$B$1:$B$110,),FALSE),0)/IF(ISNUMBER(SEARCH("亿", $A$2)), 100000000,
IF(ISNUMBER(SEARCH("万", $A$2)), 10000, 1))</f>
        <v>0</v>
      </c>
      <c r="H48" s="118">
        <f t="shared" si="1"/>
        <v>0</v>
      </c>
      <c r="I48" t="str">
        <f t="shared" si="10"/>
        <v xml:space="preserve">  无形资产 </v>
      </c>
      <c r="J48" t="str">
        <f t="shared" si="11"/>
        <v>2021年-2023年及2024年12月，拟承租人  无形资产 分别为0.00亿元、0.00亿元、0.00亿元及0.00亿元。</v>
      </c>
      <c r="M48" s="96" t="e">
        <f t="shared" si="12"/>
        <v>#DIV/0!</v>
      </c>
      <c r="N48" s="96" t="e">
        <f t="shared" si="13"/>
        <v>#DIV/0!</v>
      </c>
    </row>
    <row r="49" spans="1:14" ht="15.35" hidden="1">
      <c r="A49" s="116" t="s">
        <v>576</v>
      </c>
      <c r="B49" s="117">
        <f>ROUND(HLOOKUP($B$3,bs!$C$1:$AA$110,MATCH("*"&amp;A49&amp;"*",bs!$B$1:$B$110,),FALSE),0)/IF(ISNUMBER(SEARCH("亿", $A$2)), 100000000,
IF(ISNUMBER(SEARCH("万", $A$2)), 10000, 1))</f>
        <v>0</v>
      </c>
      <c r="C49" s="117">
        <f>ROUND(HLOOKUP($C$3,bs!$C$1:$AA$110,MATCH("*"&amp;A49&amp;"*",bs!$B$1:$B$110,),FALSE),0)/IF(ISNUMBER(SEARCH("亿", $A$2)), 100000000,
IF(ISNUMBER(SEARCH("万", $A$2)), 10000, 1))</f>
        <v>0</v>
      </c>
      <c r="D49" s="117">
        <f>ROUND(HLOOKUP($D$3,bs!$C$1:$AA$110,MATCH("*"&amp;A49&amp;"*",bs!$B$1:$B$110,),FALSE),0)/IF(ISNUMBER(SEARCH("亿", $A$2)), 100000000,
IF(ISNUMBER(SEARCH("万", $A$2)), 10000, 1))</f>
        <v>0</v>
      </c>
      <c r="E49" s="117">
        <f>ROUND(HLOOKUP($E$3,bs!$C$1:$AA$110,MATCH("*"&amp;A49&amp;"*",bs!$B$1:$B$110,),FALSE),0)/IF(ISNUMBER(SEARCH("亿", $A$2)), 100000000,
IF(ISNUMBER(SEARCH("万", $A$2)), 10000, 1))</f>
        <v>0</v>
      </c>
      <c r="H49" s="118">
        <f t="shared" si="1"/>
        <v>0</v>
      </c>
    </row>
    <row r="50" spans="1:14" ht="15.35" hidden="1">
      <c r="A50" s="116" t="s">
        <v>577</v>
      </c>
      <c r="B50" s="117">
        <f>ROUND(HLOOKUP($B$3,bs!$C$1:$AA$110,MATCH("*"&amp;A50&amp;"*",bs!$B$1:$B$110,),FALSE),0)/IF(ISNUMBER(SEARCH("亿", $A$2)), 100000000,
IF(ISNUMBER(SEARCH("万", $A$2)), 10000, 1))</f>
        <v>0</v>
      </c>
      <c r="C50" s="117">
        <f>ROUND(HLOOKUP($C$3,bs!$C$1:$AA$110,MATCH("*"&amp;A50&amp;"*",bs!$B$1:$B$110,),FALSE),0)/IF(ISNUMBER(SEARCH("亿", $A$2)), 100000000,
IF(ISNUMBER(SEARCH("万", $A$2)), 10000, 1))</f>
        <v>0</v>
      </c>
      <c r="D50" s="117">
        <f>ROUND(HLOOKUP($D$3,bs!$C$1:$AA$110,MATCH("*"&amp;A50&amp;"*",bs!$B$1:$B$110,),FALSE),0)/IF(ISNUMBER(SEARCH("亿", $A$2)), 100000000,
IF(ISNUMBER(SEARCH("万", $A$2)), 10000, 1))</f>
        <v>0</v>
      </c>
      <c r="E50" s="117">
        <f>ROUND(HLOOKUP($E$3,bs!$C$1:$AA$110,MATCH("*"&amp;A50&amp;"*",bs!$B$1:$B$110,),FALSE),0)/IF(ISNUMBER(SEARCH("亿", $A$2)), 100000000,
IF(ISNUMBER(SEARCH("万", $A$2)), 10000, 1))</f>
        <v>0</v>
      </c>
      <c r="H50" s="118">
        <f t="shared" si="1"/>
        <v>0</v>
      </c>
    </row>
    <row r="51" spans="1:14" ht="15.35">
      <c r="A51" s="116" t="s">
        <v>578</v>
      </c>
      <c r="B51" s="117">
        <f>ROUND(HLOOKUP($B$3,bs!$C$1:$AA$110,MATCH("*"&amp;A51&amp;"*",bs!$B$1:$B$110,),FALSE),0)/IF(ISNUMBER(SEARCH("亿", $A$2)), 100000000,
IF(ISNUMBER(SEARCH("万", $A$2)), 10000, 1))</f>
        <v>0</v>
      </c>
      <c r="C51" s="117">
        <f>ROUND(HLOOKUP($C$3,bs!$C$1:$AA$110,MATCH("*"&amp;A51&amp;"*",bs!$B$1:$B$110,),FALSE),0)/IF(ISNUMBER(SEARCH("亿", $A$2)), 100000000,
IF(ISNUMBER(SEARCH("万", $A$2)), 10000, 1))</f>
        <v>0</v>
      </c>
      <c r="D51" s="117">
        <f>ROUND(HLOOKUP($D$3,bs!$C$1:$AA$110,MATCH("*"&amp;A51&amp;"*",bs!$B$1:$B$110,),FALSE),0)/IF(ISNUMBER(SEARCH("亿", $A$2)), 100000000,
IF(ISNUMBER(SEARCH("万", $A$2)), 10000, 1))</f>
        <v>0</v>
      </c>
      <c r="E51" s="117">
        <f>ROUND(HLOOKUP($E$3,bs!$C$1:$AA$110,MATCH("*"&amp;A51&amp;"*",bs!$B$1:$B$110,),FALSE),0)/IF(ISNUMBER(SEARCH("亿", $A$2)), 100000000,
IF(ISNUMBER(SEARCH("万", $A$2)), 10000, 1))</f>
        <v>0</v>
      </c>
      <c r="H51" s="118">
        <f t="shared" si="1"/>
        <v>0</v>
      </c>
      <c r="I51" t="str">
        <f t="shared" ref="I51:I56" si="14">A51</f>
        <v xml:space="preserve">  长期待摊费用 </v>
      </c>
      <c r="J51" t="str">
        <f t="shared" ref="J51:J56" si="15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2021年-2023年及2024年12月，拟承租人  长期待摊费用 分别为0.00亿元、0.00亿元、0.00亿元及0.00亿元。</v>
      </c>
      <c r="M51" s="96" t="e">
        <f t="shared" ref="M51:M56" si="16">(C51-D51)/D51</f>
        <v>#DIV/0!</v>
      </c>
      <c r="N51" s="96" t="e">
        <f t="shared" ref="N51:N56" si="17">(D51-E51)/E51</f>
        <v>#DIV/0!</v>
      </c>
    </row>
    <row r="52" spans="1:14" ht="15.35">
      <c r="A52" s="116" t="s">
        <v>579</v>
      </c>
      <c r="B52" s="117">
        <f>ROUND(HLOOKUP($B$3,bs!$C$1:$AA$110,MATCH("*"&amp;A52&amp;"*",bs!$B$1:$B$110,),FALSE),0)/IF(ISNUMBER(SEARCH("亿", $A$2)), 100000000,
IF(ISNUMBER(SEARCH("万", $A$2)), 10000, 1))</f>
        <v>0</v>
      </c>
      <c r="C52" s="117">
        <f>ROUND(HLOOKUP($C$3,bs!$C$1:$AA$110,MATCH("*"&amp;A52&amp;"*",bs!$B$1:$B$110,),FALSE),0)/IF(ISNUMBER(SEARCH("亿", $A$2)), 100000000,
IF(ISNUMBER(SEARCH("万", $A$2)), 10000, 1))</f>
        <v>0</v>
      </c>
      <c r="D52" s="117">
        <f>ROUND(HLOOKUP($D$3,bs!$C$1:$AA$110,MATCH("*"&amp;A52&amp;"*",bs!$B$1:$B$110,),FALSE),0)/IF(ISNUMBER(SEARCH("亿", $A$2)), 100000000,
IF(ISNUMBER(SEARCH("万", $A$2)), 10000, 1))</f>
        <v>0</v>
      </c>
      <c r="E52" s="117">
        <f>ROUND(HLOOKUP($E$3,bs!$C$1:$AA$110,MATCH("*"&amp;A52&amp;"*",bs!$B$1:$B$110,),FALSE),0)/IF(ISNUMBER(SEARCH("亿", $A$2)), 100000000,
IF(ISNUMBER(SEARCH("万", $A$2)), 10000, 1))</f>
        <v>0</v>
      </c>
      <c r="H52" s="118">
        <f t="shared" si="1"/>
        <v>0</v>
      </c>
      <c r="I52" t="str">
        <f t="shared" si="14"/>
        <v xml:space="preserve">  递延所得税资产 </v>
      </c>
      <c r="J52" t="str">
        <f t="shared" si="15"/>
        <v>2021年-2023年及2024年12月，拟承租人  递延所得税资产 分别为0.00亿元、0.00亿元、0.00亿元及0.00亿元。</v>
      </c>
      <c r="M52" s="96" t="e">
        <f t="shared" si="16"/>
        <v>#DIV/0!</v>
      </c>
      <c r="N52" s="96" t="e">
        <f t="shared" si="17"/>
        <v>#DIV/0!</v>
      </c>
    </row>
    <row r="53" spans="1:14" ht="15.35">
      <c r="A53" s="116" t="s">
        <v>580</v>
      </c>
      <c r="B53" s="117">
        <f>ROUND(HLOOKUP($B$3,bs!$C$1:$AA$110,MATCH("*"&amp;A53&amp;"*",bs!$B$1:$B$110,),FALSE),0)/IF(ISNUMBER(SEARCH("亿", $A$2)), 100000000,
IF(ISNUMBER(SEARCH("万", $A$2)), 10000, 1))</f>
        <v>0</v>
      </c>
      <c r="C53" s="117">
        <f>ROUND(HLOOKUP($C$3,bs!$C$1:$AA$110,MATCH("*"&amp;A53&amp;"*",bs!$B$1:$B$110,),FALSE),0)/IF(ISNUMBER(SEARCH("亿", $A$2)), 100000000,
IF(ISNUMBER(SEARCH("万", $A$2)), 10000, 1))</f>
        <v>0</v>
      </c>
      <c r="D53" s="117">
        <f>ROUND(HLOOKUP($D$3,bs!$C$1:$AA$110,MATCH("*"&amp;A53&amp;"*",bs!$B$1:$B$110,),FALSE),0)/IF(ISNUMBER(SEARCH("亿", $A$2)), 100000000,
IF(ISNUMBER(SEARCH("万", $A$2)), 10000, 1))</f>
        <v>0</v>
      </c>
      <c r="E53" s="117">
        <f>ROUND(HLOOKUP($E$3,bs!$C$1:$AA$110,MATCH("*"&amp;A53&amp;"*",bs!$B$1:$B$110,),FALSE),0)/IF(ISNUMBER(SEARCH("亿", $A$2)), 100000000,
IF(ISNUMBER(SEARCH("万", $A$2)), 10000, 1))</f>
        <v>0</v>
      </c>
      <c r="H53" s="118">
        <f t="shared" si="1"/>
        <v>0</v>
      </c>
      <c r="I53" t="str">
        <f t="shared" si="14"/>
        <v xml:space="preserve">  其他非流动资产 </v>
      </c>
      <c r="J53" t="str">
        <f t="shared" si="15"/>
        <v>2021年-2023年及2024年12月，拟承租人  其他非流动资产 分别为0.00亿元、0.00亿元、0.00亿元及0.00亿元。</v>
      </c>
      <c r="M53" s="96" t="e">
        <f t="shared" si="16"/>
        <v>#DIV/0!</v>
      </c>
      <c r="N53" s="96" t="e">
        <f t="shared" si="17"/>
        <v>#DIV/0!</v>
      </c>
    </row>
    <row r="54" spans="1:14" ht="15.35">
      <c r="A54" s="119" t="s">
        <v>581</v>
      </c>
      <c r="B54" s="117">
        <f>ROUND(HLOOKUP($B$3,bs!$C$1:$AA$110,MATCH("*"&amp;A54&amp;"*",bs!$B$1:$B$110,),FALSE),0)/IF(ISNUMBER(SEARCH("亿", $A$2)), 100000000,
IF(ISNUMBER(SEARCH("万", $A$2)), 10000, 1))</f>
        <v>0</v>
      </c>
      <c r="C54" s="117">
        <f>ROUND(HLOOKUP($C$3,bs!$C$1:$AA$110,MATCH("*"&amp;A54&amp;"*",bs!$B$1:$B$110,),FALSE),0)/IF(ISNUMBER(SEARCH("亿", $A$2)), 100000000,
IF(ISNUMBER(SEARCH("万", $A$2)), 10000, 1))</f>
        <v>0</v>
      </c>
      <c r="D54" s="117">
        <f>ROUND(HLOOKUP($D$3,bs!$C$1:$AA$110,MATCH("*"&amp;A54&amp;"*",bs!$B$1:$B$110,),FALSE),0)/IF(ISNUMBER(SEARCH("亿", $A$2)), 100000000,
IF(ISNUMBER(SEARCH("万", $A$2)), 10000, 1))</f>
        <v>0</v>
      </c>
      <c r="E54" s="117">
        <f>ROUND(HLOOKUP($E$3,bs!$C$1:$AA$110,MATCH("*"&amp;A54&amp;"*",bs!$B$1:$B$110,),FALSE),0)/IF(ISNUMBER(SEARCH("亿", $A$2)), 100000000,
IF(ISNUMBER(SEARCH("万", $A$2)), 10000, 1))</f>
        <v>0</v>
      </c>
      <c r="H54" s="118">
        <f t="shared" si="1"/>
        <v>0</v>
      </c>
      <c r="I54" t="str">
        <f t="shared" si="14"/>
        <v>非流动资产合计</v>
      </c>
      <c r="J54" t="str">
        <f t="shared" si="15"/>
        <v>2021年-2023年及2024年12月，拟承租人非流动资产合计分别为0.00亿元、0.00亿元、0.00亿元及0.00亿元。</v>
      </c>
      <c r="M54" s="96" t="e">
        <f t="shared" si="16"/>
        <v>#DIV/0!</v>
      </c>
      <c r="N54" s="96" t="e">
        <f t="shared" si="17"/>
        <v>#DIV/0!</v>
      </c>
    </row>
    <row r="55" spans="1:14" ht="15.35">
      <c r="A55" s="119" t="s">
        <v>63</v>
      </c>
      <c r="B55" s="117">
        <f>ROUND(HLOOKUP($B$3,bs!$C$1:$AA$110,MATCH("*"&amp;A55&amp;"*",bs!$B$1:$B$110,),FALSE),0)/IF(ISNUMBER(SEARCH("亿", $A$2)), 100000000,
IF(ISNUMBER(SEARCH("万", $A$2)), 10000, 1))</f>
        <v>0</v>
      </c>
      <c r="C55" s="117">
        <f>ROUND(HLOOKUP($C$3,bs!$C$1:$AA$110,MATCH("*"&amp;A55&amp;"*",bs!$B$1:$B$110,),FALSE),0)/IF(ISNUMBER(SEARCH("亿", $A$2)), 100000000,
IF(ISNUMBER(SEARCH("万", $A$2)), 10000, 1))</f>
        <v>0</v>
      </c>
      <c r="D55" s="117">
        <f>ROUND(HLOOKUP($D$3,bs!$C$1:$AA$110,MATCH("*"&amp;A55&amp;"*",bs!$B$1:$B$110,),FALSE),0)/IF(ISNUMBER(SEARCH("亿", $A$2)), 100000000,
IF(ISNUMBER(SEARCH("万", $A$2)), 10000, 1))</f>
        <v>0</v>
      </c>
      <c r="E55" s="117">
        <f>ROUND(HLOOKUP($E$3,bs!$C$1:$AA$110,MATCH("*"&amp;A55&amp;"*",bs!$B$1:$B$110,),FALSE),0)/IF(ISNUMBER(SEARCH("亿", $A$2)), 100000000,
IF(ISNUMBER(SEARCH("万", $A$2)), 10000, 1))</f>
        <v>0</v>
      </c>
      <c r="H55" s="118">
        <f t="shared" si="1"/>
        <v>0</v>
      </c>
      <c r="I55" s="167" t="s">
        <v>818</v>
      </c>
      <c r="J55" t="str">
        <f t="shared" si="15"/>
        <v>2021年-2023年及2024年12月，拟承租人总资产分别为0.00亿元、0.00亿元、0.00亿元及0.00亿元。</v>
      </c>
      <c r="M55" s="96" t="e">
        <f t="shared" si="16"/>
        <v>#DIV/0!</v>
      </c>
      <c r="N55" s="96" t="e">
        <f t="shared" si="17"/>
        <v>#DIV/0!</v>
      </c>
    </row>
    <row r="56" spans="1:14" ht="15.35">
      <c r="A56" s="116" t="s">
        <v>582</v>
      </c>
      <c r="B56" s="117">
        <f>ROUND(HLOOKUP($B$3,bs!$C$1:$AA$110,MATCH("*"&amp;A56&amp;"*",bs!$B$1:$B$110,),FALSE),0)/IF(ISNUMBER(SEARCH("亿", $A$2)), 100000000,
IF(ISNUMBER(SEARCH("万", $A$2)), 10000, 1))</f>
        <v>0</v>
      </c>
      <c r="C56" s="117">
        <f>ROUND(HLOOKUP($C$3,bs!$C$1:$AA$110,MATCH("*"&amp;A56&amp;"*",bs!$B$1:$B$110,),FALSE),0)/IF(ISNUMBER(SEARCH("亿", $A$2)), 100000000,
IF(ISNUMBER(SEARCH("万", $A$2)), 10000, 1))</f>
        <v>0</v>
      </c>
      <c r="D56" s="117">
        <f>ROUND(HLOOKUP($D$3,bs!$C$1:$AA$110,MATCH("*"&amp;A56&amp;"*",bs!$B$1:$B$110,),FALSE),0)/IF(ISNUMBER(SEARCH("亿", $A$2)), 100000000,
IF(ISNUMBER(SEARCH("万", $A$2)), 10000, 1))</f>
        <v>0</v>
      </c>
      <c r="E56" s="117">
        <f>ROUND(HLOOKUP($E$3,bs!$C$1:$AA$110,MATCH("*"&amp;A56&amp;"*",bs!$B$1:$B$110,),FALSE),0)/IF(ISNUMBER(SEARCH("亿", $A$2)), 100000000,
IF(ISNUMBER(SEARCH("万", $A$2)), 10000, 1))</f>
        <v>0</v>
      </c>
      <c r="H56" s="118">
        <f t="shared" si="1"/>
        <v>0</v>
      </c>
      <c r="I56" t="str">
        <f t="shared" si="14"/>
        <v xml:space="preserve">  短期借款 </v>
      </c>
      <c r="J56" t="str">
        <f t="shared" si="15"/>
        <v>2021年-2023年及2024年12月，拟承租人  短期借款 分别为0.00亿元、0.00亿元、0.00亿元及0.00亿元。</v>
      </c>
      <c r="M56" s="96" t="e">
        <f t="shared" si="16"/>
        <v>#DIV/0!</v>
      </c>
      <c r="N56" s="96" t="e">
        <f t="shared" si="17"/>
        <v>#DIV/0!</v>
      </c>
    </row>
    <row r="57" spans="1:14" ht="15.35" hidden="1">
      <c r="A57" s="116" t="s">
        <v>583</v>
      </c>
      <c r="B57" s="117">
        <f>ROUND(HLOOKUP($B$3,bs!$C$1:$AA$110,MATCH("*"&amp;A57&amp;"*",bs!$B$1:$B$110,),FALSE),0)/IF(ISNUMBER(SEARCH("亿", $A$2)), 100000000,
IF(ISNUMBER(SEARCH("万", $A$2)), 10000, 1))</f>
        <v>0</v>
      </c>
      <c r="C57" s="117">
        <f>ROUND(HLOOKUP($C$3,bs!$C$1:$AA$110,MATCH("*"&amp;A57&amp;"*",bs!$B$1:$B$110,),FALSE),0)/IF(ISNUMBER(SEARCH("亿", $A$2)), 100000000,
IF(ISNUMBER(SEARCH("万", $A$2)), 10000, 1))</f>
        <v>0</v>
      </c>
      <c r="D57" s="117">
        <f>ROUND(HLOOKUP($D$3,bs!$C$1:$AA$110,MATCH("*"&amp;A57&amp;"*",bs!$B$1:$B$110,),FALSE),0)/IF(ISNUMBER(SEARCH("亿", $A$2)), 100000000,
IF(ISNUMBER(SEARCH("万", $A$2)), 10000, 1))</f>
        <v>0</v>
      </c>
      <c r="E57" s="117">
        <f>ROUND(HLOOKUP($E$3,bs!$C$1:$AA$110,MATCH("*"&amp;A57&amp;"*",bs!$B$1:$B$110,),FALSE),0)/IF(ISNUMBER(SEARCH("亿", $A$2)), 100000000,
IF(ISNUMBER(SEARCH("万", $A$2)), 10000, 1))</f>
        <v>0</v>
      </c>
      <c r="H57" s="118">
        <f t="shared" si="1"/>
        <v>0</v>
      </c>
    </row>
    <row r="58" spans="1:14" ht="15.35" hidden="1">
      <c r="A58" s="116" t="s">
        <v>584</v>
      </c>
      <c r="B58" s="117">
        <f>ROUND(HLOOKUP($B$3,bs!$C$1:$AA$110,MATCH("*"&amp;A58&amp;"*",bs!$B$1:$B$110,),FALSE),0)/IF(ISNUMBER(SEARCH("亿", $A$2)), 100000000,
IF(ISNUMBER(SEARCH("万", $A$2)), 10000, 1))</f>
        <v>0</v>
      </c>
      <c r="C58" s="117">
        <f>ROUND(HLOOKUP($C$3,bs!$C$1:$AA$110,MATCH("*"&amp;A58&amp;"*",bs!$B$1:$B$110,),FALSE),0)/IF(ISNUMBER(SEARCH("亿", $A$2)), 100000000,
IF(ISNUMBER(SEARCH("万", $A$2)), 10000, 1))</f>
        <v>0</v>
      </c>
      <c r="D58" s="117">
        <f>ROUND(HLOOKUP($D$3,bs!$C$1:$AA$110,MATCH("*"&amp;A58&amp;"*",bs!$B$1:$B$110,),FALSE),0)/IF(ISNUMBER(SEARCH("亿", $A$2)), 100000000,
IF(ISNUMBER(SEARCH("万", $A$2)), 10000, 1))</f>
        <v>0</v>
      </c>
      <c r="E58" s="117">
        <f>ROUND(HLOOKUP($E$3,bs!$C$1:$AA$110,MATCH("*"&amp;A58&amp;"*",bs!$B$1:$B$110,),FALSE),0)/IF(ISNUMBER(SEARCH("亿", $A$2)), 100000000,
IF(ISNUMBER(SEARCH("万", $A$2)), 10000, 1))</f>
        <v>0</v>
      </c>
      <c r="H58" s="118">
        <f t="shared" si="1"/>
        <v>0</v>
      </c>
    </row>
    <row r="59" spans="1:14" ht="15.35" hidden="1">
      <c r="A59" s="116" t="s">
        <v>585</v>
      </c>
      <c r="B59" s="117">
        <f>ROUND(HLOOKUP($B$3,bs!$C$1:$AA$110,MATCH("*"&amp;A59&amp;"*",bs!$B$1:$B$110,),FALSE),0)/IF(ISNUMBER(SEARCH("亿", $A$2)), 100000000,
IF(ISNUMBER(SEARCH("万", $A$2)), 10000, 1))</f>
        <v>0</v>
      </c>
      <c r="C59" s="117">
        <f>ROUND(HLOOKUP($C$3,bs!$C$1:$AA$110,MATCH("*"&amp;A59&amp;"*",bs!$B$1:$B$110,),FALSE),0)/IF(ISNUMBER(SEARCH("亿", $A$2)), 100000000,
IF(ISNUMBER(SEARCH("万", $A$2)), 10000, 1))</f>
        <v>0</v>
      </c>
      <c r="D59" s="117">
        <f>ROUND(HLOOKUP($D$3,bs!$C$1:$AA$110,MATCH("*"&amp;A59&amp;"*",bs!$B$1:$B$110,),FALSE),0)/IF(ISNUMBER(SEARCH("亿", $A$2)), 100000000,
IF(ISNUMBER(SEARCH("万", $A$2)), 10000, 1))</f>
        <v>0</v>
      </c>
      <c r="E59" s="117">
        <f>ROUND(HLOOKUP($E$3,bs!$C$1:$AA$110,MATCH("*"&amp;A59&amp;"*",bs!$B$1:$B$110,),FALSE),0)/IF(ISNUMBER(SEARCH("亿", $A$2)), 100000000,
IF(ISNUMBER(SEARCH("万", $A$2)), 10000, 1))</f>
        <v>0</v>
      </c>
      <c r="H59" s="118">
        <f t="shared" si="1"/>
        <v>0</v>
      </c>
      <c r="I59" t="str">
        <f>A59</f>
        <v xml:space="preserve">  交易性金融负债 </v>
      </c>
      <c r="J59" t="str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2021年-2023年及2024年12月，拟承租人  交易性金融负债 分别为0.00亿元、0.00亿元、0.00亿元及0.00亿元。</v>
      </c>
      <c r="M59" s="96" t="e">
        <f>(C59-D59)/D59</f>
        <v>#DIV/0!</v>
      </c>
      <c r="N59" s="96" t="e">
        <f>(D59-E59)/E59</f>
        <v>#DIV/0!</v>
      </c>
    </row>
    <row r="60" spans="1:14" ht="15.35" hidden="1">
      <c r="A60" s="116" t="s">
        <v>586</v>
      </c>
      <c r="B60" s="117">
        <f>ROUND(HLOOKUP($B$3,bs!$C$1:$AA$110,MATCH("*"&amp;A60&amp;"*",bs!$B$1:$B$110,),FALSE),0)/IF(ISNUMBER(SEARCH("亿", $A$2)), 100000000,
IF(ISNUMBER(SEARCH("万", $A$2)), 10000, 1))</f>
        <v>0</v>
      </c>
      <c r="C60" s="117">
        <f>ROUND(HLOOKUP($C$3,bs!$C$1:$AA$110,MATCH("*"&amp;A60&amp;"*",bs!$B$1:$B$110,),FALSE),0)/IF(ISNUMBER(SEARCH("亿", $A$2)), 100000000,
IF(ISNUMBER(SEARCH("万", $A$2)), 10000, 1))</f>
        <v>0</v>
      </c>
      <c r="D60" s="117">
        <f>ROUND(HLOOKUP($D$3,bs!$C$1:$AA$110,MATCH("*"&amp;A60&amp;"*",bs!$B$1:$B$110,),FALSE),0)/IF(ISNUMBER(SEARCH("亿", $A$2)), 100000000,
IF(ISNUMBER(SEARCH("万", $A$2)), 10000, 1))</f>
        <v>0</v>
      </c>
      <c r="E60" s="117">
        <f>ROUND(HLOOKUP($E$3,bs!$C$1:$AA$110,MATCH("*"&amp;A60&amp;"*",bs!$B$1:$B$110,),FALSE),0)/IF(ISNUMBER(SEARCH("亿", $A$2)), 100000000,
IF(ISNUMBER(SEARCH("万", $A$2)), 10000, 1))</f>
        <v>0</v>
      </c>
      <c r="H60" s="118">
        <f t="shared" si="1"/>
        <v>0</v>
      </c>
    </row>
    <row r="61" spans="1:14" ht="15.35">
      <c r="A61" s="116" t="s">
        <v>587</v>
      </c>
      <c r="B61" s="117">
        <f>ROUND(HLOOKUP($B$3,bs!$C$1:$AA$110,MATCH("*"&amp;A61&amp;"*",bs!$B$1:$B$110,),FALSE),0)/IF(ISNUMBER(SEARCH("亿", $A$2)), 100000000,
IF(ISNUMBER(SEARCH("万", $A$2)), 10000, 1))</f>
        <v>0</v>
      </c>
      <c r="C61" s="117">
        <f>ROUND(HLOOKUP($C$3,bs!$C$1:$AA$110,MATCH("*"&amp;A61&amp;"*",bs!$B$1:$B$110,),FALSE),0)/IF(ISNUMBER(SEARCH("亿", $A$2)), 100000000,
IF(ISNUMBER(SEARCH("万", $A$2)), 10000, 1))</f>
        <v>0</v>
      </c>
      <c r="D61" s="117">
        <f>ROUND(HLOOKUP($D$3,bs!$C$1:$AA$110,MATCH("*"&amp;A61&amp;"*",bs!$B$1:$B$110,),FALSE),0)/IF(ISNUMBER(SEARCH("亿", $A$2)), 100000000,
IF(ISNUMBER(SEARCH("万", $A$2)), 10000, 1))</f>
        <v>0</v>
      </c>
      <c r="E61" s="117">
        <f>ROUND(HLOOKUP($E$3,bs!$C$1:$AA$110,MATCH("*"&amp;A61&amp;"*",bs!$B$1:$B$110,),FALSE),0)/IF(ISNUMBER(SEARCH("亿", $A$2)), 100000000,
IF(ISNUMBER(SEARCH("万", $A$2)), 10000, 1))</f>
        <v>0</v>
      </c>
      <c r="H61" s="118">
        <f t="shared" si="1"/>
        <v>0</v>
      </c>
      <c r="I61" t="str">
        <f t="shared" ref="I61:I64" si="18">A61</f>
        <v xml:space="preserve">  应付票据 </v>
      </c>
      <c r="J61" t="str">
        <f t="shared" ref="J61:J64" si="19"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2021年-2023年及2024年12月，拟承租人  应付票据 分别为0.00亿元、0.00亿元、0.00亿元及0.00亿元。</v>
      </c>
      <c r="M61" s="96" t="e">
        <f t="shared" ref="M61:M64" si="20">(C61-D61)/D61</f>
        <v>#DIV/0!</v>
      </c>
      <c r="N61" s="96" t="e">
        <f t="shared" ref="N61:N64" si="21">(D61-E61)/E61</f>
        <v>#DIV/0!</v>
      </c>
    </row>
    <row r="62" spans="1:14" ht="15.35">
      <c r="A62" s="116" t="s">
        <v>588</v>
      </c>
      <c r="B62" s="117">
        <f>ROUND(HLOOKUP($B$3,bs!$C$1:$AA$110,MATCH("*"&amp;A62&amp;"*",bs!$B$1:$B$110,),FALSE),0)/IF(ISNUMBER(SEARCH("亿", $A$2)), 100000000,
IF(ISNUMBER(SEARCH("万", $A$2)), 10000, 1))</f>
        <v>0</v>
      </c>
      <c r="C62" s="117">
        <f>ROUND(HLOOKUP($C$3,bs!$C$1:$AA$110,MATCH("*"&amp;A62&amp;"*",bs!$B$1:$B$110,),FALSE),0)/IF(ISNUMBER(SEARCH("亿", $A$2)), 100000000,
IF(ISNUMBER(SEARCH("万", $A$2)), 10000, 1))</f>
        <v>0</v>
      </c>
      <c r="D62" s="117">
        <f>ROUND(HLOOKUP($D$3,bs!$C$1:$AA$110,MATCH("*"&amp;A62&amp;"*",bs!$B$1:$B$110,),FALSE),0)/IF(ISNUMBER(SEARCH("亿", $A$2)), 100000000,
IF(ISNUMBER(SEARCH("万", $A$2)), 10000, 1))</f>
        <v>0</v>
      </c>
      <c r="E62" s="117">
        <f>ROUND(HLOOKUP($E$3,bs!$C$1:$AA$110,MATCH("*"&amp;A62&amp;"*",bs!$B$1:$B$110,),FALSE),0)/IF(ISNUMBER(SEARCH("亿", $A$2)), 100000000,
IF(ISNUMBER(SEARCH("万", $A$2)), 10000, 1))</f>
        <v>0</v>
      </c>
      <c r="H62" s="118">
        <f t="shared" si="1"/>
        <v>0</v>
      </c>
      <c r="I62" t="str">
        <f t="shared" si="18"/>
        <v xml:space="preserve">  应付账款 </v>
      </c>
      <c r="J62" t="str">
        <f t="shared" si="19"/>
        <v>2021年-2023年及2024年12月，拟承租人  应付账款 分别为0.00亿元、0.00亿元、0.00亿元及0.00亿元。</v>
      </c>
      <c r="M62" s="96" t="e">
        <f t="shared" si="20"/>
        <v>#DIV/0!</v>
      </c>
      <c r="N62" s="96" t="e">
        <f t="shared" si="21"/>
        <v>#DIV/0!</v>
      </c>
    </row>
    <row r="63" spans="1:14" ht="15.35" hidden="1">
      <c r="A63" s="116" t="s">
        <v>589</v>
      </c>
      <c r="B63" s="117">
        <f>ROUND(HLOOKUP($B$3,bs!$C$1:$AA$110,MATCH("*"&amp;A63&amp;"*",bs!$B$1:$B$110,),FALSE),0)/IF(ISNUMBER(SEARCH("亿", $A$2)), 100000000,
IF(ISNUMBER(SEARCH("万", $A$2)), 10000, 1))</f>
        <v>0</v>
      </c>
      <c r="C63" s="117">
        <f>ROUND(HLOOKUP($C$3,bs!$C$1:$AA$110,MATCH("*"&amp;A63&amp;"*",bs!$B$1:$B$110,),FALSE),0)/IF(ISNUMBER(SEARCH("亿", $A$2)), 100000000,
IF(ISNUMBER(SEARCH("万", $A$2)), 10000, 1))</f>
        <v>0</v>
      </c>
      <c r="D63" s="117">
        <f>ROUND(HLOOKUP($D$3,bs!$C$1:$AA$110,MATCH("*"&amp;A63&amp;"*",bs!$B$1:$B$110,),FALSE),0)/IF(ISNUMBER(SEARCH("亿", $A$2)), 100000000,
IF(ISNUMBER(SEARCH("万", $A$2)), 10000, 1))</f>
        <v>0</v>
      </c>
      <c r="E63" s="117">
        <f>ROUND(HLOOKUP($E$3,bs!$C$1:$AA$110,MATCH("*"&amp;A63&amp;"*",bs!$B$1:$B$110,),FALSE),0)/IF(ISNUMBER(SEARCH("亿", $A$2)), 100000000,
IF(ISNUMBER(SEARCH("万", $A$2)), 10000, 1))</f>
        <v>0</v>
      </c>
      <c r="H63" s="118">
        <f t="shared" si="1"/>
        <v>0</v>
      </c>
      <c r="I63" t="str">
        <f t="shared" si="18"/>
        <v xml:space="preserve">  预收款项 </v>
      </c>
      <c r="J63" t="str">
        <f t="shared" si="19"/>
        <v>2021年-2023年及2024年12月，拟承租人  预收款项 分别为0.00亿元、0.00亿元、0.00亿元及0.00亿元。</v>
      </c>
      <c r="M63" s="96" t="e">
        <f t="shared" si="20"/>
        <v>#DIV/0!</v>
      </c>
      <c r="N63" s="96" t="e">
        <f t="shared" si="21"/>
        <v>#DIV/0!</v>
      </c>
    </row>
    <row r="64" spans="1:14" ht="15.35">
      <c r="A64" s="116" t="s">
        <v>590</v>
      </c>
      <c r="B64" s="117">
        <f>ROUND(HLOOKUP($B$3,bs!$C$1:$AA$110,MATCH("*"&amp;A64&amp;"*",bs!$B$1:$B$110,),FALSE),0)/IF(ISNUMBER(SEARCH("亿", $A$2)), 100000000,
IF(ISNUMBER(SEARCH("万", $A$2)), 10000, 1))</f>
        <v>0</v>
      </c>
      <c r="C64" s="117">
        <f>ROUND(HLOOKUP($C$3,bs!$C$1:$AA$110,MATCH("*"&amp;A64&amp;"*",bs!$B$1:$B$110,),FALSE),0)/IF(ISNUMBER(SEARCH("亿", $A$2)), 100000000,
IF(ISNUMBER(SEARCH("万", $A$2)), 10000, 1))</f>
        <v>0</v>
      </c>
      <c r="D64" s="117">
        <f>ROUND(HLOOKUP($D$3,bs!$C$1:$AA$110,MATCH("*"&amp;A64&amp;"*",bs!$B$1:$B$110,),FALSE),0)/IF(ISNUMBER(SEARCH("亿", $A$2)), 100000000,
IF(ISNUMBER(SEARCH("万", $A$2)), 10000, 1))</f>
        <v>0</v>
      </c>
      <c r="E64" s="117">
        <f>ROUND(HLOOKUP($E$3,bs!$C$1:$AA$110,MATCH("*"&amp;A64&amp;"*",bs!$B$1:$B$110,),FALSE),0)/IF(ISNUMBER(SEARCH("亿", $A$2)), 100000000,
IF(ISNUMBER(SEARCH("万", $A$2)), 10000, 1))</f>
        <v>0</v>
      </c>
      <c r="H64" s="118">
        <f t="shared" si="1"/>
        <v>0</v>
      </c>
      <c r="I64" t="str">
        <f t="shared" si="18"/>
        <v xml:space="preserve">  合同负债 </v>
      </c>
      <c r="J64" t="str">
        <f t="shared" si="19"/>
        <v>2021年-2023年及2024年12月，拟承租人  合同负债 分别为0.00亿元、0.00亿元、0.00亿元及0.00亿元。</v>
      </c>
      <c r="M64" s="96" t="e">
        <f t="shared" si="20"/>
        <v>#DIV/0!</v>
      </c>
      <c r="N64" s="96" t="e">
        <f t="shared" si="21"/>
        <v>#DIV/0!</v>
      </c>
    </row>
    <row r="65" spans="1:14" ht="15.35" hidden="1">
      <c r="A65" s="116" t="s">
        <v>591</v>
      </c>
      <c r="B65" s="117">
        <f>ROUND(HLOOKUP($B$3,bs!$C$1:$AA$110,MATCH("*"&amp;A65&amp;"*",bs!$B$1:$B$110,),FALSE),0)/IF(ISNUMBER(SEARCH("亿", $A$2)), 100000000,
IF(ISNUMBER(SEARCH("万", $A$2)), 10000, 1))</f>
        <v>0</v>
      </c>
      <c r="C65" s="117">
        <f>ROUND(HLOOKUP($C$3,bs!$C$1:$AA$110,MATCH("*"&amp;A65&amp;"*",bs!$B$1:$B$110,),FALSE),0)/IF(ISNUMBER(SEARCH("亿", $A$2)), 100000000,
IF(ISNUMBER(SEARCH("万", $A$2)), 10000, 1))</f>
        <v>0</v>
      </c>
      <c r="D65" s="117">
        <f>ROUND(HLOOKUP($D$3,bs!$C$1:$AA$110,MATCH("*"&amp;A65&amp;"*",bs!$B$1:$B$110,),FALSE),0)/IF(ISNUMBER(SEARCH("亿", $A$2)), 100000000,
IF(ISNUMBER(SEARCH("万", $A$2)), 10000, 1))</f>
        <v>0</v>
      </c>
      <c r="E65" s="117">
        <f>ROUND(HLOOKUP($E$3,bs!$C$1:$AA$110,MATCH("*"&amp;A65&amp;"*",bs!$B$1:$B$110,),FALSE),0)/IF(ISNUMBER(SEARCH("亿", $A$2)), 100000000,
IF(ISNUMBER(SEARCH("万", $A$2)), 10000, 1))</f>
        <v>0</v>
      </c>
      <c r="H65" s="118">
        <f t="shared" si="1"/>
        <v>0</v>
      </c>
    </row>
    <row r="66" spans="1:14" ht="15.35" hidden="1">
      <c r="A66" s="116" t="s">
        <v>592</v>
      </c>
      <c r="B66" s="117">
        <f>ROUND(HLOOKUP($B$3,bs!$C$1:$AA$110,MATCH("*"&amp;A66&amp;"*",bs!$B$1:$B$110,),FALSE),0)/IF(ISNUMBER(SEARCH("亿", $A$2)), 100000000,
IF(ISNUMBER(SEARCH("万", $A$2)), 10000, 1))</f>
        <v>0</v>
      </c>
      <c r="C66" s="117">
        <f>ROUND(HLOOKUP($C$3,bs!$C$1:$AA$110,MATCH("*"&amp;A66&amp;"*",bs!$B$1:$B$110,),FALSE),0)/IF(ISNUMBER(SEARCH("亿", $A$2)), 100000000,
IF(ISNUMBER(SEARCH("万", $A$2)), 10000, 1))</f>
        <v>0</v>
      </c>
      <c r="D66" s="117">
        <f>ROUND(HLOOKUP($D$3,bs!$C$1:$AA$110,MATCH("*"&amp;A66&amp;"*",bs!$B$1:$B$110,),FALSE),0)/IF(ISNUMBER(SEARCH("亿", $A$2)), 100000000,
IF(ISNUMBER(SEARCH("万", $A$2)), 10000, 1))</f>
        <v>0</v>
      </c>
      <c r="E66" s="117">
        <f>ROUND(HLOOKUP($E$3,bs!$C$1:$AA$110,MATCH("*"&amp;A66&amp;"*",bs!$B$1:$B$110,),FALSE),0)/IF(ISNUMBER(SEARCH("亿", $A$2)), 100000000,
IF(ISNUMBER(SEARCH("万", $A$2)), 10000, 1))</f>
        <v>0</v>
      </c>
      <c r="H66" s="118">
        <f t="shared" si="1"/>
        <v>0</v>
      </c>
    </row>
    <row r="67" spans="1:14" ht="15.35" hidden="1">
      <c r="A67" s="116" t="s">
        <v>593</v>
      </c>
      <c r="B67" s="117">
        <f>ROUND(HLOOKUP($B$3,bs!$C$1:$AA$110,MATCH("*"&amp;A67&amp;"*",bs!$B$1:$B$110,),FALSE),0)/IF(ISNUMBER(SEARCH("亿", $A$2)), 100000000,
IF(ISNUMBER(SEARCH("万", $A$2)), 10000, 1))</f>
        <v>0</v>
      </c>
      <c r="C67" s="117">
        <f>ROUND(HLOOKUP($C$3,bs!$C$1:$AA$110,MATCH("*"&amp;A67&amp;"*",bs!$B$1:$B$110,),FALSE),0)/IF(ISNUMBER(SEARCH("亿", $A$2)), 100000000,
IF(ISNUMBER(SEARCH("万", $A$2)), 10000, 1))</f>
        <v>0</v>
      </c>
      <c r="D67" s="117">
        <f>ROUND(HLOOKUP($D$3,bs!$C$1:$AA$110,MATCH("*"&amp;A67&amp;"*",bs!$B$1:$B$110,),FALSE),0)/IF(ISNUMBER(SEARCH("亿", $A$2)), 100000000,
IF(ISNUMBER(SEARCH("万", $A$2)), 10000, 1))</f>
        <v>0</v>
      </c>
      <c r="E67" s="117">
        <f>ROUND(HLOOKUP($E$3,bs!$C$1:$AA$110,MATCH("*"&amp;A67&amp;"*",bs!$B$1:$B$110,),FALSE),0)/IF(ISNUMBER(SEARCH("亿", $A$2)), 100000000,
IF(ISNUMBER(SEARCH("万", $A$2)), 10000, 1))</f>
        <v>0</v>
      </c>
      <c r="H67" s="118">
        <f t="shared" si="1"/>
        <v>0</v>
      </c>
    </row>
    <row r="68" spans="1:14" ht="15.35" hidden="1">
      <c r="A68" s="116" t="s">
        <v>594</v>
      </c>
      <c r="B68" s="117">
        <f>ROUND(HLOOKUP($B$3,bs!$C$1:$AA$110,MATCH("*"&amp;A68&amp;"*",bs!$B$1:$B$110,),FALSE),0)/IF(ISNUMBER(SEARCH("亿", $A$2)), 100000000,
IF(ISNUMBER(SEARCH("万", $A$2)), 10000, 1))</f>
        <v>0</v>
      </c>
      <c r="C68" s="117">
        <f>ROUND(HLOOKUP($C$3,bs!$C$1:$AA$110,MATCH("*"&amp;A68&amp;"*",bs!$B$1:$B$110,),FALSE),0)/IF(ISNUMBER(SEARCH("亿", $A$2)), 100000000,
IF(ISNUMBER(SEARCH("万", $A$2)), 10000, 1))</f>
        <v>0</v>
      </c>
      <c r="D68" s="117">
        <f>ROUND(HLOOKUP($D$3,bs!$C$1:$AA$110,MATCH("*"&amp;A68&amp;"*",bs!$B$1:$B$110,),FALSE),0)/IF(ISNUMBER(SEARCH("亿", $A$2)), 100000000,
IF(ISNUMBER(SEARCH("万", $A$2)), 10000, 1))</f>
        <v>0</v>
      </c>
      <c r="E68" s="117">
        <f>ROUND(HLOOKUP($E$3,bs!$C$1:$AA$110,MATCH("*"&amp;A68&amp;"*",bs!$B$1:$B$110,),FALSE),0)/IF(ISNUMBER(SEARCH("亿", $A$2)), 100000000,
IF(ISNUMBER(SEARCH("万", $A$2)), 10000, 1))</f>
        <v>0</v>
      </c>
      <c r="H68" s="118">
        <f t="shared" si="1"/>
        <v>0</v>
      </c>
    </row>
    <row r="69" spans="1:14" ht="15.35">
      <c r="A69" s="116" t="s">
        <v>595</v>
      </c>
      <c r="B69" s="117">
        <f>ROUND(HLOOKUP($B$3,bs!$C$1:$AA$110,MATCH("*"&amp;A69&amp;"*",bs!$B$1:$B$110,),FALSE),0)/IF(ISNUMBER(SEARCH("亿", $A$2)), 100000000,
IF(ISNUMBER(SEARCH("万", $A$2)), 10000, 1))</f>
        <v>0</v>
      </c>
      <c r="C69" s="117">
        <f>ROUND(HLOOKUP($C$3,bs!$C$1:$AA$110,MATCH("*"&amp;A69&amp;"*",bs!$B$1:$B$110,),FALSE),0)/IF(ISNUMBER(SEARCH("亿", $A$2)), 100000000,
IF(ISNUMBER(SEARCH("万", $A$2)), 10000, 1))</f>
        <v>0</v>
      </c>
      <c r="D69" s="117">
        <f>ROUND(HLOOKUP($D$3,bs!$C$1:$AA$110,MATCH("*"&amp;A69&amp;"*",bs!$B$1:$B$110,),FALSE),0)/IF(ISNUMBER(SEARCH("亿", $A$2)), 100000000,
IF(ISNUMBER(SEARCH("万", $A$2)), 10000, 1))</f>
        <v>0</v>
      </c>
      <c r="E69" s="117">
        <f>ROUND(HLOOKUP($E$3,bs!$C$1:$AA$110,MATCH("*"&amp;A69&amp;"*",bs!$B$1:$B$110,),FALSE),0)/IF(ISNUMBER(SEARCH("亿", $A$2)), 100000000,
IF(ISNUMBER(SEARCH("万", $A$2)), 10000, 1))</f>
        <v>0</v>
      </c>
      <c r="H69" s="118">
        <f t="shared" si="1"/>
        <v>0</v>
      </c>
      <c r="I69" t="str">
        <f t="shared" ref="I69:I71" si="22">A69</f>
        <v xml:space="preserve">  应付职工薪酬 </v>
      </c>
      <c r="J69" t="str">
        <f t="shared" ref="J69:J71" si="23"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2021年-2023年及2024年12月，拟承租人  应付职工薪酬 分别为0.00亿元、0.00亿元、0.00亿元及0.00亿元。</v>
      </c>
      <c r="M69" s="96" t="e">
        <f t="shared" ref="M69:M71" si="24">(C69-D69)/D69</f>
        <v>#DIV/0!</v>
      </c>
      <c r="N69" s="96" t="e">
        <f t="shared" ref="N69:N71" si="25">(D69-E69)/E69</f>
        <v>#DIV/0!</v>
      </c>
    </row>
    <row r="70" spans="1:14" ht="15.35">
      <c r="A70" s="116" t="s">
        <v>596</v>
      </c>
      <c r="B70" s="117">
        <f>ROUND(HLOOKUP($B$3,bs!$C$1:$AA$110,MATCH("*"&amp;A70&amp;"*",bs!$B$1:$B$110,),FALSE),0)/IF(ISNUMBER(SEARCH("亿", $A$2)), 100000000,
IF(ISNUMBER(SEARCH("万", $A$2)), 10000, 1))</f>
        <v>0</v>
      </c>
      <c r="C70" s="117">
        <f>ROUND(HLOOKUP($C$3,bs!$C$1:$AA$110,MATCH("*"&amp;A70&amp;"*",bs!$B$1:$B$110,),FALSE),0)/IF(ISNUMBER(SEARCH("亿", $A$2)), 100000000,
IF(ISNUMBER(SEARCH("万", $A$2)), 10000, 1))</f>
        <v>0</v>
      </c>
      <c r="D70" s="117">
        <f>ROUND(HLOOKUP($D$3,bs!$C$1:$AA$110,MATCH("*"&amp;A70&amp;"*",bs!$B$1:$B$110,),FALSE),0)/IF(ISNUMBER(SEARCH("亿", $A$2)), 100000000,
IF(ISNUMBER(SEARCH("万", $A$2)), 10000, 1))</f>
        <v>0</v>
      </c>
      <c r="E70" s="117">
        <f>ROUND(HLOOKUP($E$3,bs!$C$1:$AA$110,MATCH("*"&amp;A70&amp;"*",bs!$B$1:$B$110,),FALSE),0)/IF(ISNUMBER(SEARCH("亿", $A$2)), 100000000,
IF(ISNUMBER(SEARCH("万", $A$2)), 10000, 1))</f>
        <v>0</v>
      </c>
      <c r="H70" s="118">
        <f t="shared" si="1"/>
        <v>0</v>
      </c>
      <c r="I70" t="str">
        <f t="shared" si="22"/>
        <v xml:space="preserve">  应交税费 </v>
      </c>
      <c r="J70" t="str">
        <f t="shared" si="23"/>
        <v>2021年-2023年及2024年12月，拟承租人  应交税费 分别为0.00亿元、0.00亿元、0.00亿元及0.00亿元。</v>
      </c>
      <c r="M70" s="96" t="e">
        <f t="shared" si="24"/>
        <v>#DIV/0!</v>
      </c>
      <c r="N70" s="96" t="e">
        <f t="shared" si="25"/>
        <v>#DIV/0!</v>
      </c>
    </row>
    <row r="71" spans="1:14" ht="15.35">
      <c r="A71" s="116" t="s">
        <v>597</v>
      </c>
      <c r="B71" s="117">
        <f>ROUND(HLOOKUP($B$3,bs!$C$1:$AA$110,MATCH("*"&amp;A71&amp;"*",bs!$B$1:$B$110,),FALSE),0)/IF(ISNUMBER(SEARCH("亿", $A$2)), 100000000,
IF(ISNUMBER(SEARCH("万", $A$2)), 10000, 1))</f>
        <v>0</v>
      </c>
      <c r="C71" s="117">
        <f>ROUND(HLOOKUP($C$3,bs!$C$1:$AA$110,MATCH("*"&amp;A71&amp;"*",bs!$B$1:$B$110,),FALSE),0)/IF(ISNUMBER(SEARCH("亿", $A$2)), 100000000,
IF(ISNUMBER(SEARCH("万", $A$2)), 10000, 1))</f>
        <v>0</v>
      </c>
      <c r="D71" s="117">
        <f>ROUND(HLOOKUP($D$3,bs!$C$1:$AA$110,MATCH("*"&amp;A71&amp;"*",bs!$B$1:$B$110,),FALSE),0)/IF(ISNUMBER(SEARCH("亿", $A$2)), 100000000,
IF(ISNUMBER(SEARCH("万", $A$2)), 10000, 1))</f>
        <v>0</v>
      </c>
      <c r="E71" s="117">
        <f>ROUND(HLOOKUP($E$3,bs!$C$1:$AA$110,MATCH("*"&amp;A71&amp;"*",bs!$B$1:$B$110,),FALSE),0)/IF(ISNUMBER(SEARCH("亿", $A$2)), 100000000,
IF(ISNUMBER(SEARCH("万", $A$2)), 10000, 1))</f>
        <v>0</v>
      </c>
      <c r="H71" s="118">
        <f t="shared" ref="H71:H136" si="26">B71+C71+D71+E71</f>
        <v>0</v>
      </c>
      <c r="I71" t="str">
        <f t="shared" si="22"/>
        <v xml:space="preserve">  其他应付款 </v>
      </c>
      <c r="J71" t="str">
        <f t="shared" si="23"/>
        <v>2021年-2023年及2024年12月，拟承租人  其他应付款 分别为0.00亿元、0.00亿元、0.00亿元及0.00亿元。</v>
      </c>
      <c r="M71" s="96" t="e">
        <f t="shared" si="24"/>
        <v>#DIV/0!</v>
      </c>
      <c r="N71" s="96" t="e">
        <f t="shared" si="25"/>
        <v>#DIV/0!</v>
      </c>
    </row>
    <row r="72" spans="1:14" ht="15.35" hidden="1">
      <c r="A72" s="116" t="s">
        <v>598</v>
      </c>
      <c r="B72" s="117">
        <f>ROUND(HLOOKUP($B$3,bs!$C$1:$AA$110,MATCH("*"&amp;A72&amp;"*",bs!$B$1:$B$110,),FALSE),0)/IF(ISNUMBER(SEARCH("亿", $A$2)), 100000000,
IF(ISNUMBER(SEARCH("万", $A$2)), 10000, 1))</f>
        <v>0</v>
      </c>
      <c r="C72" s="117">
        <f>ROUND(HLOOKUP($C$3,bs!$C$1:$AA$110,MATCH("*"&amp;A72&amp;"*",bs!$B$1:$B$110,),FALSE),0)/IF(ISNUMBER(SEARCH("亿", $A$2)), 100000000,
IF(ISNUMBER(SEARCH("万", $A$2)), 10000, 1))</f>
        <v>0</v>
      </c>
      <c r="D72" s="117">
        <f>ROUND(HLOOKUP($D$3,bs!$C$1:$AA$110,MATCH("*"&amp;A72&amp;"*",bs!$B$1:$B$110,),FALSE),0)/IF(ISNUMBER(SEARCH("亿", $A$2)), 100000000,
IF(ISNUMBER(SEARCH("万", $A$2)), 10000, 1))</f>
        <v>0</v>
      </c>
      <c r="E72" s="117">
        <f>ROUND(HLOOKUP($E$3,bs!$C$1:$AA$110,MATCH("*"&amp;A72&amp;"*",bs!$B$1:$B$110,),FALSE),0)/IF(ISNUMBER(SEARCH("亿", $A$2)), 100000000,
IF(ISNUMBER(SEARCH("万", $A$2)), 10000, 1))</f>
        <v>0</v>
      </c>
      <c r="H72" s="118">
        <f t="shared" si="26"/>
        <v>0</v>
      </c>
    </row>
    <row r="73" spans="1:14" ht="15.35" hidden="1">
      <c r="A73" s="116" t="s">
        <v>599</v>
      </c>
      <c r="B73" s="117">
        <f>ROUND(HLOOKUP($B$3,bs!$C$1:$AA$110,MATCH("*"&amp;A73&amp;"*",bs!$B$1:$B$110,),FALSE),0)/IF(ISNUMBER(SEARCH("亿", $A$2)), 100000000,
IF(ISNUMBER(SEARCH("万", $A$2)), 10000, 1))</f>
        <v>0</v>
      </c>
      <c r="C73" s="117">
        <f>ROUND(HLOOKUP($C$3,bs!$C$1:$AA$110,MATCH("*"&amp;A73&amp;"*",bs!$B$1:$B$110,),FALSE),0)/IF(ISNUMBER(SEARCH("亿", $A$2)), 100000000,
IF(ISNUMBER(SEARCH("万", $A$2)), 10000, 1))</f>
        <v>0</v>
      </c>
      <c r="D73" s="117">
        <f>ROUND(HLOOKUP($D$3,bs!$C$1:$AA$110,MATCH("*"&amp;A73&amp;"*",bs!$B$1:$B$110,),FALSE),0)/IF(ISNUMBER(SEARCH("亿", $A$2)), 100000000,
IF(ISNUMBER(SEARCH("万", $A$2)), 10000, 1))</f>
        <v>0</v>
      </c>
      <c r="E73" s="117">
        <f>ROUND(HLOOKUP($E$3,bs!$C$1:$AA$110,MATCH("*"&amp;A73&amp;"*",bs!$B$1:$B$110,),FALSE),0)/IF(ISNUMBER(SEARCH("亿", $A$2)), 100000000,
IF(ISNUMBER(SEARCH("万", $A$2)), 10000, 1))</f>
        <v>0</v>
      </c>
      <c r="H73" s="118">
        <f t="shared" si="26"/>
        <v>0</v>
      </c>
    </row>
    <row r="74" spans="1:14" ht="15.35" hidden="1">
      <c r="A74" s="116" t="s">
        <v>600</v>
      </c>
      <c r="B74" s="117">
        <f>ROUND(HLOOKUP($B$3,bs!$C$1:$AA$110,MATCH("*"&amp;A74&amp;"*",bs!$B$1:$B$110,),FALSE),0)/IF(ISNUMBER(SEARCH("亿", $A$2)), 100000000,
IF(ISNUMBER(SEARCH("万", $A$2)), 10000, 1))</f>
        <v>0</v>
      </c>
      <c r="C74" s="117">
        <f>ROUND(HLOOKUP($C$3,bs!$C$1:$AA$110,MATCH("*"&amp;A74&amp;"*",bs!$B$1:$B$110,),FALSE),0)/IF(ISNUMBER(SEARCH("亿", $A$2)), 100000000,
IF(ISNUMBER(SEARCH("万", $A$2)), 10000, 1))</f>
        <v>0</v>
      </c>
      <c r="D74" s="117">
        <f>ROUND(HLOOKUP($D$3,bs!$C$1:$AA$110,MATCH("*"&amp;A74&amp;"*",bs!$B$1:$B$110,),FALSE),0)/IF(ISNUMBER(SEARCH("亿", $A$2)), 100000000,
IF(ISNUMBER(SEARCH("万", $A$2)), 10000, 1))</f>
        <v>0</v>
      </c>
      <c r="E74" s="117">
        <f>ROUND(HLOOKUP($E$3,bs!$C$1:$AA$110,MATCH("*"&amp;A74&amp;"*",bs!$B$1:$B$110,),FALSE),0)/IF(ISNUMBER(SEARCH("亿", $A$2)), 100000000,
IF(ISNUMBER(SEARCH("万", $A$2)), 10000, 1))</f>
        <v>0</v>
      </c>
      <c r="H74" s="118">
        <f t="shared" si="26"/>
        <v>0</v>
      </c>
    </row>
    <row r="75" spans="1:14" ht="15.35" hidden="1">
      <c r="A75" s="116" t="s">
        <v>601</v>
      </c>
      <c r="B75" s="117">
        <f>ROUND(HLOOKUP($B$3,bs!$C$1:$AA$110,MATCH("*"&amp;A75&amp;"*",bs!$B$1:$B$110,),FALSE),0)/IF(ISNUMBER(SEARCH("亿", $A$2)), 100000000,
IF(ISNUMBER(SEARCH("万", $A$2)), 10000, 1))</f>
        <v>0</v>
      </c>
      <c r="C75" s="117">
        <f>ROUND(HLOOKUP($C$3,bs!$C$1:$AA$110,MATCH("*"&amp;A75&amp;"*",bs!$B$1:$B$110,),FALSE),0)/IF(ISNUMBER(SEARCH("亿", $A$2)), 100000000,
IF(ISNUMBER(SEARCH("万", $A$2)), 10000, 1))</f>
        <v>0</v>
      </c>
      <c r="D75" s="117">
        <f>ROUND(HLOOKUP($D$3,bs!$C$1:$AA$110,MATCH("*"&amp;A75&amp;"*",bs!$B$1:$B$110,),FALSE),0)/IF(ISNUMBER(SEARCH("亿", $A$2)), 100000000,
IF(ISNUMBER(SEARCH("万", $A$2)), 10000, 1))</f>
        <v>0</v>
      </c>
      <c r="E75" s="117">
        <f>ROUND(HLOOKUP($E$3,bs!$C$1:$AA$110,MATCH("*"&amp;A75&amp;"*",bs!$B$1:$B$110,),FALSE),0)/IF(ISNUMBER(SEARCH("亿", $A$2)), 100000000,
IF(ISNUMBER(SEARCH("万", $A$2)), 10000, 1))</f>
        <v>0</v>
      </c>
      <c r="H75" s="118">
        <f t="shared" si="26"/>
        <v>0</v>
      </c>
    </row>
    <row r="76" spans="1:14" ht="15.35" hidden="1">
      <c r="A76" s="116" t="s">
        <v>602</v>
      </c>
      <c r="B76" s="117">
        <f>ROUND(HLOOKUP($B$3,bs!$C$1:$AA$110,MATCH("*"&amp;A76&amp;"*",bs!$B$1:$B$110,),FALSE),0)/IF(ISNUMBER(SEARCH("亿", $A$2)), 100000000,
IF(ISNUMBER(SEARCH("万", $A$2)), 10000, 1))</f>
        <v>0</v>
      </c>
      <c r="C76" s="117">
        <f>ROUND(HLOOKUP($C$3,bs!$C$1:$AA$110,MATCH("*"&amp;A76&amp;"*",bs!$B$1:$B$110,),FALSE),0)/IF(ISNUMBER(SEARCH("亿", $A$2)), 100000000,
IF(ISNUMBER(SEARCH("万", $A$2)), 10000, 1))</f>
        <v>0</v>
      </c>
      <c r="D76" s="117">
        <f>ROUND(HLOOKUP($D$3,bs!$C$1:$AA$110,MATCH("*"&amp;A76&amp;"*",bs!$B$1:$B$110,),FALSE),0)/IF(ISNUMBER(SEARCH("亿", $A$2)), 100000000,
IF(ISNUMBER(SEARCH("万", $A$2)), 10000, 1))</f>
        <v>0</v>
      </c>
      <c r="E76" s="117">
        <f>ROUND(HLOOKUP($E$3,bs!$C$1:$AA$110,MATCH("*"&amp;A76&amp;"*",bs!$B$1:$B$110,),FALSE),0)/IF(ISNUMBER(SEARCH("亿", $A$2)), 100000000,
IF(ISNUMBER(SEARCH("万", $A$2)), 10000, 1))</f>
        <v>0</v>
      </c>
      <c r="H76" s="118">
        <f t="shared" si="26"/>
        <v>0</v>
      </c>
    </row>
    <row r="77" spans="1:14" ht="15.35">
      <c r="A77" s="116" t="s">
        <v>603</v>
      </c>
      <c r="B77" s="117">
        <f>ROUND(HLOOKUP($B$3,bs!$C$1:$AA$110,MATCH("*"&amp;A77&amp;"*",bs!$B$1:$B$110,),FALSE),0)/IF(ISNUMBER(SEARCH("亿", $A$2)), 100000000,
IF(ISNUMBER(SEARCH("万", $A$2)), 10000, 1))</f>
        <v>0</v>
      </c>
      <c r="C77" s="117">
        <f>ROUND(HLOOKUP($C$3,bs!$C$1:$AA$110,MATCH("*"&amp;A77&amp;"*",bs!$B$1:$B$110,),FALSE),0)/IF(ISNUMBER(SEARCH("亿", $A$2)), 100000000,
IF(ISNUMBER(SEARCH("万", $A$2)), 10000, 1))</f>
        <v>0</v>
      </c>
      <c r="D77" s="117">
        <f>ROUND(HLOOKUP($D$3,bs!$C$1:$AA$110,MATCH("*"&amp;A77&amp;"*",bs!$B$1:$B$110,),FALSE),0)/IF(ISNUMBER(SEARCH("亿", $A$2)), 100000000,
IF(ISNUMBER(SEARCH("万", $A$2)), 10000, 1))</f>
        <v>0</v>
      </c>
      <c r="E77" s="117">
        <f>ROUND(HLOOKUP($E$3,bs!$C$1:$AA$110,MATCH("*"&amp;A77&amp;"*",bs!$B$1:$B$110,),FALSE),0)/IF(ISNUMBER(SEARCH("亿", $A$2)), 100000000,
IF(ISNUMBER(SEARCH("万", $A$2)), 10000, 1))</f>
        <v>0</v>
      </c>
      <c r="H77" s="118">
        <f t="shared" si="26"/>
        <v>0</v>
      </c>
      <c r="I77" t="str">
        <f t="shared" ref="I77:I79" si="27">A77</f>
        <v xml:space="preserve">  一年内到期的非流动负债 </v>
      </c>
      <c r="J77" t="str">
        <f t="shared" ref="J77:J79" si="28"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2021年-2023年及2024年12月，拟承租人  一年内到期的非流动负债 分别为0.00亿元、0.00亿元、0.00亿元及0.00亿元。</v>
      </c>
      <c r="M77" s="96" t="e">
        <f t="shared" ref="M77:M79" si="29">(C77-D77)/D77</f>
        <v>#DIV/0!</v>
      </c>
      <c r="N77" s="96" t="e">
        <f t="shared" ref="N77:N79" si="30">(D77-E77)/E77</f>
        <v>#DIV/0!</v>
      </c>
    </row>
    <row r="78" spans="1:14" ht="15.35">
      <c r="A78" s="116" t="s">
        <v>604</v>
      </c>
      <c r="B78" s="117">
        <f>ROUND(HLOOKUP($B$3,bs!$C$1:$AA$110,MATCH("*"&amp;A78&amp;"*",bs!$B$1:$B$110,),FALSE),0)/IF(ISNUMBER(SEARCH("亿", $A$2)), 100000000,
IF(ISNUMBER(SEARCH("万", $A$2)), 10000, 1))</f>
        <v>0</v>
      </c>
      <c r="C78" s="117">
        <f>ROUND(HLOOKUP($C$3,bs!$C$1:$AA$110,MATCH("*"&amp;A78&amp;"*",bs!$B$1:$B$110,),FALSE),0)/IF(ISNUMBER(SEARCH("亿", $A$2)), 100000000,
IF(ISNUMBER(SEARCH("万", $A$2)), 10000, 1))</f>
        <v>0</v>
      </c>
      <c r="D78" s="117">
        <f>ROUND(HLOOKUP($D$3,bs!$C$1:$AA$110,MATCH("*"&amp;A78&amp;"*",bs!$B$1:$B$110,),FALSE),0)/IF(ISNUMBER(SEARCH("亿", $A$2)), 100000000,
IF(ISNUMBER(SEARCH("万", $A$2)), 10000, 1))</f>
        <v>0</v>
      </c>
      <c r="E78" s="117">
        <f>ROUND(HLOOKUP($E$3,bs!$C$1:$AA$110,MATCH("*"&amp;A78&amp;"*",bs!$B$1:$B$110,),FALSE),0)/IF(ISNUMBER(SEARCH("亿", $A$2)), 100000000,
IF(ISNUMBER(SEARCH("万", $A$2)), 10000, 1))</f>
        <v>0</v>
      </c>
      <c r="H78" s="118">
        <f t="shared" si="26"/>
        <v>0</v>
      </c>
      <c r="I78" t="str">
        <f t="shared" si="27"/>
        <v xml:space="preserve">  其他流动负债 </v>
      </c>
      <c r="J78" t="str">
        <f t="shared" si="28"/>
        <v>2021年-2023年及2024年12月，拟承租人  其他流动负债 分别为0.00亿元、0.00亿元、0.00亿元及0.00亿元。</v>
      </c>
      <c r="M78" s="96" t="e">
        <f t="shared" si="29"/>
        <v>#DIV/0!</v>
      </c>
      <c r="N78" s="96" t="e">
        <f t="shared" si="30"/>
        <v>#DIV/0!</v>
      </c>
    </row>
    <row r="79" spans="1:14" ht="15.35">
      <c r="A79" s="119" t="s">
        <v>605</v>
      </c>
      <c r="B79" s="117">
        <f>ROUND(HLOOKUP($B$3,bs!$C$1:$AA$110,MATCH("*"&amp;A79&amp;"*",bs!$B$1:$B$110,),FALSE),0)/IF(ISNUMBER(SEARCH("亿", $A$2)), 100000000,
IF(ISNUMBER(SEARCH("万", $A$2)), 10000, 1))</f>
        <v>0</v>
      </c>
      <c r="C79" s="117">
        <f>ROUND(HLOOKUP($C$3,bs!$C$1:$AA$110,MATCH("*"&amp;A79&amp;"*",bs!$B$1:$B$110,),FALSE),0)/IF(ISNUMBER(SEARCH("亿", $A$2)), 100000000,
IF(ISNUMBER(SEARCH("万", $A$2)), 10000, 1))</f>
        <v>0</v>
      </c>
      <c r="D79" s="117">
        <f>ROUND(HLOOKUP($D$3,bs!$C$1:$AA$110,MATCH("*"&amp;A79&amp;"*",bs!$B$1:$B$110,),FALSE),0)/IF(ISNUMBER(SEARCH("亿", $A$2)), 100000000,
IF(ISNUMBER(SEARCH("万", $A$2)), 10000, 1))</f>
        <v>0</v>
      </c>
      <c r="E79" s="117">
        <f>ROUND(HLOOKUP($E$3,bs!$C$1:$AA$110,MATCH("*"&amp;A79&amp;"*",bs!$B$1:$B$110,),FALSE),0)/IF(ISNUMBER(SEARCH("亿", $A$2)), 100000000,
IF(ISNUMBER(SEARCH("万", $A$2)), 10000, 1))</f>
        <v>0</v>
      </c>
      <c r="H79" s="118">
        <f t="shared" si="26"/>
        <v>0</v>
      </c>
      <c r="I79" t="str">
        <f t="shared" si="27"/>
        <v>流动负债合计</v>
      </c>
      <c r="J79" t="str">
        <f t="shared" si="28"/>
        <v>2021年-2023年及2024年12月，拟承租人流动负债合计分别为0.00亿元、0.00亿元、0.00亿元及0.00亿元。</v>
      </c>
      <c r="M79" s="96" t="e">
        <f t="shared" si="29"/>
        <v>#DIV/0!</v>
      </c>
      <c r="N79" s="96" t="e">
        <f t="shared" si="30"/>
        <v>#DIV/0!</v>
      </c>
    </row>
    <row r="80" spans="1:14" ht="15.35" hidden="1">
      <c r="A80" s="116" t="s">
        <v>606</v>
      </c>
      <c r="B80" s="117">
        <f>ROUND(HLOOKUP($B$3,bs!$C$1:$AA$110,MATCH("*"&amp;A80&amp;"*",bs!$B$1:$B$110,),FALSE),0)/IF(ISNUMBER(SEARCH("亿", $A$2)), 100000000,
IF(ISNUMBER(SEARCH("万", $A$2)), 10000, 1))</f>
        <v>0</v>
      </c>
      <c r="C80" s="117">
        <f>ROUND(HLOOKUP($C$3,bs!$C$1:$AA$110,MATCH("*"&amp;A80&amp;"*",bs!$B$1:$B$110,),FALSE),0)/IF(ISNUMBER(SEARCH("亿", $A$2)), 100000000,
IF(ISNUMBER(SEARCH("万", $A$2)), 10000, 1))</f>
        <v>0</v>
      </c>
      <c r="D80" s="117">
        <f>ROUND(HLOOKUP($D$3,bs!$C$1:$AA$110,MATCH("*"&amp;A80&amp;"*",bs!$B$1:$B$110,),FALSE),0)/IF(ISNUMBER(SEARCH("亿", $A$2)), 100000000,
IF(ISNUMBER(SEARCH("万", $A$2)), 10000, 1))</f>
        <v>0</v>
      </c>
      <c r="E80" s="117">
        <f>ROUND(HLOOKUP($E$3,bs!$C$1:$AA$110,MATCH("*"&amp;A80&amp;"*",bs!$B$1:$B$110,),FALSE),0)/IF(ISNUMBER(SEARCH("亿", $A$2)), 100000000,
IF(ISNUMBER(SEARCH("万", $A$2)), 10000, 1))</f>
        <v>0</v>
      </c>
      <c r="H80" s="118">
        <f t="shared" si="26"/>
        <v>0</v>
      </c>
    </row>
    <row r="81" spans="1:14" ht="15.35">
      <c r="A81" s="116" t="s">
        <v>607</v>
      </c>
      <c r="B81" s="117">
        <f>ROUND(HLOOKUP($B$3,bs!$C$1:$AA$110,MATCH("*"&amp;A81&amp;"*",bs!$B$1:$B$110,),FALSE),0)/IF(ISNUMBER(SEARCH("亿", $A$2)), 100000000,
IF(ISNUMBER(SEARCH("万", $A$2)), 10000, 1))</f>
        <v>0</v>
      </c>
      <c r="C81" s="117">
        <f>ROUND(HLOOKUP($C$3,bs!$C$1:$AA$110,MATCH("*"&amp;A81&amp;"*",bs!$B$1:$B$110,),FALSE),0)/IF(ISNUMBER(SEARCH("亿", $A$2)), 100000000,
IF(ISNUMBER(SEARCH("万", $A$2)), 10000, 1))</f>
        <v>0</v>
      </c>
      <c r="D81" s="117">
        <f>ROUND(HLOOKUP($D$3,bs!$C$1:$AA$110,MATCH("*"&amp;A81&amp;"*",bs!$B$1:$B$110,),FALSE),0)/IF(ISNUMBER(SEARCH("亿", $A$2)), 100000000,
IF(ISNUMBER(SEARCH("万", $A$2)), 10000, 1))</f>
        <v>0</v>
      </c>
      <c r="E81" s="117">
        <f>ROUND(HLOOKUP($E$3,bs!$C$1:$AA$110,MATCH("*"&amp;A81&amp;"*",bs!$B$1:$B$110,),FALSE),0)/IF(ISNUMBER(SEARCH("亿", $A$2)), 100000000,
IF(ISNUMBER(SEARCH("万", $A$2)), 10000, 1))</f>
        <v>0</v>
      </c>
      <c r="H81" s="118">
        <f t="shared" si="26"/>
        <v>0</v>
      </c>
      <c r="I81" t="str">
        <f>A81</f>
        <v xml:space="preserve">  长期借款 </v>
      </c>
      <c r="J81" t="str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2021年-2023年及2024年12月，拟承租人  长期借款 分别为0.00亿元、0.00亿元、0.00亿元及0.00亿元。</v>
      </c>
      <c r="M81" s="96" t="e">
        <f>(C81-D81)/D81</f>
        <v>#DIV/0!</v>
      </c>
      <c r="N81" s="96" t="e">
        <f>(D81-E81)/E81</f>
        <v>#DIV/0!</v>
      </c>
    </row>
    <row r="82" spans="1:14" ht="15.35" hidden="1">
      <c r="A82" s="116" t="s">
        <v>608</v>
      </c>
      <c r="B82" s="117">
        <f>ROUND(HLOOKUP($B$3,bs!$C$1:$AA$110,MATCH("*"&amp;A82&amp;"*",bs!$B$1:$B$110,),FALSE),0)/IF(ISNUMBER(SEARCH("亿", $A$2)), 100000000,
IF(ISNUMBER(SEARCH("万", $A$2)), 10000, 1))</f>
        <v>0</v>
      </c>
      <c r="C82" s="117">
        <f>ROUND(HLOOKUP($C$3,bs!$C$1:$AA$110,MATCH("*"&amp;A82&amp;"*",bs!$B$1:$B$110,),FALSE),0)/IF(ISNUMBER(SEARCH("亿", $A$2)), 100000000,
IF(ISNUMBER(SEARCH("万", $A$2)), 10000, 1))</f>
        <v>0</v>
      </c>
      <c r="D82" s="117">
        <f>ROUND(HLOOKUP($D$3,bs!$C$1:$AA$110,MATCH("*"&amp;A82&amp;"*",bs!$B$1:$B$110,),FALSE),0)/IF(ISNUMBER(SEARCH("亿", $A$2)), 100000000,
IF(ISNUMBER(SEARCH("万", $A$2)), 10000, 1))</f>
        <v>0</v>
      </c>
      <c r="E82" s="117">
        <f>ROUND(HLOOKUP($E$3,bs!$C$1:$AA$110,MATCH("*"&amp;A82&amp;"*",bs!$B$1:$B$110,),FALSE),0)/IF(ISNUMBER(SEARCH("亿", $A$2)), 100000000,
IF(ISNUMBER(SEARCH("万", $A$2)), 10000, 1))</f>
        <v>0</v>
      </c>
      <c r="H82" s="118">
        <f t="shared" si="26"/>
        <v>0</v>
      </c>
    </row>
    <row r="83" spans="1:14" ht="15.35" hidden="1">
      <c r="A83" s="116" t="s">
        <v>389</v>
      </c>
      <c r="B83" s="117">
        <f>ROUND(HLOOKUP($B$3,bs!$C$1:$AA$110,MATCH("*"&amp;A83&amp;"*",bs!$B$1:$B$110,),FALSE),0)/IF(ISNUMBER(SEARCH("亿", $A$2)), 100000000,
IF(ISNUMBER(SEARCH("万", $A$2)), 10000, 1))</f>
        <v>0</v>
      </c>
      <c r="C83" s="117">
        <f>ROUND(HLOOKUP($C$3,bs!$C$1:$AA$110,MATCH("*"&amp;A83&amp;"*",bs!$B$1:$B$110,),FALSE),0)/IF(ISNUMBER(SEARCH("亿", $A$2)), 100000000,
IF(ISNUMBER(SEARCH("万", $A$2)), 10000, 1))</f>
        <v>0</v>
      </c>
      <c r="D83" s="117">
        <f>ROUND(HLOOKUP($D$3,bs!$C$1:$AA$110,MATCH("*"&amp;A83&amp;"*",bs!$B$1:$B$110,),FALSE),0)/IF(ISNUMBER(SEARCH("亿", $A$2)), 100000000,
IF(ISNUMBER(SEARCH("万", $A$2)), 10000, 1))</f>
        <v>0</v>
      </c>
      <c r="E83" s="117">
        <f>ROUND(HLOOKUP($E$3,bs!$C$1:$AA$110,MATCH("*"&amp;A83&amp;"*",bs!$B$1:$B$110,),FALSE),0)/IF(ISNUMBER(SEARCH("亿", $A$2)), 100000000,
IF(ISNUMBER(SEARCH("万", $A$2)), 10000, 1))</f>
        <v>0</v>
      </c>
      <c r="H83" s="118">
        <f t="shared" si="26"/>
        <v>0</v>
      </c>
    </row>
    <row r="84" spans="1:14" ht="15.35" hidden="1">
      <c r="A84" s="116" t="s">
        <v>609</v>
      </c>
      <c r="B84" s="117">
        <f>ROUND(HLOOKUP($B$3,bs!$C$1:$AA$110,MATCH("*"&amp;A84&amp;"*",bs!$B$1:$B$110,),FALSE),0)/IF(ISNUMBER(SEARCH("亿", $A$2)), 100000000,
IF(ISNUMBER(SEARCH("万", $A$2)), 10000, 1))</f>
        <v>0</v>
      </c>
      <c r="C84" s="117">
        <f>ROUND(HLOOKUP($C$3,bs!$C$1:$AA$110,MATCH("*"&amp;A84&amp;"*",bs!$B$1:$B$110,),FALSE),0)/IF(ISNUMBER(SEARCH("亿", $A$2)), 100000000,
IF(ISNUMBER(SEARCH("万", $A$2)), 10000, 1))</f>
        <v>0</v>
      </c>
      <c r="D84" s="117">
        <f>ROUND(HLOOKUP($D$3,bs!$C$1:$AA$110,MATCH("*"&amp;A84&amp;"*",bs!$B$1:$B$110,),FALSE),0)/IF(ISNUMBER(SEARCH("亿", $A$2)), 100000000,
IF(ISNUMBER(SEARCH("万", $A$2)), 10000, 1))</f>
        <v>0</v>
      </c>
      <c r="E84" s="117">
        <f>ROUND(HLOOKUP($E$3,bs!$C$1:$AA$110,MATCH("*"&amp;A84&amp;"*",bs!$B$1:$B$110,),FALSE),0)/IF(ISNUMBER(SEARCH("亿", $A$2)), 100000000,
IF(ISNUMBER(SEARCH("万", $A$2)), 10000, 1))</f>
        <v>0</v>
      </c>
      <c r="H84" s="118">
        <f t="shared" si="26"/>
        <v>0</v>
      </c>
    </row>
    <row r="85" spans="1:14" ht="15.35">
      <c r="A85" s="116" t="s">
        <v>610</v>
      </c>
      <c r="B85" s="117">
        <f>ROUND(HLOOKUP($B$3,bs!$C$1:$AA$110,MATCH("*"&amp;A85&amp;"*",bs!$B$1:$B$110,),FALSE),0)/IF(ISNUMBER(SEARCH("亿", $A$2)), 100000000,
IF(ISNUMBER(SEARCH("万", $A$2)), 10000, 1))</f>
        <v>0</v>
      </c>
      <c r="C85" s="117">
        <f>ROUND(HLOOKUP($C$3,bs!$C$1:$AA$110,MATCH("*"&amp;A85&amp;"*",bs!$B$1:$B$110,),FALSE),0)/IF(ISNUMBER(SEARCH("亿", $A$2)), 100000000,
IF(ISNUMBER(SEARCH("万", $A$2)), 10000, 1))</f>
        <v>0</v>
      </c>
      <c r="D85" s="117">
        <f>ROUND(HLOOKUP($D$3,bs!$C$1:$AA$110,MATCH("*"&amp;A85&amp;"*",bs!$B$1:$B$110,),FALSE),0)/IF(ISNUMBER(SEARCH("亿", $A$2)), 100000000,
IF(ISNUMBER(SEARCH("万", $A$2)), 10000, 1))</f>
        <v>0</v>
      </c>
      <c r="E85" s="117">
        <f>ROUND(HLOOKUP($E$3,bs!$C$1:$AA$110,MATCH("*"&amp;A85&amp;"*",bs!$B$1:$B$110,),FALSE),0)/IF(ISNUMBER(SEARCH("亿", $A$2)), 100000000,
IF(ISNUMBER(SEARCH("万", $A$2)), 10000, 1))</f>
        <v>0</v>
      </c>
      <c r="H85" s="118">
        <f t="shared" si="26"/>
        <v>0</v>
      </c>
      <c r="I85" t="str">
        <f>A85</f>
        <v xml:space="preserve">  租赁负债 </v>
      </c>
      <c r="J85" t="str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2021年-2023年及2024年12月，拟承租人  租赁负债 分别为0.00亿元、0.00亿元、0.00亿元及0.00亿元。</v>
      </c>
      <c r="M85" s="96" t="e">
        <f>(C85-D85)/D85</f>
        <v>#DIV/0!</v>
      </c>
      <c r="N85" s="96" t="e">
        <f>(D85-E85)/E85</f>
        <v>#DIV/0!</v>
      </c>
    </row>
    <row r="86" spans="1:14" ht="15.35" hidden="1">
      <c r="A86" s="116" t="s">
        <v>611</v>
      </c>
      <c r="B86" s="117">
        <f>ROUND(HLOOKUP($B$3,bs!$C$1:$AA$110,MATCH("*"&amp;A86&amp;"*",bs!$B$1:$B$110,),FALSE),0)/IF(ISNUMBER(SEARCH("亿", $A$2)), 100000000,
IF(ISNUMBER(SEARCH("万", $A$2)), 10000, 1))</f>
        <v>0</v>
      </c>
      <c r="C86" s="117">
        <f>ROUND(HLOOKUP($C$3,bs!$C$1:$AA$110,MATCH("*"&amp;A86&amp;"*",bs!$B$1:$B$110,),FALSE),0)/IF(ISNUMBER(SEARCH("亿", $A$2)), 100000000,
IF(ISNUMBER(SEARCH("万", $A$2)), 10000, 1))</f>
        <v>0</v>
      </c>
      <c r="D86" s="117">
        <f>ROUND(HLOOKUP($D$3,bs!$C$1:$AA$110,MATCH("*"&amp;A86&amp;"*",bs!$B$1:$B$110,),FALSE),0)/IF(ISNUMBER(SEARCH("亿", $A$2)), 100000000,
IF(ISNUMBER(SEARCH("万", $A$2)), 10000, 1))</f>
        <v>0</v>
      </c>
      <c r="E86" s="117">
        <f>ROUND(HLOOKUP($E$3,bs!$C$1:$AA$110,MATCH("*"&amp;A86&amp;"*",bs!$B$1:$B$110,),FALSE),0)/IF(ISNUMBER(SEARCH("亿", $A$2)), 100000000,
IF(ISNUMBER(SEARCH("万", $A$2)), 10000, 1))</f>
        <v>0</v>
      </c>
      <c r="H86" s="118">
        <f t="shared" si="26"/>
        <v>0</v>
      </c>
    </row>
    <row r="87" spans="1:14" ht="15.35">
      <c r="A87" s="116" t="s">
        <v>612</v>
      </c>
      <c r="B87" s="117">
        <f>ROUND(HLOOKUP($B$3,bs!$C$1:$AA$110,MATCH("*"&amp;A87&amp;"*",bs!$B$1:$B$110,),FALSE),0)/IF(ISNUMBER(SEARCH("亿", $A$2)), 100000000,
IF(ISNUMBER(SEARCH("万", $A$2)), 10000, 1))</f>
        <v>0</v>
      </c>
      <c r="C87" s="117">
        <f>ROUND(HLOOKUP($C$3,bs!$C$1:$AA$110,MATCH("*"&amp;A87&amp;"*",bs!$B$1:$B$110,),FALSE),0)/IF(ISNUMBER(SEARCH("亿", $A$2)), 100000000,
IF(ISNUMBER(SEARCH("万", $A$2)), 10000, 1))</f>
        <v>0</v>
      </c>
      <c r="D87" s="117">
        <f>ROUND(HLOOKUP($D$3,bs!$C$1:$AA$110,MATCH("*"&amp;A87&amp;"*",bs!$B$1:$B$110,),FALSE),0)/IF(ISNUMBER(SEARCH("亿", $A$2)), 100000000,
IF(ISNUMBER(SEARCH("万", $A$2)), 10000, 1))</f>
        <v>0</v>
      </c>
      <c r="E87" s="117">
        <f>ROUND(HLOOKUP($E$3,bs!$C$1:$AA$110,MATCH("*"&amp;A87&amp;"*",bs!$B$1:$B$110,),FALSE),0)/IF(ISNUMBER(SEARCH("亿", $A$2)), 100000000,
IF(ISNUMBER(SEARCH("万", $A$2)), 10000, 1))</f>
        <v>0</v>
      </c>
      <c r="H87" s="118">
        <f t="shared" si="26"/>
        <v>0</v>
      </c>
      <c r="I87" t="str">
        <f>A87</f>
        <v xml:space="preserve">  长期应付款 </v>
      </c>
      <c r="J87" t="str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2021年-2023年及2024年12月，拟承租人  长期应付款 分别为0.00亿元、0.00亿元、0.00亿元及0.00亿元。</v>
      </c>
      <c r="M87" s="96" t="e">
        <f>(C87-D87)/D87</f>
        <v>#DIV/0!</v>
      </c>
      <c r="N87" s="96" t="e">
        <f>(D87-E87)/E87</f>
        <v>#DIV/0!</v>
      </c>
    </row>
    <row r="88" spans="1:14" ht="15.35" hidden="1">
      <c r="A88" s="116" t="s">
        <v>613</v>
      </c>
      <c r="B88" s="117">
        <f>ROUND(HLOOKUP($B$3,bs!$C$1:$AA$110,MATCH("*"&amp;A88&amp;"*",bs!$B$1:$B$110,),FALSE),0)/IF(ISNUMBER(SEARCH("亿", $A$2)), 100000000,
IF(ISNUMBER(SEARCH("万", $A$2)), 10000, 1))</f>
        <v>0</v>
      </c>
      <c r="C88" s="117">
        <f>ROUND(HLOOKUP($C$3,bs!$C$1:$AA$110,MATCH("*"&amp;A88&amp;"*",bs!$B$1:$B$110,),FALSE),0)/IF(ISNUMBER(SEARCH("亿", $A$2)), 100000000,
IF(ISNUMBER(SEARCH("万", $A$2)), 10000, 1))</f>
        <v>0</v>
      </c>
      <c r="D88" s="117">
        <f>ROUND(HLOOKUP($D$3,bs!$C$1:$AA$110,MATCH("*"&amp;A88&amp;"*",bs!$B$1:$B$110,),FALSE),0)/IF(ISNUMBER(SEARCH("亿", $A$2)), 100000000,
IF(ISNUMBER(SEARCH("万", $A$2)), 10000, 1))</f>
        <v>0</v>
      </c>
      <c r="E88" s="117">
        <f>ROUND(HLOOKUP($E$3,bs!$C$1:$AA$110,MATCH("*"&amp;A88&amp;"*",bs!$B$1:$B$110,),FALSE),0)/IF(ISNUMBER(SEARCH("亿", $A$2)), 100000000,
IF(ISNUMBER(SEARCH("万", $A$2)), 10000, 1))</f>
        <v>0</v>
      </c>
      <c r="H88" s="118">
        <f t="shared" si="26"/>
        <v>0</v>
      </c>
    </row>
    <row r="89" spans="1:14" ht="15.35">
      <c r="A89" s="116" t="s">
        <v>614</v>
      </c>
      <c r="B89" s="117">
        <f>ROUND(HLOOKUP($B$3,bs!$C$1:$AA$110,MATCH("*"&amp;A89&amp;"*",bs!$B$1:$B$110,),FALSE),0)/IF(ISNUMBER(SEARCH("亿", $A$2)), 100000000,
IF(ISNUMBER(SEARCH("万", $A$2)), 10000, 1))</f>
        <v>0</v>
      </c>
      <c r="C89" s="117">
        <f>ROUND(HLOOKUP($C$3,bs!$C$1:$AA$110,MATCH("*"&amp;A89&amp;"*",bs!$B$1:$B$110,),FALSE),0)/IF(ISNUMBER(SEARCH("亿", $A$2)), 100000000,
IF(ISNUMBER(SEARCH("万", $A$2)), 10000, 1))</f>
        <v>0</v>
      </c>
      <c r="D89" s="117">
        <f>ROUND(HLOOKUP($D$3,bs!$C$1:$AA$110,MATCH("*"&amp;A89&amp;"*",bs!$B$1:$B$110,),FALSE),0)/IF(ISNUMBER(SEARCH("亿", $A$2)), 100000000,
IF(ISNUMBER(SEARCH("万", $A$2)), 10000, 1))</f>
        <v>0</v>
      </c>
      <c r="E89" s="117">
        <f>ROUND(HLOOKUP($E$3,bs!$C$1:$AA$110,MATCH("*"&amp;A89&amp;"*",bs!$B$1:$B$110,),FALSE),0)/IF(ISNUMBER(SEARCH("亿", $A$2)), 100000000,
IF(ISNUMBER(SEARCH("万", $A$2)), 10000, 1))</f>
        <v>0</v>
      </c>
      <c r="H89" s="118">
        <f t="shared" si="26"/>
        <v>0</v>
      </c>
    </row>
    <row r="90" spans="1:14" ht="15.35">
      <c r="A90" s="116" t="s">
        <v>615</v>
      </c>
      <c r="B90" s="117">
        <f>ROUND(HLOOKUP($B$3,bs!$C$1:$AA$110,MATCH("*"&amp;A90&amp;"*",bs!$B$1:$B$110,),FALSE),0)/IF(ISNUMBER(SEARCH("亿", $A$2)), 100000000,
IF(ISNUMBER(SEARCH("万", $A$2)), 10000, 1))</f>
        <v>0</v>
      </c>
      <c r="C90" s="117">
        <f>ROUND(HLOOKUP($C$3,bs!$C$1:$AA$110,MATCH("*"&amp;A90&amp;"*",bs!$B$1:$B$110,),FALSE),0)/IF(ISNUMBER(SEARCH("亿", $A$2)), 100000000,
IF(ISNUMBER(SEARCH("万", $A$2)), 10000, 1))</f>
        <v>0</v>
      </c>
      <c r="D90" s="117">
        <f>ROUND(HLOOKUP($D$3,bs!$C$1:$AA$110,MATCH("*"&amp;A90&amp;"*",bs!$B$1:$B$110,),FALSE),0)/IF(ISNUMBER(SEARCH("亿", $A$2)), 100000000,
IF(ISNUMBER(SEARCH("万", $A$2)), 10000, 1))</f>
        <v>0</v>
      </c>
      <c r="E90" s="117">
        <f>ROUND(HLOOKUP($E$3,bs!$C$1:$AA$110,MATCH("*"&amp;A90&amp;"*",bs!$B$1:$B$110,),FALSE),0)/IF(ISNUMBER(SEARCH("亿", $A$2)), 100000000,
IF(ISNUMBER(SEARCH("万", $A$2)), 10000, 1))</f>
        <v>0</v>
      </c>
      <c r="H90" s="118">
        <f t="shared" si="26"/>
        <v>0</v>
      </c>
      <c r="I90" t="str">
        <f t="shared" ref="I90:I91" si="31">A90</f>
        <v xml:space="preserve">  递延收益 </v>
      </c>
      <c r="J90" t="str">
        <f t="shared" ref="J90:J91" si="32"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2021年-2023年及2024年12月，拟承租人  递延收益 分别为0.00亿元、0.00亿元、0.00亿元及0.00亿元。</v>
      </c>
      <c r="M90" s="96" t="e">
        <f t="shared" ref="M90:M91" si="33">(C90-D90)/D90</f>
        <v>#DIV/0!</v>
      </c>
      <c r="N90" s="96" t="e">
        <f t="shared" ref="N90:N91" si="34">(D90-E90)/E90</f>
        <v>#DIV/0!</v>
      </c>
    </row>
    <row r="91" spans="1:14" ht="15.35" hidden="1">
      <c r="A91" s="116" t="s">
        <v>616</v>
      </c>
      <c r="B91" s="117">
        <f>ROUND(HLOOKUP($B$3,bs!$C$1:$AA$110,MATCH("*"&amp;A91&amp;"*",bs!$B$1:$B$110,),FALSE),0)/IF(ISNUMBER(SEARCH("亿", $A$2)), 100000000,
IF(ISNUMBER(SEARCH("万", $A$2)), 10000, 1))</f>
        <v>0</v>
      </c>
      <c r="C91" s="117">
        <f>ROUND(HLOOKUP($C$3,bs!$C$1:$AA$110,MATCH("*"&amp;A91&amp;"*",bs!$B$1:$B$110,),FALSE),0)/IF(ISNUMBER(SEARCH("亿", $A$2)), 100000000,
IF(ISNUMBER(SEARCH("万", $A$2)), 10000, 1))</f>
        <v>0</v>
      </c>
      <c r="D91" s="117">
        <f>ROUND(HLOOKUP($D$3,bs!$C$1:$AA$110,MATCH("*"&amp;A91&amp;"*",bs!$B$1:$B$110,),FALSE),0)/IF(ISNUMBER(SEARCH("亿", $A$2)), 100000000,
IF(ISNUMBER(SEARCH("万", $A$2)), 10000, 1))</f>
        <v>0</v>
      </c>
      <c r="E91" s="117">
        <f>ROUND(HLOOKUP($E$3,bs!$C$1:$AA$110,MATCH("*"&amp;A91&amp;"*",bs!$B$1:$B$110,),FALSE),0)/IF(ISNUMBER(SEARCH("亿", $A$2)), 100000000,
IF(ISNUMBER(SEARCH("万", $A$2)), 10000, 1))</f>
        <v>0</v>
      </c>
      <c r="H91" s="118">
        <f t="shared" si="26"/>
        <v>0</v>
      </c>
      <c r="I91" t="str">
        <f t="shared" si="31"/>
        <v xml:space="preserve">  递延所得税负债 </v>
      </c>
      <c r="J91" t="str">
        <f t="shared" si="32"/>
        <v>2021年-2023年及2024年12月，拟承租人  递延所得税负债 分别为0.00亿元、0.00亿元、0.00亿元及0.00亿元。</v>
      </c>
      <c r="M91" s="96" t="e">
        <f t="shared" si="33"/>
        <v>#DIV/0!</v>
      </c>
      <c r="N91" s="96" t="e">
        <f t="shared" si="34"/>
        <v>#DIV/0!</v>
      </c>
    </row>
    <row r="92" spans="1:14" ht="15.35" hidden="1">
      <c r="A92" s="116" t="s">
        <v>617</v>
      </c>
      <c r="B92" s="117">
        <f>ROUND(HLOOKUP($B$3,bs!$C$1:$AA$110,MATCH("*"&amp;A92&amp;"*",bs!$B$1:$B$110,),FALSE),0)/IF(ISNUMBER(SEARCH("亿", $A$2)), 100000000,
IF(ISNUMBER(SEARCH("万", $A$2)), 10000, 1))</f>
        <v>0</v>
      </c>
      <c r="C92" s="117">
        <f>ROUND(HLOOKUP($C$3,bs!$C$1:$AA$110,MATCH("*"&amp;A92&amp;"*",bs!$B$1:$B$110,),FALSE),0)/IF(ISNUMBER(SEARCH("亿", $A$2)), 100000000,
IF(ISNUMBER(SEARCH("万", $A$2)), 10000, 1))</f>
        <v>0</v>
      </c>
      <c r="D92" s="117">
        <f>ROUND(HLOOKUP($D$3,bs!$C$1:$AA$110,MATCH("*"&amp;A92&amp;"*",bs!$B$1:$B$110,),FALSE),0)/IF(ISNUMBER(SEARCH("亿", $A$2)), 100000000,
IF(ISNUMBER(SEARCH("万", $A$2)), 10000, 1))</f>
        <v>0</v>
      </c>
      <c r="E92" s="117">
        <f>ROUND(HLOOKUP($E$3,bs!$C$1:$AA$110,MATCH("*"&amp;A92&amp;"*",bs!$B$1:$B$110,),FALSE),0)/IF(ISNUMBER(SEARCH("亿", $A$2)), 100000000,
IF(ISNUMBER(SEARCH("万", $A$2)), 10000, 1))</f>
        <v>0</v>
      </c>
      <c r="H92" s="118">
        <f t="shared" si="26"/>
        <v>0</v>
      </c>
    </row>
    <row r="93" spans="1:14" ht="15.35">
      <c r="A93" s="119" t="s">
        <v>618</v>
      </c>
      <c r="B93" s="117">
        <f>ROUND(HLOOKUP($B$3,bs!$C$1:$AA$110,MATCH("*"&amp;A93&amp;"*",bs!$B$1:$B$110,),FALSE),0)/IF(ISNUMBER(SEARCH("亿", $A$2)), 100000000,
IF(ISNUMBER(SEARCH("万", $A$2)), 10000, 1))</f>
        <v>0</v>
      </c>
      <c r="C93" s="117">
        <f>ROUND(HLOOKUP($C$3,bs!$C$1:$AA$110,MATCH("*"&amp;A93&amp;"*",bs!$B$1:$B$110,),FALSE),0)/IF(ISNUMBER(SEARCH("亿", $A$2)), 100000000,
IF(ISNUMBER(SEARCH("万", $A$2)), 10000, 1))</f>
        <v>0</v>
      </c>
      <c r="D93" s="117">
        <f>ROUND(HLOOKUP($D$3,bs!$C$1:$AA$110,MATCH("*"&amp;A93&amp;"*",bs!$B$1:$B$110,),FALSE),0)/IF(ISNUMBER(SEARCH("亿", $A$2)), 100000000,
IF(ISNUMBER(SEARCH("万", $A$2)), 10000, 1))</f>
        <v>0</v>
      </c>
      <c r="E93" s="117">
        <f>ROUND(HLOOKUP($E$3,bs!$C$1:$AA$110,MATCH("*"&amp;A93&amp;"*",bs!$B$1:$B$110,),FALSE),0)/IF(ISNUMBER(SEARCH("亿", $A$2)), 100000000,
IF(ISNUMBER(SEARCH("万", $A$2)), 10000, 1))</f>
        <v>0</v>
      </c>
      <c r="H93" s="118">
        <f t="shared" si="26"/>
        <v>0</v>
      </c>
      <c r="I93" t="str">
        <f t="shared" ref="I93:I95" si="35">A93</f>
        <v>非流动负债合计</v>
      </c>
      <c r="J93" t="str">
        <f t="shared" ref="J93:J95" si="36"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2021年-2023年及2024年12月，拟承租人非流动负债合计分别为0.00亿元、0.00亿元、0.00亿元及0.00亿元。</v>
      </c>
      <c r="M93" s="96" t="e">
        <f t="shared" ref="M93:M95" si="37">(C93-D93)/D93</f>
        <v>#DIV/0!</v>
      </c>
      <c r="N93" s="96" t="e">
        <f t="shared" ref="N93:N95" si="38">(D93-E93)/E93</f>
        <v>#DIV/0!</v>
      </c>
    </row>
    <row r="94" spans="1:14" ht="15.35">
      <c r="A94" s="119" t="s">
        <v>619</v>
      </c>
      <c r="B94" s="117">
        <f>ROUND(HLOOKUP($B$3,bs!$C$1:$AA$110,MATCH("*"&amp;A94&amp;"*",bs!$B$1:$B$110,),FALSE),0)/IF(ISNUMBER(SEARCH("亿", $A$2)), 100000000,
IF(ISNUMBER(SEARCH("万", $A$2)), 10000, 1))</f>
        <v>0</v>
      </c>
      <c r="C94" s="117">
        <f>ROUND(HLOOKUP($C$3,bs!$C$1:$AA$110,MATCH("*"&amp;A94&amp;"*",bs!$B$1:$B$110,),FALSE),0)/IF(ISNUMBER(SEARCH("亿", $A$2)), 100000000,
IF(ISNUMBER(SEARCH("万", $A$2)), 10000, 1))</f>
        <v>0</v>
      </c>
      <c r="D94" s="117">
        <f>ROUND(HLOOKUP($D$3,bs!$C$1:$AA$110,MATCH("*"&amp;A94&amp;"*",bs!$B$1:$B$110,),FALSE),0)/IF(ISNUMBER(SEARCH("亿", $A$2)), 100000000,
IF(ISNUMBER(SEARCH("万", $A$2)), 10000, 1))</f>
        <v>0</v>
      </c>
      <c r="E94" s="117">
        <f>ROUND(HLOOKUP($E$3,bs!$C$1:$AA$110,MATCH("*"&amp;A94&amp;"*",bs!$B$1:$B$110,),FALSE),0)/IF(ISNUMBER(SEARCH("亿", $A$2)), 100000000,
IF(ISNUMBER(SEARCH("万", $A$2)), 10000, 1))</f>
        <v>0</v>
      </c>
      <c r="F94" s="19" t="s">
        <v>620</v>
      </c>
      <c r="H94" s="118">
        <f t="shared" si="26"/>
        <v>0</v>
      </c>
      <c r="I94" s="19" t="s">
        <v>819</v>
      </c>
      <c r="J94" t="str">
        <f t="shared" si="36"/>
        <v>2021年-2023年及2024年12月，拟承租人总负债分别为0.00亿元、0.00亿元、0.00亿元及0.00亿元。</v>
      </c>
      <c r="M94" s="96" t="e">
        <f t="shared" si="37"/>
        <v>#DIV/0!</v>
      </c>
      <c r="N94" s="96" t="e">
        <f t="shared" si="38"/>
        <v>#DIV/0!</v>
      </c>
    </row>
    <row r="95" spans="1:14" ht="15.35">
      <c r="A95" s="116" t="s">
        <v>621</v>
      </c>
      <c r="B95" s="117">
        <f>ROUND(HLOOKUP($B$3,bs!$C$1:$AA$110,MATCH("*"&amp;A95&amp;"*",bs!$B$1:$B$110,),FALSE),0)/IF(ISNUMBER(SEARCH("亿", $A$2)), 100000000,
IF(ISNUMBER(SEARCH("万", $A$2)), 10000, 1))</f>
        <v>0</v>
      </c>
      <c r="C95" s="117">
        <f>ROUND(HLOOKUP($C$3,bs!$C$1:$AA$110,MATCH("*"&amp;A95&amp;"*",bs!$B$1:$B$110,),FALSE),0)/IF(ISNUMBER(SEARCH("亿", $A$2)), 100000000,
IF(ISNUMBER(SEARCH("万", $A$2)), 10000, 1))</f>
        <v>0</v>
      </c>
      <c r="D95" s="117">
        <f>ROUND(HLOOKUP($D$3,bs!$C$1:$AA$110,MATCH("*"&amp;A95&amp;"*",bs!$B$1:$B$110,),FALSE),0)/IF(ISNUMBER(SEARCH("亿", $A$2)), 100000000,
IF(ISNUMBER(SEARCH("万", $A$2)), 10000, 1))</f>
        <v>0</v>
      </c>
      <c r="E95" s="117">
        <f>ROUND(HLOOKUP($E$3,bs!$C$1:$AA$110,MATCH("*"&amp;A95&amp;"*",bs!$B$1:$B$110,),FALSE),0)/IF(ISNUMBER(SEARCH("亿", $A$2)), 100000000,
IF(ISNUMBER(SEARCH("万", $A$2)), 10000, 1))</f>
        <v>0</v>
      </c>
      <c r="H95" s="118">
        <f t="shared" si="26"/>
        <v>0</v>
      </c>
      <c r="I95" t="str">
        <f t="shared" si="35"/>
        <v xml:space="preserve">  实收资本（或股本） </v>
      </c>
      <c r="J95" t="str">
        <f t="shared" si="36"/>
        <v>2021年-2023年及2024年12月，拟承租人  实收资本（或股本） 分别为0.00亿元、0.00亿元、0.00亿元及0.00亿元。</v>
      </c>
      <c r="M95" s="96" t="e">
        <f t="shared" si="37"/>
        <v>#DIV/0!</v>
      </c>
      <c r="N95" s="96" t="e">
        <f t="shared" si="38"/>
        <v>#DIV/0!</v>
      </c>
    </row>
    <row r="96" spans="1:14" ht="15.35" hidden="1">
      <c r="A96" s="116" t="s">
        <v>622</v>
      </c>
      <c r="B96" s="117">
        <f>ROUND(HLOOKUP($B$3,bs!$C$1:$AA$110,MATCH("*"&amp;A96&amp;"*",bs!$B$1:$B$110,),FALSE),0)/IF(ISNUMBER(SEARCH("亿", $A$2)), 100000000,
IF(ISNUMBER(SEARCH("万", $A$2)), 10000, 1))</f>
        <v>0</v>
      </c>
      <c r="C96" s="117">
        <f>ROUND(HLOOKUP($C$3,bs!$C$1:$AA$110,MATCH("*"&amp;A96&amp;"*",bs!$B$1:$B$110,),FALSE),0)/IF(ISNUMBER(SEARCH("亿", $A$2)), 100000000,
IF(ISNUMBER(SEARCH("万", $A$2)), 10000, 1))</f>
        <v>0</v>
      </c>
      <c r="D96" s="117">
        <f>ROUND(HLOOKUP($D$3,bs!$C$1:$AA$110,MATCH("*"&amp;A96&amp;"*",bs!$B$1:$B$110,),FALSE),0)/IF(ISNUMBER(SEARCH("亿", $A$2)), 100000000,
IF(ISNUMBER(SEARCH("万", $A$2)), 10000, 1))</f>
        <v>0</v>
      </c>
      <c r="E96" s="117">
        <f>ROUND(HLOOKUP($E$3,bs!$C$1:$AA$110,MATCH("*"&amp;A96&amp;"*",bs!$B$1:$B$110,),FALSE),0)/IF(ISNUMBER(SEARCH("亿", $A$2)), 100000000,
IF(ISNUMBER(SEARCH("万", $A$2)), 10000, 1))</f>
        <v>0</v>
      </c>
      <c r="H96" s="118">
        <f t="shared" si="26"/>
        <v>0</v>
      </c>
    </row>
    <row r="97" spans="1:14" ht="15.35" hidden="1">
      <c r="A97" s="116" t="s">
        <v>389</v>
      </c>
      <c r="B97" s="117">
        <f>ROUND(HLOOKUP($B$3,bs!$C$1:$AA$110,MATCH("*"&amp;A97&amp;"*",bs!$B$1:$B$110,),FALSE),0)/IF(ISNUMBER(SEARCH("亿", $A$2)), 100000000,
IF(ISNUMBER(SEARCH("万", $A$2)), 10000, 1))</f>
        <v>0</v>
      </c>
      <c r="C97" s="117">
        <f>ROUND(HLOOKUP($C$3,bs!$C$1:$AA$110,MATCH("*"&amp;A97&amp;"*",bs!$B$1:$B$110,),FALSE),0)/IF(ISNUMBER(SEARCH("亿", $A$2)), 100000000,
IF(ISNUMBER(SEARCH("万", $A$2)), 10000, 1))</f>
        <v>0</v>
      </c>
      <c r="D97" s="117">
        <f>ROUND(HLOOKUP($D$3,bs!$C$1:$AA$110,MATCH("*"&amp;A97&amp;"*",bs!$B$1:$B$110,),FALSE),0)/IF(ISNUMBER(SEARCH("亿", $A$2)), 100000000,
IF(ISNUMBER(SEARCH("万", $A$2)), 10000, 1))</f>
        <v>0</v>
      </c>
      <c r="E97" s="117">
        <f>ROUND(HLOOKUP($E$3,bs!$C$1:$AA$110,MATCH("*"&amp;A97&amp;"*",bs!$B$1:$B$110,),FALSE),0)/IF(ISNUMBER(SEARCH("亿", $A$2)), 100000000,
IF(ISNUMBER(SEARCH("万", $A$2)), 10000, 1))</f>
        <v>0</v>
      </c>
      <c r="H97" s="118">
        <f t="shared" si="26"/>
        <v>0</v>
      </c>
    </row>
    <row r="98" spans="1:14" ht="15.35" hidden="1">
      <c r="A98" s="116" t="s">
        <v>609</v>
      </c>
      <c r="B98" s="117">
        <f>ROUND(HLOOKUP($B$3,bs!$C$1:$AA$110,MATCH("*"&amp;A98&amp;"*",bs!$B$1:$B$110,),FALSE),0)/IF(ISNUMBER(SEARCH("亿", $A$2)), 100000000,
IF(ISNUMBER(SEARCH("万", $A$2)), 10000, 1))</f>
        <v>0</v>
      </c>
      <c r="C98" s="117">
        <f>ROUND(HLOOKUP($C$3,bs!$C$1:$AA$110,MATCH("*"&amp;A98&amp;"*",bs!$B$1:$B$110,),FALSE),0)/IF(ISNUMBER(SEARCH("亿", $A$2)), 100000000,
IF(ISNUMBER(SEARCH("万", $A$2)), 10000, 1))</f>
        <v>0</v>
      </c>
      <c r="D98" s="117">
        <f>ROUND(HLOOKUP($D$3,bs!$C$1:$AA$110,MATCH("*"&amp;A98&amp;"*",bs!$B$1:$B$110,),FALSE),0)/IF(ISNUMBER(SEARCH("亿", $A$2)), 100000000,
IF(ISNUMBER(SEARCH("万", $A$2)), 10000, 1))</f>
        <v>0</v>
      </c>
      <c r="E98" s="117">
        <f>ROUND(HLOOKUP($E$3,bs!$C$1:$AA$110,MATCH("*"&amp;A98&amp;"*",bs!$B$1:$B$110,),FALSE),0)/IF(ISNUMBER(SEARCH("亿", $A$2)), 100000000,
IF(ISNUMBER(SEARCH("万", $A$2)), 10000, 1))</f>
        <v>0</v>
      </c>
      <c r="H98" s="118">
        <f t="shared" si="26"/>
        <v>0</v>
      </c>
    </row>
    <row r="99" spans="1:14" ht="15.35">
      <c r="A99" s="116" t="s">
        <v>623</v>
      </c>
      <c r="B99" s="117">
        <f>ROUND(HLOOKUP($B$3,bs!$C$1:$AA$110,MATCH("*"&amp;A99&amp;"*",bs!$B$1:$B$110,),FALSE),0)/IF(ISNUMBER(SEARCH("亿", $A$2)), 100000000,
IF(ISNUMBER(SEARCH("万", $A$2)), 10000, 1))</f>
        <v>0</v>
      </c>
      <c r="C99" s="117">
        <f>ROUND(HLOOKUP($C$3,bs!$C$1:$AA$110,MATCH("*"&amp;A99&amp;"*",bs!$B$1:$B$110,),FALSE),0)/IF(ISNUMBER(SEARCH("亿", $A$2)), 100000000,
IF(ISNUMBER(SEARCH("万", $A$2)), 10000, 1))</f>
        <v>0</v>
      </c>
      <c r="D99" s="117">
        <f>ROUND(HLOOKUP($D$3,bs!$C$1:$AA$110,MATCH("*"&amp;A99&amp;"*",bs!$B$1:$B$110,),FALSE),0)/IF(ISNUMBER(SEARCH("亿", $A$2)), 100000000,
IF(ISNUMBER(SEARCH("万", $A$2)), 10000, 1))</f>
        <v>0</v>
      </c>
      <c r="E99" s="117">
        <f>ROUND(HLOOKUP($E$3,bs!$C$1:$AA$110,MATCH("*"&amp;A99&amp;"*",bs!$B$1:$B$110,),FALSE),0)/IF(ISNUMBER(SEARCH("亿", $A$2)), 100000000,
IF(ISNUMBER(SEARCH("万", $A$2)), 10000, 1))</f>
        <v>0</v>
      </c>
      <c r="H99" s="118">
        <f t="shared" si="26"/>
        <v>0</v>
      </c>
      <c r="I99" t="str">
        <f>A99</f>
        <v xml:space="preserve">  资本公积 </v>
      </c>
      <c r="J99" t="str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2021年-2023年及2024年12月，拟承租人  资本公积 分别为0.00亿元、0.00亿元、0.00亿元及0.00亿元。</v>
      </c>
      <c r="M99" s="96" t="e">
        <f>(C99-D99)/D99</f>
        <v>#DIV/0!</v>
      </c>
      <c r="N99" s="96" t="e">
        <f>(D99-E99)/E99</f>
        <v>#DIV/0!</v>
      </c>
    </row>
    <row r="100" spans="1:14" ht="15.35" hidden="1">
      <c r="A100" s="116" t="s">
        <v>624</v>
      </c>
      <c r="B100" s="117">
        <f>ROUND(HLOOKUP($B$3,bs!$C$1:$AA$110,MATCH("*"&amp;A100&amp;"*",bs!$B$1:$B$110,),FALSE),0)/IF(ISNUMBER(SEARCH("亿", $A$2)), 100000000,
IF(ISNUMBER(SEARCH("万", $A$2)), 10000, 1))</f>
        <v>0</v>
      </c>
      <c r="C100" s="117">
        <f>ROUND(HLOOKUP($C$3,bs!$C$1:$AA$110,MATCH("*"&amp;A100&amp;"*",bs!$B$1:$B$110,),FALSE),0)/IF(ISNUMBER(SEARCH("亿", $A$2)), 100000000,
IF(ISNUMBER(SEARCH("万", $A$2)), 10000, 1))</f>
        <v>0</v>
      </c>
      <c r="D100" s="117">
        <f>ROUND(HLOOKUP($D$3,bs!$C$1:$AA$110,MATCH("*"&amp;A100&amp;"*",bs!$B$1:$B$110,),FALSE),0)/IF(ISNUMBER(SEARCH("亿", $A$2)), 100000000,
IF(ISNUMBER(SEARCH("万", $A$2)), 10000, 1))</f>
        <v>0</v>
      </c>
      <c r="E100" s="117">
        <f>ROUND(HLOOKUP($E$3,bs!$C$1:$AA$110,MATCH("*"&amp;A100&amp;"*",bs!$B$1:$B$110,),FALSE),0)/IF(ISNUMBER(SEARCH("亿", $A$2)), 100000000,
IF(ISNUMBER(SEARCH("万", $A$2)), 10000, 1))</f>
        <v>0</v>
      </c>
      <c r="H100" s="118">
        <f t="shared" si="26"/>
        <v>0</v>
      </c>
    </row>
    <row r="101" spans="1:14" ht="15.35" hidden="1">
      <c r="A101" s="116" t="s">
        <v>625</v>
      </c>
      <c r="B101" s="117">
        <f>ROUND(HLOOKUP($B$3,bs!$C$1:$AA$110,MATCH("*"&amp;A101&amp;"*",bs!$B$1:$B$110,),FALSE),0)/IF(ISNUMBER(SEARCH("亿", $A$2)), 100000000,
IF(ISNUMBER(SEARCH("万", $A$2)), 10000, 1))</f>
        <v>0</v>
      </c>
      <c r="C101" s="117">
        <f>ROUND(HLOOKUP($C$3,bs!$C$1:$AA$110,MATCH("*"&amp;A101&amp;"*",bs!$B$1:$B$110,),FALSE),0)/IF(ISNUMBER(SEARCH("亿", $A$2)), 100000000,
IF(ISNUMBER(SEARCH("万", $A$2)), 10000, 1))</f>
        <v>0</v>
      </c>
      <c r="D101" s="117">
        <f>ROUND(HLOOKUP($D$3,bs!$C$1:$AA$110,MATCH("*"&amp;A101&amp;"*",bs!$B$1:$B$110,),FALSE),0)/IF(ISNUMBER(SEARCH("亿", $A$2)), 100000000,
IF(ISNUMBER(SEARCH("万", $A$2)), 10000, 1))</f>
        <v>0</v>
      </c>
      <c r="E101" s="117">
        <f>ROUND(HLOOKUP($E$3,bs!$C$1:$AA$110,MATCH("*"&amp;A101&amp;"*",bs!$B$1:$B$110,),FALSE),0)/IF(ISNUMBER(SEARCH("亿", $A$2)), 100000000,
IF(ISNUMBER(SEARCH("万", $A$2)), 10000, 1))</f>
        <v>0</v>
      </c>
      <c r="H101" s="118">
        <f t="shared" si="26"/>
        <v>0</v>
      </c>
    </row>
    <row r="102" spans="1:14" ht="15.35" hidden="1">
      <c r="A102" s="116" t="s">
        <v>626</v>
      </c>
      <c r="B102" s="117">
        <f>ROUND(HLOOKUP($B$3,bs!$C$1:$AA$110,MATCH("*"&amp;A102&amp;"*",bs!$B$1:$B$110,),FALSE),0)/IF(ISNUMBER(SEARCH("亿", $A$2)), 100000000,
IF(ISNUMBER(SEARCH("万", $A$2)), 10000, 1))</f>
        <v>0</v>
      </c>
      <c r="C102" s="117">
        <f>ROUND(HLOOKUP($C$3,bs!$C$1:$AA$110,MATCH("*"&amp;A102&amp;"*",bs!$B$1:$B$110,),FALSE),0)/IF(ISNUMBER(SEARCH("亿", $A$2)), 100000000,
IF(ISNUMBER(SEARCH("万", $A$2)), 10000, 1))</f>
        <v>0</v>
      </c>
      <c r="D102" s="117">
        <f>ROUND(HLOOKUP($D$3,bs!$C$1:$AA$110,MATCH("*"&amp;A102&amp;"*",bs!$B$1:$B$110,),FALSE),0)/IF(ISNUMBER(SEARCH("亿", $A$2)), 100000000,
IF(ISNUMBER(SEARCH("万", $A$2)), 10000, 1))</f>
        <v>0</v>
      </c>
      <c r="E102" s="117">
        <f>ROUND(HLOOKUP($E$3,bs!$C$1:$AA$110,MATCH("*"&amp;A102&amp;"*",bs!$B$1:$B$110,),FALSE),0)/IF(ISNUMBER(SEARCH("亿", $A$2)), 100000000,
IF(ISNUMBER(SEARCH("万", $A$2)), 10000, 1))</f>
        <v>0</v>
      </c>
      <c r="H102" s="118">
        <f t="shared" si="26"/>
        <v>0</v>
      </c>
    </row>
    <row r="103" spans="1:14" ht="15.35" hidden="1">
      <c r="A103" s="116" t="s">
        <v>627</v>
      </c>
      <c r="B103" s="117">
        <f>ROUND(HLOOKUP($B$3,bs!$C$1:$AA$110,MATCH("*"&amp;A103&amp;"*",bs!$B$1:$B$110,),FALSE),0)/IF(ISNUMBER(SEARCH("亿", $A$2)), 100000000,
IF(ISNUMBER(SEARCH("万", $A$2)), 10000, 1))</f>
        <v>0</v>
      </c>
      <c r="C103" s="117">
        <f>ROUND(HLOOKUP($C$3,bs!$C$1:$AA$110,MATCH("*"&amp;A103&amp;"*",bs!$B$1:$B$110,),FALSE),0)/IF(ISNUMBER(SEARCH("亿", $A$2)), 100000000,
IF(ISNUMBER(SEARCH("万", $A$2)), 10000, 1))</f>
        <v>0</v>
      </c>
      <c r="D103" s="117">
        <f>ROUND(HLOOKUP($D$3,bs!$C$1:$AA$110,MATCH("*"&amp;A103&amp;"*",bs!$B$1:$B$110,),FALSE),0)/IF(ISNUMBER(SEARCH("亿", $A$2)), 100000000,
IF(ISNUMBER(SEARCH("万", $A$2)), 10000, 1))</f>
        <v>0</v>
      </c>
      <c r="E103" s="117">
        <f>ROUND(HLOOKUP($E$3,bs!$C$1:$AA$110,MATCH("*"&amp;A103&amp;"*",bs!$B$1:$B$110,),FALSE),0)/IF(ISNUMBER(SEARCH("亿", $A$2)), 100000000,
IF(ISNUMBER(SEARCH("万", $A$2)), 10000, 1))</f>
        <v>0</v>
      </c>
      <c r="H103" s="118">
        <f t="shared" si="26"/>
        <v>0</v>
      </c>
      <c r="I103" t="str">
        <f>A103</f>
        <v xml:space="preserve">  盈余公积 </v>
      </c>
      <c r="J103" t="str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2021年-2023年及2024年12月，拟承租人  盈余公积 分别为0.00亿元、0.00亿元、0.00亿元及0.00亿元。</v>
      </c>
      <c r="M103" s="96" t="e">
        <f>(C103-D103)/D103</f>
        <v>#DIV/0!</v>
      </c>
      <c r="N103" s="96" t="e">
        <f>(D103-E103)/E103</f>
        <v>#DIV/0!</v>
      </c>
    </row>
    <row r="104" spans="1:14" ht="15.35" hidden="1">
      <c r="A104" s="116" t="s">
        <v>628</v>
      </c>
      <c r="B104" s="117">
        <f>ROUND(HLOOKUP($B$3,bs!$C$1:$AA$110,MATCH("*"&amp;A104&amp;"*",bs!$B$1:$B$110,),FALSE),0)/IF(ISNUMBER(SEARCH("亿", $A$2)), 100000000,
IF(ISNUMBER(SEARCH("万", $A$2)), 10000, 1))</f>
        <v>0</v>
      </c>
      <c r="C104" s="117">
        <f>ROUND(HLOOKUP($C$3,bs!$C$1:$AA$110,MATCH("*"&amp;A104&amp;"*",bs!$B$1:$B$110,),FALSE),0)/IF(ISNUMBER(SEARCH("亿", $A$2)), 100000000,
IF(ISNUMBER(SEARCH("万", $A$2)), 10000, 1))</f>
        <v>0</v>
      </c>
      <c r="D104" s="117">
        <f>ROUND(HLOOKUP($D$3,bs!$C$1:$AA$110,MATCH("*"&amp;A104&amp;"*",bs!$B$1:$B$110,),FALSE),0)/IF(ISNUMBER(SEARCH("亿", $A$2)), 100000000,
IF(ISNUMBER(SEARCH("万", $A$2)), 10000, 1))</f>
        <v>0</v>
      </c>
      <c r="E104" s="117">
        <f>ROUND(HLOOKUP($E$3,bs!$C$1:$AA$110,MATCH("*"&amp;A104&amp;"*",bs!$B$1:$B$110,),FALSE),0)/IF(ISNUMBER(SEARCH("亿", $A$2)), 100000000,
IF(ISNUMBER(SEARCH("万", $A$2)), 10000, 1))</f>
        <v>0</v>
      </c>
      <c r="H104" s="118">
        <f t="shared" si="26"/>
        <v>0</v>
      </c>
    </row>
    <row r="105" spans="1:14" ht="15.35">
      <c r="A105" s="116" t="s">
        <v>629</v>
      </c>
      <c r="B105" s="117">
        <f>ROUND(HLOOKUP($B$3,bs!$C$1:$AA$110,MATCH("*"&amp;A105&amp;"*",bs!$B$1:$B$110,),FALSE),0)/IF(ISNUMBER(SEARCH("亿", $A$2)), 100000000,
IF(ISNUMBER(SEARCH("万", $A$2)), 10000, 1))</f>
        <v>0</v>
      </c>
      <c r="C105" s="117">
        <f>ROUND(HLOOKUP($C$3,bs!$C$1:$AA$110,MATCH("*"&amp;A105&amp;"*",bs!$B$1:$B$110,),FALSE),0)/IF(ISNUMBER(SEARCH("亿", $A$2)), 100000000,
IF(ISNUMBER(SEARCH("万", $A$2)), 10000, 1))</f>
        <v>0</v>
      </c>
      <c r="D105" s="117">
        <f>ROUND(HLOOKUP($D$3,bs!$C$1:$AA$110,MATCH("*"&amp;A105&amp;"*",bs!$B$1:$B$110,),FALSE),0)/IF(ISNUMBER(SEARCH("亿", $A$2)), 100000000,
IF(ISNUMBER(SEARCH("万", $A$2)), 10000, 1))</f>
        <v>0</v>
      </c>
      <c r="E105" s="117">
        <f>ROUND(HLOOKUP($E$3,bs!$C$1:$AA$110,MATCH("*"&amp;A105&amp;"*",bs!$B$1:$B$110,),FALSE),0)/IF(ISNUMBER(SEARCH("亿", $A$2)), 100000000,
IF(ISNUMBER(SEARCH("万", $A$2)), 10000, 1))</f>
        <v>0</v>
      </c>
      <c r="H105" s="118">
        <f t="shared" si="26"/>
        <v>0</v>
      </c>
      <c r="I105" t="str">
        <f t="shared" ref="I105:I123" si="39">A105</f>
        <v xml:space="preserve">  未分配利润 </v>
      </c>
      <c r="J105" t="str">
        <f t="shared" ref="J105:J123" si="40"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2021年-2023年及2024年12月，拟承租人  未分配利润 分别为0.00亿元、0.00亿元、0.00亿元及0.00亿元。</v>
      </c>
      <c r="M105" s="96" t="e">
        <f t="shared" ref="M105:M123" si="41">(C105-D105)/D105</f>
        <v>#DIV/0!</v>
      </c>
      <c r="N105" s="96" t="e">
        <f t="shared" ref="N105:N123" si="42">(D105-E105)/E105</f>
        <v>#DIV/0!</v>
      </c>
    </row>
    <row r="106" spans="1:14" ht="30.7">
      <c r="A106" s="116" t="s">
        <v>397</v>
      </c>
      <c r="B106" s="117">
        <f>ROUND(HLOOKUP($B$3,bs!$C$1:$AA$110,MATCH("*"&amp;A106&amp;"*",bs!$B$1:$B$110,),FALSE),0)/IF(ISNUMBER(SEARCH("亿", $A$2)), 100000000,
IF(ISNUMBER(SEARCH("万", $A$2)), 10000, 1))</f>
        <v>0</v>
      </c>
      <c r="C106" s="117">
        <f>ROUND(HLOOKUP($C$3,bs!$C$1:$AA$110,MATCH("*"&amp;A106&amp;"*",bs!$B$1:$B$110,),FALSE),0)/IF(ISNUMBER(SEARCH("亿", $A$2)), 100000000,
IF(ISNUMBER(SEARCH("万", $A$2)), 10000, 1))</f>
        <v>0</v>
      </c>
      <c r="D106" s="117">
        <f>ROUND(HLOOKUP($D$3,bs!$C$1:$AA$110,MATCH("*"&amp;A106&amp;"*",bs!$B$1:$B$110,),FALSE),0)/IF(ISNUMBER(SEARCH("亿", $A$2)), 100000000,
IF(ISNUMBER(SEARCH("万", $A$2)), 10000, 1))</f>
        <v>0</v>
      </c>
      <c r="E106" s="117">
        <f>ROUND(HLOOKUP($E$3,bs!$C$1:$AA$110,MATCH("*"&amp;A106&amp;"*",bs!$B$1:$B$110,),FALSE),0)/IF(ISNUMBER(SEARCH("亿", $A$2)), 100000000,
IF(ISNUMBER(SEARCH("万", $A$2)), 10000, 1))</f>
        <v>0</v>
      </c>
      <c r="H106" s="118">
        <f t="shared" si="26"/>
        <v>0</v>
      </c>
      <c r="I106" t="str">
        <f t="shared" si="39"/>
        <v>归属于母公司所有者权益（或股东权益）合计</v>
      </c>
      <c r="J106" t="str">
        <f t="shared" si="40"/>
        <v>2021年-2023年及2024年12月，拟承租人归属于母公司所有者权益（或股东权益）合计分别为0.00亿元、0.00亿元、0.00亿元及0.00亿元。</v>
      </c>
      <c r="M106" s="96" t="e">
        <f t="shared" si="41"/>
        <v>#DIV/0!</v>
      </c>
      <c r="N106" s="96" t="e">
        <f t="shared" si="42"/>
        <v>#DIV/0!</v>
      </c>
    </row>
    <row r="107" spans="1:14" ht="15.35" hidden="1">
      <c r="A107" s="116" t="s">
        <v>630</v>
      </c>
      <c r="B107" s="117">
        <f>ROUND(HLOOKUP($B$3,bs!$C$1:$AA$110,MATCH("*"&amp;A107&amp;"*",bs!$B$1:$B$110,),FALSE),0)/IF(ISNUMBER(SEARCH("亿", $A$2)), 100000000,
IF(ISNUMBER(SEARCH("万", $A$2)), 10000, 1))</f>
        <v>0</v>
      </c>
      <c r="C107" s="117">
        <f>ROUND(HLOOKUP($C$3,bs!$C$1:$AA$110,MATCH("*"&amp;A107&amp;"*",bs!$B$1:$B$110,),FALSE),0)/IF(ISNUMBER(SEARCH("亿", $A$2)), 100000000,
IF(ISNUMBER(SEARCH("万", $A$2)), 10000, 1))</f>
        <v>0</v>
      </c>
      <c r="D107" s="117">
        <f>ROUND(HLOOKUP($D$3,bs!$C$1:$AA$110,MATCH("*"&amp;A107&amp;"*",bs!$B$1:$B$110,),FALSE),0)/IF(ISNUMBER(SEARCH("亿", $A$2)), 100000000,
IF(ISNUMBER(SEARCH("万", $A$2)), 10000, 1))</f>
        <v>0</v>
      </c>
      <c r="E107" s="117">
        <f>ROUND(HLOOKUP($E$3,bs!$C$1:$AA$110,MATCH("*"&amp;A107&amp;"*",bs!$B$1:$B$110,),FALSE),0)/IF(ISNUMBER(SEARCH("亿", $A$2)), 100000000,
IF(ISNUMBER(SEARCH("万", $A$2)), 10000, 1))</f>
        <v>0</v>
      </c>
      <c r="H107" s="118">
        <f t="shared" si="26"/>
        <v>0</v>
      </c>
      <c r="I107" t="str">
        <f t="shared" si="39"/>
        <v xml:space="preserve">  少数股东权益 </v>
      </c>
      <c r="J107" t="str">
        <f t="shared" si="40"/>
        <v>2021年-2023年及2024年12月，拟承租人  少数股东权益 分别为0.00亿元、0.00亿元、0.00亿元及0.00亿元。</v>
      </c>
      <c r="M107" s="96" t="e">
        <f t="shared" si="41"/>
        <v>#DIV/0!</v>
      </c>
      <c r="N107" s="96" t="e">
        <f t="shared" si="42"/>
        <v>#DIV/0!</v>
      </c>
    </row>
    <row r="108" spans="1:14" ht="15.35">
      <c r="A108" s="119" t="s">
        <v>631</v>
      </c>
      <c r="B108" s="117">
        <f>ROUND(HLOOKUP($B$3,bs!$C$1:$AA$110,MATCH("*"&amp;A108&amp;"*",bs!$B$1:$B$110,),FALSE),0)/IF(ISNUMBER(SEARCH("亿", $A$2)), 100000000,
IF(ISNUMBER(SEARCH("万", $A$2)), 10000, 1))</f>
        <v>0</v>
      </c>
      <c r="C108" s="117">
        <f>ROUND(HLOOKUP($C$3,bs!$C$1:$AA$110,MATCH("*"&amp;A108&amp;"*",bs!$B$1:$B$110,),FALSE),0)/IF(ISNUMBER(SEARCH("亿", $A$2)), 100000000,
IF(ISNUMBER(SEARCH("万", $A$2)), 10000, 1))</f>
        <v>0</v>
      </c>
      <c r="D108" s="117">
        <f>ROUND(HLOOKUP($D$3,bs!$C$1:$AA$110,MATCH("*"&amp;A108&amp;"*",bs!$B$1:$B$110,),FALSE),0)/IF(ISNUMBER(SEARCH("亿", $A$2)), 100000000,
IF(ISNUMBER(SEARCH("万", $A$2)), 10000, 1))</f>
        <v>0</v>
      </c>
      <c r="E108" s="117">
        <f>ROUND(HLOOKUP($E$3,bs!$C$1:$AA$110,MATCH("*"&amp;A108&amp;"*",bs!$B$1:$B$110,),FALSE),0)/IF(ISNUMBER(SEARCH("亿", $A$2)), 100000000,
IF(ISNUMBER(SEARCH("万", $A$2)), 10000, 1))</f>
        <v>0</v>
      </c>
      <c r="F108" t="str">
        <f>LEFT(A108,5)</f>
        <v xml:space="preserve"> 所有者权</v>
      </c>
      <c r="G108">
        <f>MATCH("*"&amp;LEFT(A108,5)&amp;"*",bs!$B$1:$B$110,)</f>
        <v>109</v>
      </c>
      <c r="H108" s="118">
        <f t="shared" si="26"/>
        <v>0</v>
      </c>
      <c r="I108" t="str">
        <f t="shared" si="39"/>
        <v xml:space="preserve"> 所有者权益（或股东权益）合计 </v>
      </c>
      <c r="J108" t="str">
        <f t="shared" si="40"/>
        <v>2021年-2023年及2024年12月，拟承租人 所有者权益（或股东权益）合计 分别为0.00亿元、0.00亿元、0.00亿元及0.00亿元。</v>
      </c>
      <c r="M108" s="96" t="e">
        <f t="shared" si="41"/>
        <v>#DIV/0!</v>
      </c>
      <c r="N108" s="96" t="e">
        <f t="shared" si="42"/>
        <v>#DIV/0!</v>
      </c>
    </row>
    <row r="109" spans="1:14" ht="15.75" customHeight="1">
      <c r="A109" s="174" t="s">
        <v>632</v>
      </c>
      <c r="B109" s="174"/>
      <c r="C109" s="174"/>
      <c r="D109" s="174"/>
      <c r="E109" s="174"/>
      <c r="H109" s="118"/>
      <c r="I109" t="str">
        <f t="shared" si="39"/>
        <v>利润表</v>
      </c>
      <c r="J109" t="str">
        <f t="shared" si="40"/>
        <v>2021年-2023年及2024年12月，拟承租人利润表分别为0.00亿元、0.00亿元、0.00亿元及0.00亿元。</v>
      </c>
      <c r="M109" s="96"/>
      <c r="N109" s="96"/>
    </row>
    <row r="110" spans="1:14" ht="15.75" customHeight="1">
      <c r="A110" s="115" t="str">
        <f>$A$3</f>
        <v>项目</v>
      </c>
      <c r="B110" s="121" t="str">
        <f>TEXT(B$3,"YYYY年MM月")</f>
        <v>2024年12月</v>
      </c>
      <c r="C110" s="121" t="str">
        <f t="shared" ref="C110:E110" si="43">TEXT(C$3,"YYYY年MM月")</f>
        <v>2023年12月</v>
      </c>
      <c r="D110" s="121" t="str">
        <f t="shared" si="43"/>
        <v>2022年12月</v>
      </c>
      <c r="E110" s="121" t="str">
        <f t="shared" si="43"/>
        <v>2021年12月</v>
      </c>
      <c r="H110" s="118"/>
      <c r="M110" s="96"/>
      <c r="N110" s="96"/>
    </row>
    <row r="111" spans="1:14" ht="15.35">
      <c r="A111" s="116" t="s">
        <v>839</v>
      </c>
      <c r="B111" s="117">
        <f>ROUND(HLOOKUP($B$3,pl!$C$1:$V$71,MATCH("*"&amp;A111&amp;"*",pl!$B$1:$B$71,),FALSE),0)/IF(ISNUMBER(SEARCH("亿", $A$2)), 100000000,
IF(ISNUMBER(SEARCH("万", $A$2)), 10000, 1))</f>
        <v>0</v>
      </c>
      <c r="C111" s="117">
        <f>ROUND(HLOOKUP($C$3,pl!$C$1:$V$71,MATCH("*"&amp;A111&amp;"*",pl!$B$1:$B$71,),FALSE),0)/IF(ISNUMBER(SEARCH("亿", $A$2)), 100000000,
IF(ISNUMBER(SEARCH("万", $A$2)), 10000, 1))</f>
        <v>0</v>
      </c>
      <c r="D111" s="117">
        <f>ROUND(HLOOKUP($D$3,pl!$C$1:$V$71,MATCH("*"&amp;A111&amp;"*",pl!$B$1:$B$71,),FALSE),0)/IF(ISNUMBER(SEARCH("亿", $A$2)), 100000000,
IF(ISNUMBER(SEARCH("万", $A$2)), 10000, 1))</f>
        <v>0</v>
      </c>
      <c r="E111" s="117">
        <f>ROUND(HLOOKUP($E$3,pl!$C$1:$V$71,MATCH("*"&amp;A111&amp;"*",pl!$B$1:$B$71,),FALSE),0)/IF(ISNUMBER(SEARCH("亿", $A$2)), 100000000,
IF(ISNUMBER(SEARCH("万", $A$2)), 10000, 1))</f>
        <v>0</v>
      </c>
      <c r="F111">
        <f>MATCH("*"&amp;A111&amp;"*",pl!$B$1:$B$71,)</f>
        <v>2</v>
      </c>
      <c r="G111">
        <f>HLOOKUP($E$3,pl!$C$1:$V$71,3,FALSE)</f>
        <v>0</v>
      </c>
      <c r="H111" s="118"/>
      <c r="I111" t="str">
        <f t="shared" si="39"/>
        <v>营业总收入</v>
      </c>
      <c r="J111" t="str">
        <f t="shared" si="40"/>
        <v>2021年-2023年及2024年12月，拟承租人营业总收入分别为0.00亿元、0.00亿元、0.00亿元及0.00亿元。</v>
      </c>
      <c r="K111" s="95" t="s">
        <v>634</v>
      </c>
      <c r="L111" s="96" t="e">
        <f>(C111-D111)/D111</f>
        <v>#DIV/0!</v>
      </c>
      <c r="M111" s="96" t="e">
        <f t="shared" si="41"/>
        <v>#DIV/0!</v>
      </c>
      <c r="N111" s="96" t="e">
        <f t="shared" si="42"/>
        <v>#DIV/0!</v>
      </c>
    </row>
    <row r="112" spans="1:14" ht="15.35">
      <c r="A112" s="116" t="s">
        <v>635</v>
      </c>
      <c r="B112" s="117">
        <f>ROUND(HLOOKUP($B$3,pl!$C$1:$V$71,MATCH("*"&amp;A112&amp;"*",pl!$B$1:$B$71,),FALSE),0)/IF(ISNUMBER(SEARCH("亿", $A$2)), 100000000,
IF(ISNUMBER(SEARCH("万", $A$2)), 10000, 1))</f>
        <v>0</v>
      </c>
      <c r="C112" s="117">
        <f>ROUND(HLOOKUP($C$3,pl!$C$1:$V$71,MATCH("*"&amp;A112&amp;"*",pl!$B$1:$B$71,),FALSE),0)/IF(ISNUMBER(SEARCH("亿", $A$2)), 100000000,
IF(ISNUMBER(SEARCH("万", $A$2)), 10000, 1))</f>
        <v>0</v>
      </c>
      <c r="D112" s="117">
        <f>ROUND(HLOOKUP($D$3,pl!$C$1:$V$71,MATCH("*"&amp;A112&amp;"*",pl!$B$1:$B$71,),FALSE),0)/IF(ISNUMBER(SEARCH("亿", $A$2)), 100000000,
IF(ISNUMBER(SEARCH("万", $A$2)), 10000, 1))</f>
        <v>0</v>
      </c>
      <c r="E112" s="117">
        <f>ROUND(HLOOKUP($E$3,pl!$C$1:$V$71,MATCH("*"&amp;A112&amp;"*",pl!$B$1:$B$71,),FALSE),0)/IF(ISNUMBER(SEARCH("亿", $A$2)), 100000000,
IF(ISNUMBER(SEARCH("万", $A$2)), 10000, 1))</f>
        <v>0</v>
      </c>
      <c r="H112" s="118">
        <f t="shared" si="26"/>
        <v>0</v>
      </c>
      <c r="I112" t="str">
        <f t="shared" si="39"/>
        <v>营业成本</v>
      </c>
      <c r="J112" t="str">
        <f t="shared" si="40"/>
        <v>2021年-2023年及2024年12月，拟承租人营业成本分别为0.00亿元、0.00亿元、0.00亿元及0.00亿元。</v>
      </c>
      <c r="M112" s="96" t="e">
        <f t="shared" si="41"/>
        <v>#DIV/0!</v>
      </c>
      <c r="N112" s="96" t="e">
        <f t="shared" si="42"/>
        <v>#DIV/0!</v>
      </c>
    </row>
    <row r="113" spans="1:14" ht="15.35">
      <c r="A113" s="116" t="s">
        <v>636</v>
      </c>
      <c r="B113" s="117">
        <f>ROUND(HLOOKUP($B$3,pl!$C$1:$V$71,MATCH("*"&amp;A113&amp;"*",pl!$B$1:$B$71,),FALSE),0)/IF(ISNUMBER(SEARCH("亿", $A$2)), 100000000,
IF(ISNUMBER(SEARCH("万", $A$2)), 10000, 1))</f>
        <v>0</v>
      </c>
      <c r="C113" s="117">
        <f>ROUND(HLOOKUP($C$3,pl!$C$1:$V$71,MATCH("*"&amp;A113&amp;"*",pl!$B$1:$B$71,),FALSE),0)/IF(ISNUMBER(SEARCH("亿", $A$2)), 100000000,
IF(ISNUMBER(SEARCH("万", $A$2)), 10000, 1))</f>
        <v>0</v>
      </c>
      <c r="D113" s="117">
        <f>ROUND(HLOOKUP($D$3,pl!$C$1:$V$71,MATCH("*"&amp;A113&amp;"*",pl!$B$1:$B$71,),FALSE),0)/IF(ISNUMBER(SEARCH("亿", $A$2)), 100000000,
IF(ISNUMBER(SEARCH("万", $A$2)), 10000, 1))</f>
        <v>0</v>
      </c>
      <c r="E113" s="117">
        <f>ROUND(HLOOKUP($E$3,pl!$C$1:$V$71,MATCH("*"&amp;A113&amp;"*",pl!$B$1:$B$71,),FALSE),0)/IF(ISNUMBER(SEARCH("亿", $A$2)), 100000000,
IF(ISNUMBER(SEARCH("万", $A$2)), 10000, 1))</f>
        <v>0</v>
      </c>
      <c r="H113" s="118">
        <f t="shared" si="26"/>
        <v>0</v>
      </c>
      <c r="I113" t="str">
        <f t="shared" si="39"/>
        <v>税金及附加</v>
      </c>
      <c r="J113" t="str">
        <f t="shared" si="40"/>
        <v>2021年-2023年及2024年12月，拟承租人税金及附加分别为0.00亿元、0.00亿元、0.00亿元及0.00亿元。</v>
      </c>
      <c r="M113" s="96" t="e">
        <f t="shared" si="41"/>
        <v>#DIV/0!</v>
      </c>
      <c r="N113" s="96" t="e">
        <f t="shared" si="42"/>
        <v>#DIV/0!</v>
      </c>
    </row>
    <row r="114" spans="1:14" ht="15.35">
      <c r="A114" s="116" t="s">
        <v>637</v>
      </c>
      <c r="B114" s="117">
        <f>ROUND(HLOOKUP($B$3,pl!$C$1:$V$71,MATCH("*"&amp;A114&amp;"*",pl!$B$1:$B$71,),FALSE),0)/IF(ISNUMBER(SEARCH("亿", $A$2)), 100000000,
IF(ISNUMBER(SEARCH("万", $A$2)), 10000, 1))</f>
        <v>0</v>
      </c>
      <c r="C114" s="117">
        <f>ROUND(HLOOKUP($C$3,pl!$C$1:$V$71,MATCH("*"&amp;A114&amp;"*",pl!$B$1:$B$71,),FALSE),0)/IF(ISNUMBER(SEARCH("亿", $A$2)), 100000000,
IF(ISNUMBER(SEARCH("万", $A$2)), 10000, 1))</f>
        <v>0</v>
      </c>
      <c r="D114" s="117">
        <f>ROUND(HLOOKUP($D$3,pl!$C$1:$V$71,MATCH("*"&amp;A114&amp;"*",pl!$B$1:$B$71,),FALSE),0)/IF(ISNUMBER(SEARCH("亿", $A$2)), 100000000,
IF(ISNUMBER(SEARCH("万", $A$2)), 10000, 1))</f>
        <v>0</v>
      </c>
      <c r="E114" s="117">
        <f>ROUND(HLOOKUP($E$3,pl!$C$1:$V$71,MATCH("*"&amp;A114&amp;"*",pl!$B$1:$B$71,),FALSE),0)/IF(ISNUMBER(SEARCH("亿", $A$2)), 100000000,
IF(ISNUMBER(SEARCH("万", $A$2)), 10000, 1))</f>
        <v>0</v>
      </c>
      <c r="H114" s="118">
        <f t="shared" si="26"/>
        <v>0</v>
      </c>
      <c r="I114" t="str">
        <f t="shared" si="39"/>
        <v>销售费用</v>
      </c>
      <c r="J114" t="str">
        <f t="shared" si="40"/>
        <v>2021年-2023年及2024年12月，拟承租人销售费用分别为0.00亿元、0.00亿元、0.00亿元及0.00亿元。</v>
      </c>
      <c r="M114" s="96" t="e">
        <f t="shared" si="41"/>
        <v>#DIV/0!</v>
      </c>
      <c r="N114" s="96" t="e">
        <f t="shared" si="42"/>
        <v>#DIV/0!</v>
      </c>
    </row>
    <row r="115" spans="1:14" ht="15.35">
      <c r="A115" s="116" t="s">
        <v>638</v>
      </c>
      <c r="B115" s="117">
        <f>ROUND(HLOOKUP($B$3,pl!$C$1:$V$71,MATCH("*"&amp;A115&amp;"*",pl!$B$1:$B$71,),FALSE),0)/IF(ISNUMBER(SEARCH("亿", $A$2)), 100000000,
IF(ISNUMBER(SEARCH("万", $A$2)), 10000, 1))</f>
        <v>0</v>
      </c>
      <c r="C115" s="117">
        <f>ROUND(HLOOKUP($C$3,pl!$C$1:$V$71,MATCH("*"&amp;A115&amp;"*",pl!$B$1:$B$71,),FALSE),0)/IF(ISNUMBER(SEARCH("亿", $A$2)), 100000000,
IF(ISNUMBER(SEARCH("万", $A$2)), 10000, 1))</f>
        <v>0</v>
      </c>
      <c r="D115" s="117">
        <f>ROUND(HLOOKUP($D$3,pl!$C$1:$V$71,MATCH("*"&amp;A115&amp;"*",pl!$B$1:$B$71,),FALSE),0)/IF(ISNUMBER(SEARCH("亿", $A$2)), 100000000,
IF(ISNUMBER(SEARCH("万", $A$2)), 10000, 1))</f>
        <v>0</v>
      </c>
      <c r="E115" s="117">
        <f>ROUND(HLOOKUP($E$3,pl!$C$1:$V$71,MATCH("*"&amp;A115&amp;"*",pl!$B$1:$B$71,),FALSE),0)/IF(ISNUMBER(SEARCH("亿", $A$2)), 100000000,
IF(ISNUMBER(SEARCH("万", $A$2)), 10000, 1))</f>
        <v>0</v>
      </c>
      <c r="H115" s="118">
        <f t="shared" si="26"/>
        <v>0</v>
      </c>
      <c r="I115" t="str">
        <f t="shared" si="39"/>
        <v>管理费用</v>
      </c>
      <c r="J115" t="str">
        <f t="shared" si="40"/>
        <v>2021年-2023年及2024年12月，拟承租人管理费用分别为0.00亿元、0.00亿元、0.00亿元及0.00亿元。</v>
      </c>
      <c r="M115" s="96" t="e">
        <f t="shared" si="41"/>
        <v>#DIV/0!</v>
      </c>
      <c r="N115" s="96" t="e">
        <f t="shared" si="42"/>
        <v>#DIV/0!</v>
      </c>
    </row>
    <row r="116" spans="1:14" ht="15.35">
      <c r="A116" s="116" t="s">
        <v>639</v>
      </c>
      <c r="B116" s="117">
        <f>ROUND(HLOOKUP($B$3,pl!$C$1:$V$71,MATCH("*"&amp;A116&amp;"*",pl!$B$1:$B$71,),FALSE),0)/IF(ISNUMBER(SEARCH("亿", $A$2)), 100000000,
IF(ISNUMBER(SEARCH("万", $A$2)), 10000, 1))</f>
        <v>0</v>
      </c>
      <c r="C116" s="117">
        <f>ROUND(HLOOKUP($C$3,pl!$C$1:$V$71,MATCH("*"&amp;A116&amp;"*",pl!$B$1:$B$71,),FALSE),0)/IF(ISNUMBER(SEARCH("亿", $A$2)), 100000000,
IF(ISNUMBER(SEARCH("万", $A$2)), 10000, 1))</f>
        <v>0</v>
      </c>
      <c r="D116" s="117">
        <f>ROUND(HLOOKUP($D$3,pl!$C$1:$V$71,MATCH("*"&amp;A116&amp;"*",pl!$B$1:$B$71,),FALSE),0)/IF(ISNUMBER(SEARCH("亿", $A$2)), 100000000,
IF(ISNUMBER(SEARCH("万", $A$2)), 10000, 1))</f>
        <v>0</v>
      </c>
      <c r="E116" s="117">
        <f>ROUND(HLOOKUP($E$3,pl!$C$1:$V$71,MATCH("*"&amp;A116&amp;"*",pl!$B$1:$B$71,),FALSE),0)/IF(ISNUMBER(SEARCH("亿", $A$2)), 100000000,
IF(ISNUMBER(SEARCH("万", $A$2)), 10000, 1))</f>
        <v>0</v>
      </c>
      <c r="H116" s="118">
        <f t="shared" si="26"/>
        <v>0</v>
      </c>
      <c r="I116" t="str">
        <f t="shared" si="39"/>
        <v>研发费用</v>
      </c>
      <c r="J116" t="str">
        <f t="shared" si="40"/>
        <v>2021年-2023年及2024年12月，拟承租人研发费用分别为0.00亿元、0.00亿元、0.00亿元及0.00亿元。</v>
      </c>
      <c r="M116" s="96" t="e">
        <f t="shared" si="41"/>
        <v>#DIV/0!</v>
      </c>
      <c r="N116" s="96" t="e">
        <f t="shared" si="42"/>
        <v>#DIV/0!</v>
      </c>
    </row>
    <row r="117" spans="1:14" ht="15.35">
      <c r="A117" s="116" t="s">
        <v>640</v>
      </c>
      <c r="B117" s="117">
        <f>ROUND(HLOOKUP($B$3,pl!$C$1:$V$71,MATCH("*"&amp;A117&amp;"*",pl!$B$1:$B$71,),FALSE),0)/IF(ISNUMBER(SEARCH("亿", $A$2)), 100000000,
IF(ISNUMBER(SEARCH("万", $A$2)), 10000, 1))</f>
        <v>0</v>
      </c>
      <c r="C117" s="117">
        <f>ROUND(HLOOKUP($C$3,pl!$C$1:$V$71,MATCH("*"&amp;A117&amp;"*",pl!$B$1:$B$71,),FALSE),0)/IF(ISNUMBER(SEARCH("亿", $A$2)), 100000000,
IF(ISNUMBER(SEARCH("万", $A$2)), 10000, 1))</f>
        <v>0</v>
      </c>
      <c r="D117" s="117">
        <f>ROUND(HLOOKUP($D$3,pl!$C$1:$V$71,MATCH("*"&amp;A117&amp;"*",pl!$B$1:$B$71,),FALSE),0)/IF(ISNUMBER(SEARCH("亿", $A$2)), 100000000,
IF(ISNUMBER(SEARCH("万", $A$2)), 10000, 1))</f>
        <v>0</v>
      </c>
      <c r="E117" s="117">
        <f>ROUND(HLOOKUP($E$3,pl!$C$1:$V$71,MATCH("*"&amp;A117&amp;"*",pl!$B$1:$B$71,),FALSE),0)/IF(ISNUMBER(SEARCH("亿", $A$2)), 100000000,
IF(ISNUMBER(SEARCH("万", $A$2)), 10000, 1))</f>
        <v>0</v>
      </c>
      <c r="H117" s="118">
        <f t="shared" si="26"/>
        <v>0</v>
      </c>
      <c r="I117" t="str">
        <f t="shared" si="39"/>
        <v>财务费用</v>
      </c>
      <c r="J117" t="str">
        <f t="shared" si="40"/>
        <v>2021年-2023年及2024年12月，拟承租人财务费用分别为0.00亿元、0.00亿元、0.00亿元及0.00亿元。</v>
      </c>
      <c r="M117" s="96" t="e">
        <f t="shared" si="41"/>
        <v>#DIV/0!</v>
      </c>
      <c r="N117" s="96" t="e">
        <f t="shared" si="42"/>
        <v>#DIV/0!</v>
      </c>
    </row>
    <row r="118" spans="1:14" ht="15.35">
      <c r="A118" s="116" t="s">
        <v>641</v>
      </c>
      <c r="B118" s="117">
        <f>ROUND(HLOOKUP($B$3,pl!$C$1:$V$71,MATCH("*"&amp;A118&amp;"*",pl!$B$1:$B$71,),FALSE),0)/IF(ISNUMBER(SEARCH("亿", $A$2)), 100000000,
IF(ISNUMBER(SEARCH("万", $A$2)), 10000, 1))</f>
        <v>0</v>
      </c>
      <c r="C118" s="117">
        <f>ROUND(HLOOKUP($C$3,pl!$C$1:$V$71,MATCH("*"&amp;A118&amp;"*",pl!$B$1:$B$71,),FALSE),0)/IF(ISNUMBER(SEARCH("亿", $A$2)), 100000000,
IF(ISNUMBER(SEARCH("万", $A$2)), 10000, 1))</f>
        <v>0</v>
      </c>
      <c r="D118" s="117">
        <f>ROUND(HLOOKUP($D$3,pl!$C$1:$V$71,MATCH("*"&amp;A118&amp;"*",pl!$B$1:$B$71,),FALSE),0)/IF(ISNUMBER(SEARCH("亿", $A$2)), 100000000,
IF(ISNUMBER(SEARCH("万", $A$2)), 10000, 1))</f>
        <v>0</v>
      </c>
      <c r="E118" s="117">
        <f>ROUND(HLOOKUP($E$3,pl!$C$1:$V$71,MATCH("*"&amp;A118&amp;"*",pl!$B$1:$B$71,),FALSE),0)/IF(ISNUMBER(SEARCH("亿", $A$2)), 100000000,
IF(ISNUMBER(SEARCH("万", $A$2)), 10000, 1))</f>
        <v>0</v>
      </c>
      <c r="H118" s="118">
        <f t="shared" si="26"/>
        <v>0</v>
      </c>
      <c r="I118" t="str">
        <f t="shared" si="39"/>
        <v>其他收益</v>
      </c>
      <c r="J118" t="str">
        <f t="shared" si="40"/>
        <v>2021年-2023年及2024年12月，拟承租人其他收益分别为0.00亿元、0.00亿元、0.00亿元及0.00亿元。</v>
      </c>
      <c r="M118" s="96" t="e">
        <f t="shared" si="41"/>
        <v>#DIV/0!</v>
      </c>
      <c r="N118" s="96" t="e">
        <f t="shared" si="42"/>
        <v>#DIV/0!</v>
      </c>
    </row>
    <row r="119" spans="1:14" ht="15.35">
      <c r="A119" s="116" t="s">
        <v>642</v>
      </c>
      <c r="B119" s="117">
        <f>ROUND(HLOOKUP($B$3,pl!$C$1:$V$71,MATCH("*"&amp;A119&amp;"*",pl!$B$1:$B$71,),FALSE),0)/IF(ISNUMBER(SEARCH("亿", $A$2)), 100000000,
IF(ISNUMBER(SEARCH("万", $A$2)), 10000, 1))</f>
        <v>0</v>
      </c>
      <c r="C119" s="117">
        <f>ROUND(HLOOKUP($C$3,pl!$C$1:$V$71,MATCH("*"&amp;A119&amp;"*",pl!$B$1:$B$71,),FALSE),0)/IF(ISNUMBER(SEARCH("亿", $A$2)), 100000000,
IF(ISNUMBER(SEARCH("万", $A$2)), 10000, 1))</f>
        <v>0</v>
      </c>
      <c r="D119" s="117">
        <f>ROUND(HLOOKUP($D$3,pl!$C$1:$V$71,MATCH("*"&amp;A119&amp;"*",pl!$B$1:$B$71,),FALSE),0)/IF(ISNUMBER(SEARCH("亿", $A$2)), 100000000,
IF(ISNUMBER(SEARCH("万", $A$2)), 10000, 1))</f>
        <v>0</v>
      </c>
      <c r="E119" s="117">
        <f>ROUND(HLOOKUP($E$3,pl!$C$1:$V$71,MATCH("*"&amp;A119&amp;"*",pl!$B$1:$B$71,),FALSE),0)/IF(ISNUMBER(SEARCH("亿", $A$2)), 100000000,
IF(ISNUMBER(SEARCH("万", $A$2)), 10000, 1))</f>
        <v>0</v>
      </c>
      <c r="H119" s="118">
        <f t="shared" si="26"/>
        <v>0</v>
      </c>
      <c r="I119" t="str">
        <f t="shared" si="39"/>
        <v>投资收益</v>
      </c>
      <c r="J119" t="str">
        <f t="shared" si="40"/>
        <v>2021年-2023年及2024年12月，拟承租人投资收益分别为0.00亿元、0.00亿元、0.00亿元及0.00亿元。</v>
      </c>
      <c r="M119" s="96" t="e">
        <f t="shared" si="41"/>
        <v>#DIV/0!</v>
      </c>
      <c r="N119" s="96" t="e">
        <f t="shared" si="42"/>
        <v>#DIV/0!</v>
      </c>
    </row>
    <row r="120" spans="1:14" ht="15.35">
      <c r="A120" s="119" t="s">
        <v>170</v>
      </c>
      <c r="B120" s="117">
        <f>ROUND(HLOOKUP($B$3,pl!$C$1:$V$71,MATCH("*"&amp;A120&amp;"*",pl!$B$1:$B$71,),FALSE),0)/IF(ISNUMBER(SEARCH("亿", $A$2)), 100000000,
IF(ISNUMBER(SEARCH("万", $A$2)), 10000, 1))</f>
        <v>0</v>
      </c>
      <c r="C120" s="117">
        <f>ROUND(HLOOKUP($C$3,pl!$C$1:$V$71,MATCH("*"&amp;A120&amp;"*",pl!$B$1:$B$71,),FALSE),0)/IF(ISNUMBER(SEARCH("亿", $A$2)), 100000000,
IF(ISNUMBER(SEARCH("万", $A$2)), 10000, 1))</f>
        <v>0</v>
      </c>
      <c r="D120" s="117">
        <f>ROUND(HLOOKUP($D$3,pl!$C$1:$V$71,MATCH("*"&amp;A120&amp;"*",pl!$B$1:$B$71,),FALSE),0)/IF(ISNUMBER(SEARCH("亿", $A$2)), 100000000,
IF(ISNUMBER(SEARCH("万", $A$2)), 10000, 1))</f>
        <v>0</v>
      </c>
      <c r="E120" s="117">
        <f>ROUND(HLOOKUP($E$3,pl!$C$1:$V$71,MATCH("*"&amp;A120&amp;"*",pl!$B$1:$B$71,),FALSE),0)/IF(ISNUMBER(SEARCH("亿", $A$2)), 100000000,
IF(ISNUMBER(SEARCH("万", $A$2)), 10000, 1))</f>
        <v>0</v>
      </c>
      <c r="H120" s="118">
        <f t="shared" si="26"/>
        <v>0</v>
      </c>
      <c r="I120" t="str">
        <f t="shared" si="39"/>
        <v>营业利润</v>
      </c>
      <c r="J120" t="str">
        <f t="shared" si="40"/>
        <v>2021年-2023年及2024年12月，拟承租人营业利润分别为0.00亿元、0.00亿元、0.00亿元及0.00亿元。</v>
      </c>
      <c r="M120" s="96" t="e">
        <f t="shared" si="41"/>
        <v>#DIV/0!</v>
      </c>
      <c r="N120" s="96" t="e">
        <f t="shared" si="42"/>
        <v>#DIV/0!</v>
      </c>
    </row>
    <row r="121" spans="1:14" ht="15.35">
      <c r="A121" s="119" t="s">
        <v>176</v>
      </c>
      <c r="B121" s="117">
        <f>ROUND(HLOOKUP($B$3,pl!$C$1:$V$71,MATCH("*"&amp;A121&amp;"*",pl!$B$1:$B$71,),FALSE),0)/IF(ISNUMBER(SEARCH("亿", $A$2)), 100000000,
IF(ISNUMBER(SEARCH("万", $A$2)), 10000, 1))</f>
        <v>0</v>
      </c>
      <c r="C121" s="117">
        <f>ROUND(HLOOKUP($C$3,pl!$C$1:$V$71,MATCH("*"&amp;A121&amp;"*",pl!$B$1:$B$71,),FALSE),0)/IF(ISNUMBER(SEARCH("亿", $A$2)), 100000000,
IF(ISNUMBER(SEARCH("万", $A$2)), 10000, 1))</f>
        <v>0</v>
      </c>
      <c r="D121" s="117">
        <f>ROUND(HLOOKUP($D$3,pl!$C$1:$V$71,MATCH("*"&amp;A121&amp;"*",pl!$B$1:$B$71,),FALSE),0)/IF(ISNUMBER(SEARCH("亿", $A$2)), 100000000,
IF(ISNUMBER(SEARCH("万", $A$2)), 10000, 1))</f>
        <v>0</v>
      </c>
      <c r="E121" s="117">
        <f>ROUND(HLOOKUP($E$3,pl!$C$1:$V$71,MATCH("*"&amp;A121&amp;"*",pl!$B$1:$B$71,),FALSE),0)/IF(ISNUMBER(SEARCH("亿", $A$2)), 100000000,
IF(ISNUMBER(SEARCH("万", $A$2)), 10000, 1))</f>
        <v>0</v>
      </c>
      <c r="H121" s="118">
        <f t="shared" si="26"/>
        <v>0</v>
      </c>
      <c r="I121" t="str">
        <f t="shared" si="39"/>
        <v>利润总额</v>
      </c>
      <c r="J121" t="str">
        <f t="shared" si="40"/>
        <v>2021年-2023年及2024年12月，拟承租人利润总额分别为0.00亿元、0.00亿元、0.00亿元及0.00亿元。</v>
      </c>
      <c r="M121" s="96" t="e">
        <f t="shared" si="41"/>
        <v>#DIV/0!</v>
      </c>
      <c r="N121" s="96" t="e">
        <f t="shared" si="42"/>
        <v>#DIV/0!</v>
      </c>
    </row>
    <row r="122" spans="1:14" ht="15.35">
      <c r="A122" s="116" t="s">
        <v>643</v>
      </c>
      <c r="B122" s="117">
        <f>ROUND(HLOOKUP($B$3,pl!$C$1:$V$71,MATCH("*"&amp;A122&amp;"*",pl!$B$1:$B$71,),FALSE),0)/IF(ISNUMBER(SEARCH("亿", $A$2)), 100000000,
IF(ISNUMBER(SEARCH("万", $A$2)), 10000, 1))</f>
        <v>0</v>
      </c>
      <c r="C122" s="117">
        <f>ROUND(HLOOKUP($C$3,pl!$C$1:$V$71,MATCH("*"&amp;A122&amp;"*",pl!$B$1:$B$71,),FALSE),0)/IF(ISNUMBER(SEARCH("亿", $A$2)), 100000000,
IF(ISNUMBER(SEARCH("万", $A$2)), 10000, 1))</f>
        <v>0</v>
      </c>
      <c r="D122" s="117">
        <f>ROUND(HLOOKUP($D$3,pl!$C$1:$V$71,MATCH("*"&amp;A122&amp;"*",pl!$B$1:$B$71,),FALSE),0)/IF(ISNUMBER(SEARCH("亿", $A$2)), 100000000,
IF(ISNUMBER(SEARCH("万", $A$2)), 10000, 1))</f>
        <v>0</v>
      </c>
      <c r="E122" s="117">
        <f>ROUND(HLOOKUP($E$3,pl!$C$1:$V$71,MATCH("*"&amp;A122&amp;"*",pl!$B$1:$B$71,),FALSE),0)/IF(ISNUMBER(SEARCH("亿", $A$2)), 100000000,
IF(ISNUMBER(SEARCH("万", $A$2)), 10000, 1))</f>
        <v>0</v>
      </c>
      <c r="H122" s="118">
        <f t="shared" si="26"/>
        <v>0</v>
      </c>
      <c r="I122" t="str">
        <f t="shared" si="39"/>
        <v>所得税费用</v>
      </c>
      <c r="J122" t="str">
        <f t="shared" si="40"/>
        <v>2021年-2023年及2024年12月，拟承租人所得税费用分别为0.00亿元、0.00亿元、0.00亿元及0.00亿元。</v>
      </c>
      <c r="M122" s="96" t="e">
        <f t="shared" si="41"/>
        <v>#DIV/0!</v>
      </c>
      <c r="N122" s="96" t="e">
        <f t="shared" si="42"/>
        <v>#DIV/0!</v>
      </c>
    </row>
    <row r="123" spans="1:14" ht="15.35">
      <c r="A123" s="119" t="s">
        <v>181</v>
      </c>
      <c r="B123" s="117">
        <f>ROUND(HLOOKUP($B$3,pl!$C$1:$V$71,MATCH("*"&amp;A123&amp;"*",pl!$B$1:$B$71,),FALSE),0)/IF(ISNUMBER(SEARCH("亿", $A$2)), 100000000,
IF(ISNUMBER(SEARCH("万", $A$2)), 10000, 1))</f>
        <v>0</v>
      </c>
      <c r="C123" s="117">
        <f>ROUND(HLOOKUP($C$3,pl!$C$1:$V$71,MATCH("*"&amp;A123&amp;"*",pl!$B$1:$B$71,),FALSE),0)/IF(ISNUMBER(SEARCH("亿", $A$2)), 100000000,
IF(ISNUMBER(SEARCH("万", $A$2)), 10000, 1))</f>
        <v>0</v>
      </c>
      <c r="D123" s="117">
        <f>ROUND(HLOOKUP($D$3,pl!$C$1:$V$71,MATCH("*"&amp;A123&amp;"*",pl!$B$1:$B$71,),FALSE),0)/IF(ISNUMBER(SEARCH("亿", $A$2)), 100000000,
IF(ISNUMBER(SEARCH("万", $A$2)), 10000, 1))</f>
        <v>0</v>
      </c>
      <c r="E123" s="117">
        <f>ROUND(HLOOKUP($E$3,pl!$C$1:$V$71,MATCH("*"&amp;A123&amp;"*",pl!$B$1:$B$71,),FALSE),0)/IF(ISNUMBER(SEARCH("亿", $A$2)), 100000000,
IF(ISNUMBER(SEARCH("万", $A$2)), 10000, 1))</f>
        <v>0</v>
      </c>
      <c r="H123" s="118">
        <f t="shared" si="26"/>
        <v>0</v>
      </c>
      <c r="I123" t="str">
        <f t="shared" si="39"/>
        <v>净利润</v>
      </c>
      <c r="J123" t="str">
        <f t="shared" si="40"/>
        <v>2021年-2023年及2024年12月，拟承租人净利润分别为0.00亿元、0.00亿元、0.00亿元及0.00亿元。</v>
      </c>
      <c r="M123" s="96" t="e">
        <f t="shared" si="41"/>
        <v>#DIV/0!</v>
      </c>
      <c r="N123" s="96" t="e">
        <f t="shared" si="42"/>
        <v>#DIV/0!</v>
      </c>
    </row>
    <row r="124" spans="1:14" ht="44.25" hidden="1" customHeight="1">
      <c r="A124" s="119" t="s">
        <v>644</v>
      </c>
      <c r="B124" s="175"/>
      <c r="C124" s="175"/>
      <c r="D124" s="175"/>
      <c r="E124" s="175"/>
      <c r="H124" s="118">
        <f t="shared" si="26"/>
        <v>0</v>
      </c>
    </row>
    <row r="125" spans="1:14" ht="15.75" customHeight="1">
      <c r="A125" s="177" t="s">
        <v>645</v>
      </c>
      <c r="B125" s="177"/>
      <c r="C125" s="177"/>
      <c r="D125" s="177"/>
      <c r="E125" s="177"/>
      <c r="H125" s="118"/>
      <c r="I125" t="str">
        <f t="shared" ref="I125:I137" si="44">A125</f>
        <v>现金流量表</v>
      </c>
      <c r="J125" t="str">
        <f t="shared" ref="J125:J137" si="45"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2021年-2023年及2024年12月，拟承租人现金流量表分别为0.00亿元、0.00亿元、0.00亿元及0.00亿元。</v>
      </c>
      <c r="M125" s="96"/>
      <c r="N125" s="96"/>
    </row>
    <row r="126" spans="1:14" ht="15.75" customHeight="1">
      <c r="A126" s="115" t="str">
        <f>$A$3</f>
        <v>项目</v>
      </c>
      <c r="B126" s="121" t="str">
        <f>TEXT(B$3,"YYYY年MM月")</f>
        <v>2024年12月</v>
      </c>
      <c r="C126" s="121" t="str">
        <f t="shared" ref="C126:E126" si="46">TEXT(C$3,"YYYY年MM月")</f>
        <v>2023年12月</v>
      </c>
      <c r="D126" s="121" t="str">
        <f t="shared" si="46"/>
        <v>2022年12月</v>
      </c>
      <c r="E126" s="121" t="str">
        <f t="shared" si="46"/>
        <v>2021年12月</v>
      </c>
      <c r="H126" s="118"/>
      <c r="M126" s="96"/>
      <c r="N126" s="96"/>
    </row>
    <row r="127" spans="1:14" ht="31.7" customHeight="1">
      <c r="A127" s="119" t="s">
        <v>646</v>
      </c>
      <c r="B127" s="117">
        <f>ROUND(HLOOKUP($B$3,cf!$C$1:$Z$68,MATCH("*"&amp;A127&amp;"*",cf!$B$1:$B$68,),FALSE),0)/IF(ISNUMBER(SEARCH("亿", $A$2)), 100000000,
IF(ISNUMBER(SEARCH("万", $A$2)), 10000, 1))</f>
        <v>0</v>
      </c>
      <c r="C127" s="117">
        <f>ROUND(HLOOKUP($C$3,cf!$C$1:$Z$68,MATCH("*"&amp;A127&amp;"*",cf!$B$1:$B$68,),FALSE),0)/IF(ISNUMBER(SEARCH("亿", $A$2)), 100000000,
IF(ISNUMBER(SEARCH("万", $A$2)), 10000, 1))</f>
        <v>0</v>
      </c>
      <c r="D127" s="117">
        <f>ROUND(HLOOKUP($D$3,cf!$C$1:$Z$68,MATCH("*"&amp;A127&amp;"*",cf!$B$1:$B$68,),FALSE),0)/IF(ISNUMBER(SEARCH("亿", $A$2)), 100000000,
IF(ISNUMBER(SEARCH("万", $A$2)), 10000, 1))</f>
        <v>0</v>
      </c>
      <c r="E127" s="117">
        <f>ROUND(HLOOKUP($E$3,cf!$C$1:$Z$68,MATCH("*"&amp;A127&amp;"*",cf!$B$1:$B$68,),FALSE),0)/IF(ISNUMBER(SEARCH("亿", $A$2)), 100000000,
IF(ISNUMBER(SEARCH("万", $A$2)), 10000, 1))</f>
        <v>0</v>
      </c>
      <c r="F127">
        <f>MATCH("*"&amp;A127&amp;"*",cf!$B$1:$B$68,)</f>
        <v>3</v>
      </c>
      <c r="G127">
        <f>HLOOKUP($B$3,cf!$C$1:$Z$68,F127,FALSE)</f>
        <v>0</v>
      </c>
      <c r="H127" s="118">
        <f t="shared" si="26"/>
        <v>0</v>
      </c>
      <c r="I127" t="str">
        <f t="shared" si="44"/>
        <v>销售商品、提供劳务收到的现金</v>
      </c>
      <c r="J127" t="str">
        <f t="shared" si="45"/>
        <v>2021年-2023年及2024年12月，拟承租人销售商品、提供劳务收到的现金分别为0.00亿元、0.00亿元、0.00亿元及0.00亿元。</v>
      </c>
      <c r="M127" s="96" t="e">
        <f t="shared" ref="M127:M137" si="47">(C127-D127)/D127</f>
        <v>#DIV/0!</v>
      </c>
      <c r="N127" s="96" t="e">
        <f t="shared" ref="N127:N137" si="48">(D127-E127)/E127</f>
        <v>#DIV/0!</v>
      </c>
    </row>
    <row r="128" spans="1:14" ht="15.35">
      <c r="A128" s="116" t="s">
        <v>647</v>
      </c>
      <c r="B128" s="117">
        <f>ROUND(HLOOKUP($B$3,cf!$C$1:$Z$68,MATCH("*"&amp;A128&amp;"*",cf!$B$1:$B$68,),FALSE),0)/IF(ISNUMBER(SEARCH("亿", $A$2)), 100000000,
IF(ISNUMBER(SEARCH("万", $A$2)), 10000, 1))</f>
        <v>0</v>
      </c>
      <c r="C128" s="117">
        <f>ROUND(HLOOKUP($C$3,cf!$C$1:$Z$68,MATCH("*"&amp;A128&amp;"*",cf!$B$1:$B$68,),FALSE),0)/IF(ISNUMBER(SEARCH("亿", $A$2)), 100000000,
IF(ISNUMBER(SEARCH("万", $A$2)), 10000, 1))</f>
        <v>0</v>
      </c>
      <c r="D128" s="117">
        <f>ROUND(HLOOKUP($D$3,cf!$C$1:$Z$68,MATCH("*"&amp;A128&amp;"*",cf!$B$1:$B$68,),FALSE),0)/IF(ISNUMBER(SEARCH("亿", $A$2)), 100000000,
IF(ISNUMBER(SEARCH("万", $A$2)), 10000, 1))</f>
        <v>0</v>
      </c>
      <c r="E128" s="117">
        <f>ROUND(HLOOKUP($E$3,cf!$C$1:$Z$68,MATCH("*"&amp;A128&amp;"*",cf!$B$1:$B$68,),FALSE),0)/IF(ISNUMBER(SEARCH("亿", $A$2)), 100000000,
IF(ISNUMBER(SEARCH("万", $A$2)), 10000, 1))</f>
        <v>0</v>
      </c>
      <c r="H128" s="118">
        <f t="shared" si="26"/>
        <v>0</v>
      </c>
      <c r="I128" t="str">
        <f t="shared" si="44"/>
        <v>经营活动现金流入小计</v>
      </c>
      <c r="J128" t="str">
        <f t="shared" si="45"/>
        <v>2021年-2023年及2024年12月，拟承租人经营活动现金流入小计分别为0.00亿元、0.00亿元、0.00亿元及0.00亿元。</v>
      </c>
      <c r="M128" s="96" t="e">
        <f t="shared" si="47"/>
        <v>#DIV/0!</v>
      </c>
      <c r="N128" s="96" t="e">
        <f t="shared" si="48"/>
        <v>#DIV/0!</v>
      </c>
    </row>
    <row r="129" spans="1:14" ht="15.35">
      <c r="A129" s="116" t="s">
        <v>648</v>
      </c>
      <c r="B129" s="117">
        <f>ROUND(HLOOKUP($B$3,cf!$C$1:$Z$68,MATCH("*"&amp;A129&amp;"*",cf!$B$1:$B$68,),FALSE),0)/IF(ISNUMBER(SEARCH("亿", $A$2)), 100000000,
IF(ISNUMBER(SEARCH("万", $A$2)), 10000, 1))</f>
        <v>0</v>
      </c>
      <c r="C129" s="117">
        <f>ROUND(HLOOKUP($C$3,cf!$C$1:$Z$68,MATCH("*"&amp;A129&amp;"*",cf!$B$1:$B$68,),FALSE),0)/IF(ISNUMBER(SEARCH("亿", $A$2)), 100000000,
IF(ISNUMBER(SEARCH("万", $A$2)), 10000, 1))</f>
        <v>0</v>
      </c>
      <c r="D129" s="117">
        <f>ROUND(HLOOKUP($D$3,cf!$C$1:$Z$68,MATCH("*"&amp;A129&amp;"*",cf!$B$1:$B$68,),FALSE),0)/IF(ISNUMBER(SEARCH("亿", $A$2)), 100000000,
IF(ISNUMBER(SEARCH("万", $A$2)), 10000, 1))</f>
        <v>0</v>
      </c>
      <c r="E129" s="117">
        <f>ROUND(HLOOKUP($E$3,cf!$C$1:$Z$68,MATCH("*"&amp;A129&amp;"*",cf!$B$1:$B$68,),FALSE),0)/IF(ISNUMBER(SEARCH("亿", $A$2)), 100000000,
IF(ISNUMBER(SEARCH("万", $A$2)), 10000, 1))</f>
        <v>0</v>
      </c>
      <c r="H129" s="118">
        <f t="shared" si="26"/>
        <v>0</v>
      </c>
      <c r="I129" t="str">
        <f t="shared" si="44"/>
        <v>经营活动现金流出小计</v>
      </c>
      <c r="J129" t="str">
        <f t="shared" si="45"/>
        <v>2021年-2023年及2024年12月，拟承租人经营活动现金流出小计分别为0.00亿元、0.00亿元、0.00亿元及0.00亿元。</v>
      </c>
      <c r="M129" s="96" t="e">
        <f t="shared" si="47"/>
        <v>#DIV/0!</v>
      </c>
      <c r="N129" s="96" t="e">
        <f t="shared" si="48"/>
        <v>#DIV/0!</v>
      </c>
    </row>
    <row r="130" spans="1:14" ht="15.35">
      <c r="A130" s="119" t="s">
        <v>496</v>
      </c>
      <c r="B130" s="117">
        <f>ROUND(HLOOKUP($B$3,cf!$C$1:$Z$68,MATCH("*"&amp;A130&amp;"*",cf!$B$1:$B$68,),FALSE),0)/IF(ISNUMBER(SEARCH("亿", $A$2)), 100000000,
IF(ISNUMBER(SEARCH("万", $A$2)), 10000, 1))</f>
        <v>0</v>
      </c>
      <c r="C130" s="117">
        <f>ROUND(HLOOKUP($C$3,cf!$C$1:$Z$68,MATCH("*"&amp;A130&amp;"*",cf!$B$1:$B$68,),FALSE),0)/IF(ISNUMBER(SEARCH("亿", $A$2)), 100000000,
IF(ISNUMBER(SEARCH("万", $A$2)), 10000, 1))</f>
        <v>0</v>
      </c>
      <c r="D130" s="117">
        <f>ROUND(HLOOKUP($D$3,cf!$C$1:$Z$68,MATCH("*"&amp;A130&amp;"*",cf!$B$1:$B$68,),FALSE),0)/IF(ISNUMBER(SEARCH("亿", $A$2)), 100000000,
IF(ISNUMBER(SEARCH("万", $A$2)), 10000, 1))</f>
        <v>0</v>
      </c>
      <c r="E130" s="117">
        <f>ROUND(HLOOKUP($E$3,cf!$C$1:$Z$68,MATCH("*"&amp;A130&amp;"*",cf!$B$1:$B$68,),FALSE),0)/IF(ISNUMBER(SEARCH("亿", $A$2)), 100000000,
IF(ISNUMBER(SEARCH("万", $A$2)), 10000, 1))</f>
        <v>0</v>
      </c>
      <c r="H130" s="118">
        <f t="shared" si="26"/>
        <v>0</v>
      </c>
      <c r="I130" t="str">
        <f t="shared" si="44"/>
        <v>经营活动产生的现金流量净额</v>
      </c>
      <c r="J130" t="str">
        <f t="shared" si="45"/>
        <v>2021年-2023年及2024年12月，拟承租人经营活动产生的现金流量净额分别为0.00亿元、0.00亿元、0.00亿元及0.00亿元。</v>
      </c>
      <c r="M130" s="96" t="e">
        <f t="shared" si="47"/>
        <v>#DIV/0!</v>
      </c>
      <c r="N130" s="96" t="e">
        <f t="shared" si="48"/>
        <v>#DIV/0!</v>
      </c>
    </row>
    <row r="131" spans="1:14" ht="15.35">
      <c r="A131" s="116" t="s">
        <v>649</v>
      </c>
      <c r="B131" s="117">
        <f>ROUND(HLOOKUP($B$3,cf!$C$1:$Z$68,MATCH("*"&amp;A131&amp;"*",cf!$B$1:$B$68,),FALSE),0)/IF(ISNUMBER(SEARCH("亿", $A$2)), 100000000,
IF(ISNUMBER(SEARCH("万", $A$2)), 10000, 1))</f>
        <v>0</v>
      </c>
      <c r="C131" s="117">
        <f>ROUND(HLOOKUP($C$3,cf!$C$1:$Z$68,MATCH("*"&amp;A131&amp;"*",cf!$B$1:$B$68,),FALSE),0)/IF(ISNUMBER(SEARCH("亿", $A$2)), 100000000,
IF(ISNUMBER(SEARCH("万", $A$2)), 10000, 1))</f>
        <v>0</v>
      </c>
      <c r="D131" s="117">
        <f>ROUND(HLOOKUP($D$3,cf!$C$1:$Z$68,MATCH("*"&amp;A131&amp;"*",cf!$B$1:$B$68,),FALSE),0)/IF(ISNUMBER(SEARCH("亿", $A$2)), 100000000,
IF(ISNUMBER(SEARCH("万", $A$2)), 10000, 1))</f>
        <v>0</v>
      </c>
      <c r="E131" s="117">
        <f>ROUND(HLOOKUP($E$3,cf!$C$1:$Z$68,MATCH("*"&amp;A131&amp;"*",cf!$B$1:$B$68,),FALSE),0)/IF(ISNUMBER(SEARCH("亿", $A$2)), 100000000,
IF(ISNUMBER(SEARCH("万", $A$2)), 10000, 1))</f>
        <v>0</v>
      </c>
      <c r="H131" s="118">
        <f t="shared" si="26"/>
        <v>0</v>
      </c>
      <c r="I131" t="str">
        <f t="shared" si="44"/>
        <v>投资活动现金流入小计</v>
      </c>
      <c r="J131" t="str">
        <f t="shared" si="45"/>
        <v>2021年-2023年及2024年12月，拟承租人投资活动现金流入小计分别为0.00亿元、0.00亿元、0.00亿元及0.00亿元。</v>
      </c>
      <c r="M131" s="96" t="e">
        <f t="shared" si="47"/>
        <v>#DIV/0!</v>
      </c>
      <c r="N131" s="96" t="e">
        <f t="shared" si="48"/>
        <v>#DIV/0!</v>
      </c>
    </row>
    <row r="132" spans="1:14" ht="15.35">
      <c r="A132" s="116" t="s">
        <v>650</v>
      </c>
      <c r="B132" s="117">
        <f>ROUND(HLOOKUP($B$3,cf!$C$1:$Z$68,MATCH("*"&amp;A132&amp;"*",cf!$B$1:$B$68,),FALSE),0)/IF(ISNUMBER(SEARCH("亿", $A$2)), 100000000,
IF(ISNUMBER(SEARCH("万", $A$2)), 10000, 1))</f>
        <v>0</v>
      </c>
      <c r="C132" s="117">
        <f>ROUND(HLOOKUP($C$3,cf!$C$1:$Z$68,MATCH("*"&amp;A132&amp;"*",cf!$B$1:$B$68,),FALSE),0)/IF(ISNUMBER(SEARCH("亿", $A$2)), 100000000,
IF(ISNUMBER(SEARCH("万", $A$2)), 10000, 1))</f>
        <v>0</v>
      </c>
      <c r="D132" s="117">
        <f>ROUND(HLOOKUP($D$3,cf!$C$1:$Z$68,MATCH("*"&amp;A132&amp;"*",cf!$B$1:$B$68,),FALSE),0)/IF(ISNUMBER(SEARCH("亿", $A$2)), 100000000,
IF(ISNUMBER(SEARCH("万", $A$2)), 10000, 1))</f>
        <v>0</v>
      </c>
      <c r="E132" s="117">
        <f>ROUND(HLOOKUP($E$3,cf!$C$1:$Z$68,MATCH("*"&amp;A132&amp;"*",cf!$B$1:$B$68,),FALSE),0)/IF(ISNUMBER(SEARCH("亿", $A$2)), 100000000,
IF(ISNUMBER(SEARCH("万", $A$2)), 10000, 1))</f>
        <v>0</v>
      </c>
      <c r="H132" s="118">
        <f t="shared" si="26"/>
        <v>0</v>
      </c>
      <c r="I132" t="str">
        <f t="shared" si="44"/>
        <v>投资活动现金流出小计</v>
      </c>
      <c r="J132" t="str">
        <f t="shared" si="45"/>
        <v>2021年-2023年及2024年12月，拟承租人投资活动现金流出小计分别为0.00亿元、0.00亿元、0.00亿元及0.00亿元。</v>
      </c>
      <c r="M132" s="96" t="e">
        <f t="shared" si="47"/>
        <v>#DIV/0!</v>
      </c>
      <c r="N132" s="96" t="e">
        <f t="shared" si="48"/>
        <v>#DIV/0!</v>
      </c>
    </row>
    <row r="133" spans="1:14" ht="15.35">
      <c r="A133" s="119" t="s">
        <v>510</v>
      </c>
      <c r="B133" s="117">
        <f>ROUND(HLOOKUP($B$3,cf!$C$1:$Z$68,MATCH("*"&amp;A133&amp;"*",cf!$B$1:$B$68,),FALSE),0)/IF(ISNUMBER(SEARCH("亿", $A$2)), 100000000,
IF(ISNUMBER(SEARCH("万", $A$2)), 10000, 1))</f>
        <v>0</v>
      </c>
      <c r="C133" s="117">
        <f>ROUND(HLOOKUP($C$3,cf!$C$1:$Z$68,MATCH("*"&amp;A133&amp;"*",cf!$B$1:$B$68,),FALSE),0)/IF(ISNUMBER(SEARCH("亿", $A$2)), 100000000,
IF(ISNUMBER(SEARCH("万", $A$2)), 10000, 1))</f>
        <v>0</v>
      </c>
      <c r="D133" s="117">
        <f>ROUND(HLOOKUP($D$3,cf!$C$1:$Z$68,MATCH("*"&amp;A133&amp;"*",cf!$B$1:$B$68,),FALSE),0)/IF(ISNUMBER(SEARCH("亿", $A$2)), 100000000,
IF(ISNUMBER(SEARCH("万", $A$2)), 10000, 1))</f>
        <v>0</v>
      </c>
      <c r="E133" s="117">
        <f>ROUND(HLOOKUP($E$3,cf!$C$1:$Z$68,MATCH("*"&amp;A133&amp;"*",cf!$B$1:$B$68,),FALSE),0)/IF(ISNUMBER(SEARCH("亿", $A$2)), 100000000,
IF(ISNUMBER(SEARCH("万", $A$2)), 10000, 1))</f>
        <v>0</v>
      </c>
      <c r="H133" s="118">
        <f t="shared" si="26"/>
        <v>0</v>
      </c>
      <c r="I133" t="str">
        <f t="shared" si="44"/>
        <v>投资活动产生的现金流量净额</v>
      </c>
      <c r="J133" t="str">
        <f t="shared" si="45"/>
        <v>2021年-2023年及2024年12月，拟承租人投资活动产生的现金流量净额分别为0.00亿元、0.00亿元、0.00亿元及0.00亿元。</v>
      </c>
      <c r="M133" s="96" t="e">
        <f t="shared" si="47"/>
        <v>#DIV/0!</v>
      </c>
      <c r="N133" s="96" t="e">
        <f t="shared" si="48"/>
        <v>#DIV/0!</v>
      </c>
    </row>
    <row r="134" spans="1:14" ht="15.35">
      <c r="A134" s="116" t="s">
        <v>651</v>
      </c>
      <c r="B134" s="117">
        <f>ROUND(HLOOKUP($B$3,cf!$C$1:$Z$68,MATCH("*"&amp;A134&amp;"*",cf!$B$1:$B$68,),FALSE),0)/IF(ISNUMBER(SEARCH("亿", $A$2)), 100000000,
IF(ISNUMBER(SEARCH("万", $A$2)), 10000, 1))</f>
        <v>0</v>
      </c>
      <c r="C134" s="117">
        <f>ROUND(HLOOKUP($C$3,cf!$C$1:$Z$68,MATCH("*"&amp;A134&amp;"*",cf!$B$1:$B$68,),FALSE),0)/IF(ISNUMBER(SEARCH("亿", $A$2)), 100000000,
IF(ISNUMBER(SEARCH("万", $A$2)), 10000, 1))</f>
        <v>0</v>
      </c>
      <c r="D134" s="117">
        <f>ROUND(HLOOKUP($D$3,cf!$C$1:$Z$68,MATCH("*"&amp;A134&amp;"*",cf!$B$1:$B$68,),FALSE),0)/IF(ISNUMBER(SEARCH("亿", $A$2)), 100000000,
IF(ISNUMBER(SEARCH("万", $A$2)), 10000, 1))</f>
        <v>0</v>
      </c>
      <c r="E134" s="117">
        <f>ROUND(HLOOKUP($E$3,cf!$C$1:$Z$68,MATCH("*"&amp;A134&amp;"*",cf!$B$1:$B$68,),FALSE),0)/IF(ISNUMBER(SEARCH("亿", $A$2)), 100000000,
IF(ISNUMBER(SEARCH("万", $A$2)), 10000, 1))</f>
        <v>0</v>
      </c>
      <c r="H134" s="118">
        <f t="shared" si="26"/>
        <v>0</v>
      </c>
      <c r="I134" t="str">
        <f t="shared" si="44"/>
        <v>筹资活动现金流入小计</v>
      </c>
      <c r="J134" t="str">
        <f t="shared" si="45"/>
        <v>2021年-2023年及2024年12月，拟承租人筹资活动现金流入小计分别为0.00亿元、0.00亿元、0.00亿元及0.00亿元。</v>
      </c>
      <c r="M134" s="96" t="e">
        <f t="shared" si="47"/>
        <v>#DIV/0!</v>
      </c>
      <c r="N134" s="96" t="e">
        <f t="shared" si="48"/>
        <v>#DIV/0!</v>
      </c>
    </row>
    <row r="135" spans="1:14" ht="15.35">
      <c r="A135" s="116" t="s">
        <v>652</v>
      </c>
      <c r="B135" s="117">
        <f>ROUND(HLOOKUP($B$3,cf!$C$1:$Z$68,MATCH("*"&amp;A135&amp;"*",cf!$B$1:$B$68,),FALSE),0)/IF(ISNUMBER(SEARCH("亿", $A$2)), 100000000,
IF(ISNUMBER(SEARCH("万", $A$2)), 10000, 1))</f>
        <v>0</v>
      </c>
      <c r="C135" s="117">
        <f>ROUND(HLOOKUP($C$3,cf!$C$1:$Z$68,MATCH("*"&amp;A135&amp;"*",cf!$B$1:$B$68,),FALSE),0)/IF(ISNUMBER(SEARCH("亿", $A$2)), 100000000,
IF(ISNUMBER(SEARCH("万", $A$2)), 10000, 1))</f>
        <v>0</v>
      </c>
      <c r="D135" s="117">
        <f>ROUND(HLOOKUP($D$3,cf!$C$1:$Z$68,MATCH("*"&amp;A135&amp;"*",cf!$B$1:$B$68,),FALSE),0)/IF(ISNUMBER(SEARCH("亿", $A$2)), 100000000,
IF(ISNUMBER(SEARCH("万", $A$2)), 10000, 1))</f>
        <v>0</v>
      </c>
      <c r="E135" s="117">
        <f>ROUND(HLOOKUP($E$3,cf!$C$1:$Z$68,MATCH("*"&amp;A135&amp;"*",cf!$B$1:$B$68,),FALSE),0)/IF(ISNUMBER(SEARCH("亿", $A$2)), 100000000,
IF(ISNUMBER(SEARCH("万", $A$2)), 10000, 1))</f>
        <v>0</v>
      </c>
      <c r="H135" s="118">
        <f t="shared" si="26"/>
        <v>0</v>
      </c>
      <c r="I135" t="str">
        <f t="shared" si="44"/>
        <v>筹资活动现金流出小计</v>
      </c>
      <c r="J135" t="str">
        <f t="shared" si="45"/>
        <v>2021年-2023年及2024年12月，拟承租人筹资活动现金流出小计分别为0.00亿元、0.00亿元、0.00亿元及0.00亿元。</v>
      </c>
      <c r="M135" s="96" t="e">
        <f t="shared" si="47"/>
        <v>#DIV/0!</v>
      </c>
      <c r="N135" s="96" t="e">
        <f t="shared" si="48"/>
        <v>#DIV/0!</v>
      </c>
    </row>
    <row r="136" spans="1:14" ht="15.35">
      <c r="A136" s="119" t="s">
        <v>653</v>
      </c>
      <c r="B136" s="117">
        <f>ROUND(HLOOKUP($B$3,cf!$C$1:$Z$68,MATCH("*"&amp;A136&amp;"*",cf!$B$1:$B$68,),FALSE),0)/IF(ISNUMBER(SEARCH("亿", $A$2)), 100000000,
IF(ISNUMBER(SEARCH("万", $A$2)), 10000, 1))</f>
        <v>0</v>
      </c>
      <c r="C136" s="117">
        <f>ROUND(HLOOKUP($C$3,cf!$C$1:$Z$68,MATCH("*"&amp;A136&amp;"*",cf!$B$1:$B$68,),FALSE),0)/IF(ISNUMBER(SEARCH("亿", $A$2)), 100000000,
IF(ISNUMBER(SEARCH("万", $A$2)), 10000, 1))</f>
        <v>0</v>
      </c>
      <c r="D136" s="117">
        <f>ROUND(HLOOKUP($D$3,cf!$C$1:$Z$68,MATCH("*"&amp;A136&amp;"*",cf!$B$1:$B$68,),FALSE),0)/IF(ISNUMBER(SEARCH("亿", $A$2)), 100000000,
IF(ISNUMBER(SEARCH("万", $A$2)), 10000, 1))</f>
        <v>0</v>
      </c>
      <c r="E136" s="117">
        <f>ROUND(HLOOKUP($E$3,cf!$C$1:$Z$68,MATCH("*"&amp;A136&amp;"*",cf!$B$1:$B$68,),FALSE),0)/IF(ISNUMBER(SEARCH("亿", $A$2)), 100000000,
IF(ISNUMBER(SEARCH("万", $A$2)), 10000, 1))</f>
        <v>0</v>
      </c>
      <c r="H136" s="118">
        <f t="shared" si="26"/>
        <v>0</v>
      </c>
      <c r="I136" t="str">
        <f t="shared" si="44"/>
        <v>筹资活动产生的现金流量净额</v>
      </c>
      <c r="J136" t="str">
        <f t="shared" si="45"/>
        <v>2021年-2023年及2024年12月，拟承租人筹资活动产生的现金流量净额分别为0.00亿元、0.00亿元、0.00亿元及0.00亿元。</v>
      </c>
      <c r="M136" s="96" t="e">
        <f t="shared" si="47"/>
        <v>#DIV/0!</v>
      </c>
      <c r="N136" s="96" t="e">
        <f t="shared" si="48"/>
        <v>#DIV/0!</v>
      </c>
    </row>
    <row r="137" spans="1:14" ht="15.35">
      <c r="A137" s="119" t="s">
        <v>252</v>
      </c>
      <c r="B137" s="117">
        <f>ROUND(HLOOKUP($B$3,cf!$C$1:$Z$68,MATCH("*"&amp;A137&amp;"*",cf!$B$1:$B$68,),FALSE),0)/IF(ISNUMBER(SEARCH("亿", $A$2)), 100000000,
IF(ISNUMBER(SEARCH("万", $A$2)), 10000, 1))</f>
        <v>0</v>
      </c>
      <c r="C137" s="117">
        <f>ROUND(HLOOKUP($C$3,cf!$C$1:$Z$68,MATCH("*"&amp;A137&amp;"*",cf!$B$1:$B$68,),FALSE),0)/IF(ISNUMBER(SEARCH("亿", $A$2)), 100000000,
IF(ISNUMBER(SEARCH("万", $A$2)), 10000, 1))</f>
        <v>0</v>
      </c>
      <c r="D137" s="117">
        <f>ROUND(HLOOKUP($D$3,cf!$C$1:$Z$68,MATCH("*"&amp;A137&amp;"*",cf!$B$1:$B$68,),FALSE),0)/IF(ISNUMBER(SEARCH("亿", $A$2)), 100000000,
IF(ISNUMBER(SEARCH("万", $A$2)), 10000, 1))</f>
        <v>0</v>
      </c>
      <c r="E137" s="117">
        <f>ROUND(HLOOKUP($E$3,cf!$C$1:$Z$68,MATCH("*"&amp;A137&amp;"*",cf!$B$1:$B$68,),FALSE),0)/IF(ISNUMBER(SEARCH("亿", $A$2)), 100000000,
IF(ISNUMBER(SEARCH("万", $A$2)), 10000, 1))</f>
        <v>0</v>
      </c>
      <c r="H137" s="118">
        <f t="shared" ref="H137:H173" si="49">B137+C137+D137+E137</f>
        <v>0</v>
      </c>
      <c r="I137" t="str">
        <f t="shared" si="44"/>
        <v>现金及现金等价物净增加额</v>
      </c>
      <c r="J137" t="str">
        <f t="shared" si="45"/>
        <v>2021年-2023年及2024年12月，拟承租人现金及现金等价物净增加额分别为0.00亿元、0.00亿元、0.00亿元及0.00亿元。</v>
      </c>
      <c r="M137" s="96" t="e">
        <f t="shared" si="47"/>
        <v>#DIV/0!</v>
      </c>
      <c r="N137" s="96" t="e">
        <f t="shared" si="48"/>
        <v>#DIV/0!</v>
      </c>
    </row>
    <row r="138" spans="1:14" ht="44.25" hidden="1" customHeight="1">
      <c r="A138" s="119" t="s">
        <v>654</v>
      </c>
      <c r="B138" s="178"/>
      <c r="C138" s="178"/>
      <c r="D138" s="178"/>
      <c r="E138" s="178"/>
      <c r="H138" s="118">
        <f t="shared" si="49"/>
        <v>0</v>
      </c>
    </row>
    <row r="139" spans="1:14" ht="15.75" customHeight="1">
      <c r="A139" s="174" t="s">
        <v>655</v>
      </c>
      <c r="B139" s="174"/>
      <c r="C139" s="174"/>
      <c r="D139" s="174"/>
      <c r="E139" s="174"/>
      <c r="H139" s="118"/>
      <c r="I139" t="str">
        <f t="shared" ref="I139:I143" si="50">A139</f>
        <v>偿债能力分析</v>
      </c>
      <c r="J139" t="str">
        <f t="shared" ref="J139" si="51"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2021年-2023年及2024年12月，拟承租人偿债能力分析分别为0.00亿元、0.00亿元、0.00亿元及0.00亿元。</v>
      </c>
      <c r="M139" s="96"/>
      <c r="N139" s="96"/>
    </row>
    <row r="140" spans="1:14" ht="15.75" customHeight="1">
      <c r="A140" s="115" t="str">
        <f>$A$3</f>
        <v>项目</v>
      </c>
      <c r="B140" s="121" t="str">
        <f>TEXT(B$3,"YYYY年MM月")</f>
        <v>2024年12月</v>
      </c>
      <c r="C140" s="121" t="str">
        <f t="shared" ref="C140:E140" si="52">TEXT(C$3,"YYYY年MM月")</f>
        <v>2023年12月</v>
      </c>
      <c r="D140" s="121" t="str">
        <f t="shared" si="52"/>
        <v>2022年12月</v>
      </c>
      <c r="E140" s="121" t="str">
        <f t="shared" si="52"/>
        <v>2021年12月</v>
      </c>
      <c r="H140" s="118"/>
      <c r="M140" s="96">
        <f t="shared" ref="M140:M143" si="53">(C140-D140)/D140</f>
        <v>8.1299002138275119E-3</v>
      </c>
      <c r="N140" s="96">
        <f t="shared" ref="N140:N143" si="54">(D140-E140)/E140</f>
        <v>8.1965372437178587E-3</v>
      </c>
    </row>
    <row r="141" spans="1:14" ht="15.35">
      <c r="A141" s="122" t="s">
        <v>656</v>
      </c>
      <c r="B141" s="123" t="e">
        <f>B27/B79</f>
        <v>#DIV/0!</v>
      </c>
      <c r="C141" s="123" t="e">
        <f>C27/C79</f>
        <v>#DIV/0!</v>
      </c>
      <c r="D141" s="123" t="e">
        <f>D27/D79</f>
        <v>#DIV/0!</v>
      </c>
      <c r="E141" s="123" t="e">
        <f>E27/E79</f>
        <v>#DIV/0!</v>
      </c>
      <c r="G141" t="e">
        <f>CONCATENATE("从短期偿债能力指标看，近三年及一期，拟承租人",A141,"分别为",ROUND(E141,2),"、",ROUND(D141,2),"、",ROUND(C141,2),"和",ROUND(B141,2),"。")</f>
        <v>#DIV/0!</v>
      </c>
      <c r="H141" s="118" t="e">
        <f t="shared" si="49"/>
        <v>#DIV/0!</v>
      </c>
      <c r="I141" t="str">
        <f t="shared" si="50"/>
        <v>流动比率</v>
      </c>
      <c r="J141" t="e">
        <f>_xlfn.CONCAT(TEXT($E$3,"YYYY"),"年-",TEXT($C$3,"YYYY"),"年及",TEXT($B$3,"YYYY年MM月"),"，","拟承租人",I141,"分别为",ROUND(E141,2),"、",ROUND(D141,2),"、",ROUND(C141,2),"和",ROUND(B141,2),"。")</f>
        <v>#DIV/0!</v>
      </c>
      <c r="M141" s="96" t="e">
        <f t="shared" si="53"/>
        <v>#DIV/0!</v>
      </c>
      <c r="N141" s="96" t="e">
        <f t="shared" si="54"/>
        <v>#DIV/0!</v>
      </c>
    </row>
    <row r="142" spans="1:14" ht="15.35">
      <c r="A142" s="122" t="s">
        <v>657</v>
      </c>
      <c r="B142" s="117" t="e">
        <f>(B27-B22)/B79</f>
        <v>#DIV/0!</v>
      </c>
      <c r="C142" s="117" t="e">
        <f>(C27-C22)/C79</f>
        <v>#DIV/0!</v>
      </c>
      <c r="D142" s="117" t="e">
        <f>(D27-D22)/D79</f>
        <v>#DIV/0!</v>
      </c>
      <c r="E142" s="117" t="e">
        <f>(E27-E22)/E79</f>
        <v>#DIV/0!</v>
      </c>
      <c r="G142" t="e">
        <f>CONCATENATE("从短期偿债能力指标看，近三年及一期，拟承租人",A142,"分别为",ROUND(E142,2),"、",ROUND(D142,2),"、",ROUND(C142,2),"和",ROUND(B142,2),"。")</f>
        <v>#DIV/0!</v>
      </c>
      <c r="H142" s="118" t="e">
        <f t="shared" si="49"/>
        <v>#DIV/0!</v>
      </c>
      <c r="I142" t="str">
        <f t="shared" si="50"/>
        <v>速动比率</v>
      </c>
      <c r="J142" t="e">
        <f t="shared" ref="J142" si="55">_xlfn.CONCAT(TEXT($E$3,"YYYY"),"年-",TEXT($C$3,"YYYY"),"年及",TEXT($B$3,"YYYY年MM月"),"，","拟承租人",I142,"分别为",ROUND(E142,2),"、",ROUND(D142,2),"、",ROUND(C142,2),"和",ROUND(B142,2),"。")</f>
        <v>#DIV/0!</v>
      </c>
      <c r="M142" s="96" t="e">
        <f t="shared" si="53"/>
        <v>#DIV/0!</v>
      </c>
      <c r="N142" s="96" t="e">
        <f t="shared" si="54"/>
        <v>#DIV/0!</v>
      </c>
    </row>
    <row r="143" spans="1:14" ht="15.35">
      <c r="A143" s="122" t="s">
        <v>658</v>
      </c>
      <c r="B143" s="124" t="e">
        <f>B94/B55</f>
        <v>#DIV/0!</v>
      </c>
      <c r="C143" s="124" t="e">
        <f>C94/C55</f>
        <v>#DIV/0!</v>
      </c>
      <c r="D143" s="124" t="e">
        <f>D94/D55</f>
        <v>#DIV/0!</v>
      </c>
      <c r="E143" s="124" t="e">
        <f>E94/E55</f>
        <v>#DIV/0!</v>
      </c>
      <c r="G143" t="e">
        <f>CONCATENATE("近三年及一期，拟承租人",A143,"分别为",TEXT(E143,"0.00%"),"、",TEXT(D143,"0.00%"),"、",TEXT(C143,"0.00%"),"和",TEXT(B143,"0.00%"),"。")</f>
        <v>#DIV/0!</v>
      </c>
      <c r="H143" s="118" t="e">
        <f t="shared" si="49"/>
        <v>#DIV/0!</v>
      </c>
      <c r="I143" t="str">
        <f t="shared" si="50"/>
        <v>资产负债率(%)</v>
      </c>
      <c r="J143" t="e">
        <f>_xlfn.CONCAT(TEXT($E$3,"YYYY"),"年-",TEXT($C$3,"YYYY"),"年及",TEXT($B$3,"YYYY年MM月"),"，","拟承租人",LEFT(I143,5),"分别为",TEXT(E143,"0.00%"),"、",TEXT(D143,"0.00%"),"、",TEXT(C143,"0.00%"),"和",TEXT(B143,"0.00%"),"。")</f>
        <v>#DIV/0!</v>
      </c>
      <c r="M143" s="96" t="e">
        <f t="shared" si="53"/>
        <v>#DIV/0!</v>
      </c>
      <c r="N143" s="96" t="e">
        <f t="shared" si="54"/>
        <v>#DIV/0!</v>
      </c>
    </row>
    <row r="144" spans="1:14" ht="15.35" hidden="1">
      <c r="A144" s="122" t="s">
        <v>659</v>
      </c>
      <c r="B144" s="125"/>
      <c r="C144" s="125"/>
      <c r="D144" s="125"/>
      <c r="E144" s="125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18">
        <f t="shared" si="49"/>
        <v>0</v>
      </c>
    </row>
    <row r="145" spans="1:14" ht="15.35">
      <c r="A145" s="122" t="s">
        <v>660</v>
      </c>
      <c r="B145" s="124" t="e">
        <f>B79/B94</f>
        <v>#DIV/0!</v>
      </c>
      <c r="C145" s="124" t="e">
        <f>C79/C94</f>
        <v>#DIV/0!</v>
      </c>
      <c r="D145" s="124" t="e">
        <f>D79/D94</f>
        <v>#DIV/0!</v>
      </c>
      <c r="E145" s="124" t="e">
        <f>E79/E94</f>
        <v>#DIV/0!</v>
      </c>
      <c r="G145" t="e">
        <f>CONCATENATE("近三年及一期，拟承租人",A145,"分别为",TEXT(E145,"0.00%"),"、",TEXT(D145,"0.00%"),"、",TEXT(C145,"0.00%"),"和",TEXT(B145,"0.00%"),"。")</f>
        <v>#DIV/0!</v>
      </c>
      <c r="H145" s="118" t="e">
        <f t="shared" si="49"/>
        <v>#DIV/0!</v>
      </c>
      <c r="I145" t="str">
        <f t="shared" ref="I145:I173" si="56">A145</f>
        <v>流动负债率(%)</v>
      </c>
      <c r="J145" t="e">
        <f>_xlfn.CONCAT(TEXT($E$3,"YYYY"),"年-",TEXT($C$3,"YYYY"),"年及",TEXT($B$3,"YYYY年MM月"),"，","拟承租人",LEFT(I145,5),"分别为",TEXT(E145,"0.00%"),"、",TEXT(D145,"0.00%"),"、",TEXT(C145,"0.00%"),"和",TEXT(B145,"0.00%"),"。")</f>
        <v>#DIV/0!</v>
      </c>
      <c r="M145" s="96" t="e">
        <f t="shared" ref="M145:M173" si="57">(C145-D145)/D145</f>
        <v>#DIV/0!</v>
      </c>
      <c r="N145" s="96" t="e">
        <f t="shared" ref="N145:N173" si="58">(D145-E145)/E145</f>
        <v>#DIV/0!</v>
      </c>
    </row>
    <row r="146" spans="1:14" ht="15.75" customHeight="1">
      <c r="A146" s="179" t="s">
        <v>661</v>
      </c>
      <c r="B146" s="179"/>
      <c r="C146" s="179"/>
      <c r="D146" s="179"/>
      <c r="E146" s="179"/>
      <c r="H146" s="118"/>
      <c r="M146" s="96"/>
      <c r="N146" s="96"/>
    </row>
    <row r="147" spans="1:14" ht="15.75" customHeight="1">
      <c r="A147" s="115" t="str">
        <f>$A$3</f>
        <v>项目</v>
      </c>
      <c r="B147" s="121" t="str">
        <f>TEXT(B$3,"YYYY年MM月")</f>
        <v>2024年12月</v>
      </c>
      <c r="C147" s="121" t="str">
        <f t="shared" ref="C147:E147" si="59">TEXT(C$3,"YYYY年MM月")</f>
        <v>2023年12月</v>
      </c>
      <c r="D147" s="121" t="str">
        <f t="shared" si="59"/>
        <v>2022年12月</v>
      </c>
      <c r="E147" s="121" t="str">
        <f t="shared" si="59"/>
        <v>2021年12月</v>
      </c>
      <c r="H147" s="118"/>
      <c r="M147" s="96">
        <f t="shared" si="57"/>
        <v>8.1299002138275119E-3</v>
      </c>
      <c r="N147" s="96">
        <f t="shared" si="58"/>
        <v>8.1965372437178587E-3</v>
      </c>
    </row>
    <row r="148" spans="1:14" ht="15.35">
      <c r="A148" s="122" t="s">
        <v>662</v>
      </c>
      <c r="B148" s="126" t="e">
        <f>0+(B112/(B22+C22)*2)</f>
        <v>#DIV/0!</v>
      </c>
      <c r="C148" s="126" t="e">
        <f t="shared" ref="C148:D148" si="60">0+(C112/(C22+D22)*2)</f>
        <v>#DIV/0!</v>
      </c>
      <c r="D148" s="126" t="e">
        <f t="shared" si="60"/>
        <v>#DIV/0!</v>
      </c>
      <c r="E148" s="126" t="e">
        <f>E112/E22</f>
        <v>#DIV/0!</v>
      </c>
      <c r="H148" s="118" t="e">
        <f t="shared" si="49"/>
        <v>#DIV/0!</v>
      </c>
      <c r="I148" t="str">
        <f t="shared" si="56"/>
        <v>存货周转率(倍)</v>
      </c>
      <c r="J148" t="e">
        <f t="shared" ref="J148:J173" si="6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#DIV/0!</v>
      </c>
      <c r="M148" s="96" t="e">
        <f t="shared" si="57"/>
        <v>#DIV/0!</v>
      </c>
      <c r="N148" s="96" t="e">
        <f t="shared" si="58"/>
        <v>#DIV/0!</v>
      </c>
    </row>
    <row r="149" spans="1:14" ht="15.35">
      <c r="A149" s="122" t="s">
        <v>663</v>
      </c>
      <c r="B149" s="117" t="e">
        <f>0+(B111/(B55+C55)*2)</f>
        <v>#DIV/0!</v>
      </c>
      <c r="C149" s="117" t="e">
        <f t="shared" ref="C149:D149" si="62">0+(C111/(C55+D55)*2)</f>
        <v>#DIV/0!</v>
      </c>
      <c r="D149" s="117" t="e">
        <f t="shared" si="62"/>
        <v>#DIV/0!</v>
      </c>
      <c r="E149" s="117" t="e">
        <f>E111/E55</f>
        <v>#DIV/0!</v>
      </c>
      <c r="H149" s="118" t="e">
        <f t="shared" si="49"/>
        <v>#DIV/0!</v>
      </c>
      <c r="I149" t="str">
        <f t="shared" si="56"/>
        <v>总资产周转率(倍)</v>
      </c>
      <c r="J149" t="e">
        <f t="shared" si="61"/>
        <v>#DIV/0!</v>
      </c>
      <c r="M149" s="96" t="e">
        <f t="shared" si="57"/>
        <v>#DIV/0!</v>
      </c>
      <c r="N149" s="96" t="e">
        <f t="shared" si="58"/>
        <v>#DIV/0!</v>
      </c>
    </row>
    <row r="150" spans="1:14" ht="15.35">
      <c r="A150" s="122" t="s">
        <v>664</v>
      </c>
      <c r="B150" s="117" t="e">
        <f>0+(B111/(B12+C12)*2)</f>
        <v>#DIV/0!</v>
      </c>
      <c r="C150" s="117" t="e">
        <f>C111/(C12+D12)*2</f>
        <v>#DIV/0!</v>
      </c>
      <c r="D150" s="117" t="e">
        <f>D111/(D12+E12)*2</f>
        <v>#DIV/0!</v>
      </c>
      <c r="E150" s="117" t="e">
        <f>E111/E12</f>
        <v>#DIV/0!</v>
      </c>
      <c r="H150" s="118" t="e">
        <f t="shared" si="49"/>
        <v>#DIV/0!</v>
      </c>
      <c r="I150" t="str">
        <f t="shared" si="56"/>
        <v>应收账款周转率(倍)</v>
      </c>
      <c r="J150" t="e">
        <f t="shared" si="61"/>
        <v>#DIV/0!</v>
      </c>
      <c r="M150" s="96" t="e">
        <f t="shared" si="57"/>
        <v>#DIV/0!</v>
      </c>
      <c r="N150" s="96" t="e">
        <f t="shared" si="58"/>
        <v>#DIV/0!</v>
      </c>
    </row>
    <row r="151" spans="1:14" ht="15.35">
      <c r="A151" s="122" t="s">
        <v>665</v>
      </c>
      <c r="B151" s="127" t="e">
        <f>0+(B112/B111)</f>
        <v>#DIV/0!</v>
      </c>
      <c r="C151" s="127" t="e">
        <f>C112/C111</f>
        <v>#DIV/0!</v>
      </c>
      <c r="D151" s="127" t="e">
        <f>D112/D111</f>
        <v>#DIV/0!</v>
      </c>
      <c r="E151" s="127" t="e">
        <f>E112/E111</f>
        <v>#DIV/0!</v>
      </c>
      <c r="H151" s="118" t="e">
        <f t="shared" si="49"/>
        <v>#DIV/0!</v>
      </c>
      <c r="I151" t="str">
        <f t="shared" si="56"/>
        <v>主营成本比例(%)</v>
      </c>
      <c r="J151" t="e">
        <f t="shared" si="61"/>
        <v>#DIV/0!</v>
      </c>
      <c r="M151" s="96" t="e">
        <f t="shared" si="57"/>
        <v>#DIV/0!</v>
      </c>
      <c r="N151" s="96" t="e">
        <f t="shared" si="58"/>
        <v>#DIV/0!</v>
      </c>
    </row>
    <row r="152" spans="1:14" ht="15.35">
      <c r="A152" s="122" t="s">
        <v>666</v>
      </c>
      <c r="B152" s="127" t="e">
        <f>0+(B114/B111)</f>
        <v>#DIV/0!</v>
      </c>
      <c r="C152" s="127" t="e">
        <f>C114/C111</f>
        <v>#DIV/0!</v>
      </c>
      <c r="D152" s="127" t="e">
        <f>D114/D111</f>
        <v>#DIV/0!</v>
      </c>
      <c r="E152" s="127" t="e">
        <f>E114/E111</f>
        <v>#DIV/0!</v>
      </c>
      <c r="H152" s="118" t="e">
        <f t="shared" si="49"/>
        <v>#DIV/0!</v>
      </c>
      <c r="I152" t="str">
        <f t="shared" si="56"/>
        <v>营业费用比例(%)</v>
      </c>
      <c r="J152" t="e">
        <f t="shared" si="61"/>
        <v>#DIV/0!</v>
      </c>
      <c r="M152" s="96" t="e">
        <f t="shared" si="57"/>
        <v>#DIV/0!</v>
      </c>
      <c r="N152" s="96" t="e">
        <f t="shared" si="58"/>
        <v>#DIV/0!</v>
      </c>
    </row>
    <row r="153" spans="1:14" ht="15.35">
      <c r="A153" s="122" t="s">
        <v>667</v>
      </c>
      <c r="B153" s="127" t="e">
        <f>0+(B115/B111)</f>
        <v>#DIV/0!</v>
      </c>
      <c r="C153" s="127" t="e">
        <f>C115/C111</f>
        <v>#DIV/0!</v>
      </c>
      <c r="D153" s="127" t="e">
        <f>D115/D111</f>
        <v>#DIV/0!</v>
      </c>
      <c r="E153" s="127" t="e">
        <f>E115/E111</f>
        <v>#DIV/0!</v>
      </c>
      <c r="H153" s="118" t="e">
        <f t="shared" si="49"/>
        <v>#DIV/0!</v>
      </c>
      <c r="I153" t="str">
        <f t="shared" si="56"/>
        <v>管理费用比例(%)</v>
      </c>
      <c r="J153" t="e">
        <f t="shared" si="61"/>
        <v>#DIV/0!</v>
      </c>
      <c r="M153" s="96" t="e">
        <f t="shared" si="57"/>
        <v>#DIV/0!</v>
      </c>
      <c r="N153" s="96" t="e">
        <f t="shared" si="58"/>
        <v>#DIV/0!</v>
      </c>
    </row>
    <row r="154" spans="1:14" ht="15.35">
      <c r="A154" s="122" t="s">
        <v>668</v>
      </c>
      <c r="B154" s="127" t="e">
        <f>0+(B117/B111)</f>
        <v>#DIV/0!</v>
      </c>
      <c r="C154" s="127" t="e">
        <f>C117/C111</f>
        <v>#DIV/0!</v>
      </c>
      <c r="D154" s="127" t="e">
        <f>D117/D111</f>
        <v>#DIV/0!</v>
      </c>
      <c r="E154" s="127" t="e">
        <f>E117/E111</f>
        <v>#DIV/0!</v>
      </c>
      <c r="H154" s="118" t="e">
        <f t="shared" si="49"/>
        <v>#DIV/0!</v>
      </c>
      <c r="I154" t="str">
        <f t="shared" si="56"/>
        <v>财务费用比例(%)</v>
      </c>
      <c r="J154" t="e">
        <f t="shared" si="61"/>
        <v>#DIV/0!</v>
      </c>
      <c r="M154" s="96" t="e">
        <f t="shared" si="57"/>
        <v>#DIV/0!</v>
      </c>
      <c r="N154" s="96" t="e">
        <f t="shared" si="58"/>
        <v>#DIV/0!</v>
      </c>
    </row>
    <row r="155" spans="1:14" ht="15.75" customHeight="1">
      <c r="A155" s="174" t="s">
        <v>841</v>
      </c>
      <c r="B155" s="174"/>
      <c r="C155" s="174"/>
      <c r="D155" s="174"/>
      <c r="E155" s="174"/>
      <c r="H155" s="118"/>
      <c r="I155" t="str">
        <f t="shared" si="56"/>
        <v>盈利能力分析</v>
      </c>
      <c r="M155" s="96"/>
      <c r="N155" s="96"/>
    </row>
    <row r="156" spans="1:14" ht="15.75" customHeight="1">
      <c r="A156" s="115" t="str">
        <f>$A$3</f>
        <v>项目</v>
      </c>
      <c r="B156" s="121" t="str">
        <f>TEXT(B$3,"YYYY年MM月")</f>
        <v>2024年12月</v>
      </c>
      <c r="C156" s="121" t="str">
        <f t="shared" ref="C156:E156" si="63">TEXT(C$3,"YYYY年MM月")</f>
        <v>2023年12月</v>
      </c>
      <c r="D156" s="121" t="str">
        <f t="shared" si="63"/>
        <v>2022年12月</v>
      </c>
      <c r="E156" s="121" t="str">
        <f t="shared" si="63"/>
        <v>2021年12月</v>
      </c>
      <c r="H156" s="118"/>
      <c r="M156" s="96">
        <f t="shared" si="57"/>
        <v>8.1299002138275119E-3</v>
      </c>
      <c r="N156" s="96">
        <f t="shared" si="58"/>
        <v>8.1965372437178587E-3</v>
      </c>
    </row>
    <row r="157" spans="1:14" ht="15.75" customHeight="1">
      <c r="A157" s="128" t="str">
        <f>A111</f>
        <v>营业总收入</v>
      </c>
      <c r="B157" s="129">
        <f t="shared" ref="B157:E157" si="64">B111</f>
        <v>0</v>
      </c>
      <c r="C157" s="129">
        <f t="shared" si="64"/>
        <v>0</v>
      </c>
      <c r="D157" s="129">
        <f t="shared" si="64"/>
        <v>0</v>
      </c>
      <c r="E157" s="129">
        <f t="shared" si="64"/>
        <v>0</v>
      </c>
      <c r="H157" s="118"/>
      <c r="I157" t="str">
        <f t="shared" si="56"/>
        <v>营业总收入</v>
      </c>
      <c r="J157" t="str">
        <f t="shared" si="61"/>
        <v>2021年-2023年及2024年12月，拟承租人营业总收入分别为0.00亿元、0.00亿元、0.00亿元及0.00亿元。</v>
      </c>
      <c r="M157" s="96" t="e">
        <f t="shared" si="57"/>
        <v>#DIV/0!</v>
      </c>
      <c r="N157" s="96" t="e">
        <f t="shared" si="58"/>
        <v>#DIV/0!</v>
      </c>
    </row>
    <row r="158" spans="1:14" ht="15.75" customHeight="1">
      <c r="A158" s="128" t="str">
        <f>A112</f>
        <v>营业成本</v>
      </c>
      <c r="B158" s="129">
        <f t="shared" ref="B158:E158" si="65">B112</f>
        <v>0</v>
      </c>
      <c r="C158" s="129">
        <f t="shared" si="65"/>
        <v>0</v>
      </c>
      <c r="D158" s="129">
        <f t="shared" si="65"/>
        <v>0</v>
      </c>
      <c r="E158" s="129">
        <f t="shared" si="65"/>
        <v>0</v>
      </c>
      <c r="H158" s="118"/>
      <c r="I158" t="str">
        <f t="shared" si="56"/>
        <v>营业成本</v>
      </c>
      <c r="J158" t="str">
        <f t="shared" si="61"/>
        <v>2021年-2023年及2024年12月，拟承租人营业成本分别为0.00亿元、0.00亿元、0.00亿元及0.00亿元。</v>
      </c>
      <c r="M158" s="96" t="e">
        <f t="shared" si="57"/>
        <v>#DIV/0!</v>
      </c>
      <c r="N158" s="96" t="e">
        <f t="shared" si="58"/>
        <v>#DIV/0!</v>
      </c>
    </row>
    <row r="159" spans="1:14" ht="15.75" customHeight="1">
      <c r="A159" s="128" t="str">
        <f>A121</f>
        <v>利润总额</v>
      </c>
      <c r="B159" s="129">
        <f t="shared" ref="B159:E159" si="66">B121</f>
        <v>0</v>
      </c>
      <c r="C159" s="129">
        <f t="shared" si="66"/>
        <v>0</v>
      </c>
      <c r="D159" s="129">
        <f t="shared" si="66"/>
        <v>0</v>
      </c>
      <c r="E159" s="129">
        <f t="shared" si="66"/>
        <v>0</v>
      </c>
      <c r="H159" s="118"/>
      <c r="I159" t="str">
        <f t="shared" si="56"/>
        <v>利润总额</v>
      </c>
      <c r="J159" t="str">
        <f t="shared" si="61"/>
        <v>2021年-2023年及2024年12月，拟承租人利润总额分别为0.00亿元、0.00亿元、0.00亿元及0.00亿元。</v>
      </c>
      <c r="M159" s="96" t="e">
        <f t="shared" si="57"/>
        <v>#DIV/0!</v>
      </c>
      <c r="N159" s="96" t="e">
        <f t="shared" si="58"/>
        <v>#DIV/0!</v>
      </c>
    </row>
    <row r="160" spans="1:14" ht="15.35">
      <c r="A160" s="122" t="s">
        <v>670</v>
      </c>
      <c r="B160" s="127" t="e">
        <f>B123/B111</f>
        <v>#DIV/0!</v>
      </c>
      <c r="C160" s="127" t="e">
        <f>C123/C111</f>
        <v>#DIV/0!</v>
      </c>
      <c r="D160" s="127" t="e">
        <f>D123/D111</f>
        <v>#DIV/0!</v>
      </c>
      <c r="E160" s="127" t="e">
        <f>E123/E111</f>
        <v>#DIV/0!</v>
      </c>
      <c r="H160" s="118" t="e">
        <f t="shared" si="49"/>
        <v>#DIV/0!</v>
      </c>
      <c r="I160" t="str">
        <f t="shared" si="56"/>
        <v>净利润率(%)</v>
      </c>
      <c r="J160" t="e">
        <f t="shared" si="61"/>
        <v>#DIV/0!</v>
      </c>
      <c r="M160" s="96" t="e">
        <f t="shared" si="57"/>
        <v>#DIV/0!</v>
      </c>
      <c r="N160" s="96" t="e">
        <f t="shared" si="58"/>
        <v>#DIV/0!</v>
      </c>
    </row>
    <row r="161" spans="1:14" ht="15.35">
      <c r="A161" s="122" t="s">
        <v>671</v>
      </c>
      <c r="B161" s="127" t="e">
        <f>(B111-B112)/B111</f>
        <v>#DIV/0!</v>
      </c>
      <c r="C161" s="127" t="e">
        <f>(C111-C112)/C111</f>
        <v>#DIV/0!</v>
      </c>
      <c r="D161" s="127" t="e">
        <f>(D111-D112)/D111</f>
        <v>#DIV/0!</v>
      </c>
      <c r="E161" s="127" t="e">
        <f>(E111-E112)/E111</f>
        <v>#DIV/0!</v>
      </c>
      <c r="G161" s="19" t="e">
        <f>CONCATENATE("近三年及一期，拟承租人营业毛利率分别为",TEXT(E161,"0.00%"),"、",TEXT(D161,"0.00%"),"、",TEXT(C161,"0.00%"),"及",TEXT(B161,"0.00%"),"。")</f>
        <v>#DIV/0!</v>
      </c>
      <c r="H161" s="118" t="e">
        <f t="shared" si="49"/>
        <v>#DIV/0!</v>
      </c>
      <c r="I161" t="str">
        <f t="shared" si="56"/>
        <v>营业毛利率(%)</v>
      </c>
      <c r="J161" t="e">
        <f t="shared" si="61"/>
        <v>#DIV/0!</v>
      </c>
      <c r="M161" s="96" t="e">
        <f t="shared" si="57"/>
        <v>#DIV/0!</v>
      </c>
      <c r="N161" s="96" t="e">
        <f t="shared" si="58"/>
        <v>#DIV/0!</v>
      </c>
    </row>
    <row r="162" spans="1:14" ht="15.35">
      <c r="A162" s="122" t="s">
        <v>672</v>
      </c>
      <c r="B162" s="127" t="e">
        <f>B120/(B55+C55)*2</f>
        <v>#DIV/0!</v>
      </c>
      <c r="C162" s="127" t="e">
        <f>C120/(C55+D55)*2</f>
        <v>#DIV/0!</v>
      </c>
      <c r="D162" s="127" t="e">
        <f>D120/(D55+E55)*2</f>
        <v>#DIV/0!</v>
      </c>
      <c r="E162" s="127" t="e">
        <f>E120/E55</f>
        <v>#DIV/0!</v>
      </c>
      <c r="H162" s="118" t="e">
        <f t="shared" si="49"/>
        <v>#DIV/0!</v>
      </c>
      <c r="I162" t="str">
        <f t="shared" si="56"/>
        <v>资产利润率(%)</v>
      </c>
      <c r="J162" t="e">
        <f t="shared" si="61"/>
        <v>#DIV/0!</v>
      </c>
      <c r="M162" s="96" t="e">
        <f t="shared" si="57"/>
        <v>#DIV/0!</v>
      </c>
      <c r="N162" s="96" t="e">
        <f t="shared" si="58"/>
        <v>#DIV/0!</v>
      </c>
    </row>
    <row r="163" spans="1:14" ht="15.35">
      <c r="A163" s="122" t="s">
        <v>673</v>
      </c>
      <c r="B163" s="127" t="e">
        <f>B123/(B55+C55)*2</f>
        <v>#DIV/0!</v>
      </c>
      <c r="C163" s="127" t="e">
        <f>C123/(C55+D55)*2</f>
        <v>#DIV/0!</v>
      </c>
      <c r="D163" s="127" t="e">
        <f>D123/(D55+E55)*2</f>
        <v>#DIV/0!</v>
      </c>
      <c r="E163" s="127" t="e">
        <f>E123/E55</f>
        <v>#DIV/0!</v>
      </c>
      <c r="H163" s="118" t="e">
        <f t="shared" si="49"/>
        <v>#DIV/0!</v>
      </c>
      <c r="I163" t="str">
        <f t="shared" si="56"/>
        <v>资产净利润率(%)</v>
      </c>
      <c r="J163" t="e">
        <f t="shared" si="61"/>
        <v>#DIV/0!</v>
      </c>
      <c r="M163" s="96" t="e">
        <f t="shared" si="57"/>
        <v>#DIV/0!</v>
      </c>
      <c r="N163" s="96" t="e">
        <f t="shared" si="58"/>
        <v>#DIV/0!</v>
      </c>
    </row>
    <row r="164" spans="1:14" ht="15.35">
      <c r="A164" s="122" t="s">
        <v>674</v>
      </c>
      <c r="B164" s="127" t="e">
        <f>B123/(B108+C108)*2</f>
        <v>#DIV/0!</v>
      </c>
      <c r="C164" s="127" t="e">
        <f>C123/(C108+D108)*2</f>
        <v>#DIV/0!</v>
      </c>
      <c r="D164" s="127" t="e">
        <f>D123/(D108+E108)*2</f>
        <v>#DIV/0!</v>
      </c>
      <c r="E164" s="127" t="e">
        <f>E123/E108</f>
        <v>#DIV/0!</v>
      </c>
      <c r="H164" s="118" t="e">
        <f t="shared" si="49"/>
        <v>#DIV/0!</v>
      </c>
      <c r="I164" t="str">
        <f t="shared" si="56"/>
        <v>净资产收益率(%)</v>
      </c>
      <c r="J164" t="e">
        <f t="shared" si="61"/>
        <v>#DIV/0!</v>
      </c>
      <c r="M164" s="96" t="e">
        <f t="shared" si="57"/>
        <v>#DIV/0!</v>
      </c>
      <c r="N164" s="96" t="e">
        <f t="shared" si="58"/>
        <v>#DIV/0!</v>
      </c>
    </row>
    <row r="165" spans="1:14" ht="15.75" customHeight="1">
      <c r="A165" s="174" t="s">
        <v>675</v>
      </c>
      <c r="B165" s="174"/>
      <c r="C165" s="174"/>
      <c r="D165" s="174"/>
      <c r="E165" s="174"/>
      <c r="H165" s="118"/>
      <c r="I165" t="str">
        <f t="shared" si="56"/>
        <v>财务结构分析</v>
      </c>
      <c r="J165" t="str">
        <f t="shared" si="61"/>
        <v>2021年-2023年及2024年12月，拟承租人财务结构分析分别为0.00亿元、0.00亿元、0.00亿元及0.00亿元。</v>
      </c>
      <c r="M165" s="96"/>
      <c r="N165" s="96"/>
    </row>
    <row r="166" spans="1:14" ht="15.75" customHeight="1">
      <c r="A166" s="115" t="str">
        <f>$A$3</f>
        <v>项目</v>
      </c>
      <c r="B166" s="121" t="str">
        <f>TEXT(B$3,"YYYY年MM月")</f>
        <v>2024年12月</v>
      </c>
      <c r="C166" s="121" t="str">
        <f t="shared" ref="C166:E166" si="67">TEXT(C$3,"YYYY年MM月")</f>
        <v>2023年12月</v>
      </c>
      <c r="D166" s="121" t="str">
        <f t="shared" si="67"/>
        <v>2022年12月</v>
      </c>
      <c r="E166" s="121" t="str">
        <f t="shared" si="67"/>
        <v>2021年12月</v>
      </c>
      <c r="H166" s="118"/>
      <c r="M166" s="96">
        <f t="shared" si="57"/>
        <v>8.1299002138275119E-3</v>
      </c>
      <c r="N166" s="96">
        <f t="shared" si="58"/>
        <v>8.1965372437178587E-3</v>
      </c>
    </row>
    <row r="167" spans="1:14" ht="15.35">
      <c r="A167" s="122" t="s">
        <v>676</v>
      </c>
      <c r="B167" s="127" t="e">
        <f>B108/B55</f>
        <v>#DIV/0!</v>
      </c>
      <c r="C167" s="127" t="e">
        <f>C108/C55</f>
        <v>#DIV/0!</v>
      </c>
      <c r="D167" s="127" t="e">
        <f>D108/D55</f>
        <v>#DIV/0!</v>
      </c>
      <c r="E167" s="127" t="e">
        <f>E108/E55</f>
        <v>#DIV/0!</v>
      </c>
      <c r="H167" s="118" t="e">
        <f t="shared" si="49"/>
        <v>#DIV/0!</v>
      </c>
      <c r="I167" t="str">
        <f t="shared" si="56"/>
        <v>股东权益比(%)</v>
      </c>
      <c r="J167" t="e">
        <f t="shared" si="61"/>
        <v>#DIV/0!</v>
      </c>
      <c r="M167" s="96" t="e">
        <f t="shared" si="57"/>
        <v>#DIV/0!</v>
      </c>
      <c r="N167" s="96" t="e">
        <f t="shared" si="58"/>
        <v>#DIV/0!</v>
      </c>
    </row>
    <row r="168" spans="1:14" ht="15.35">
      <c r="A168" s="122" t="s">
        <v>677</v>
      </c>
      <c r="B168" s="127" t="e">
        <f>B93/B55</f>
        <v>#DIV/0!</v>
      </c>
      <c r="C168" s="127" t="e">
        <f>C93/C55</f>
        <v>#DIV/0!</v>
      </c>
      <c r="D168" s="127" t="e">
        <f>D93/D55</f>
        <v>#DIV/0!</v>
      </c>
      <c r="E168" s="127" t="e">
        <f>E93/E55</f>
        <v>#DIV/0!</v>
      </c>
      <c r="H168" s="118" t="e">
        <f t="shared" si="49"/>
        <v>#DIV/0!</v>
      </c>
      <c r="I168" t="str">
        <f t="shared" si="56"/>
        <v>长期负债资产比(%)</v>
      </c>
      <c r="J168" t="e">
        <f t="shared" si="61"/>
        <v>#DIV/0!</v>
      </c>
      <c r="M168" s="96" t="e">
        <f t="shared" si="57"/>
        <v>#DIV/0!</v>
      </c>
      <c r="N168" s="96" t="e">
        <f t="shared" si="58"/>
        <v>#DIV/0!</v>
      </c>
    </row>
    <row r="169" spans="1:14" ht="15.75" customHeight="1">
      <c r="A169" s="174" t="s">
        <v>678</v>
      </c>
      <c r="B169" s="174"/>
      <c r="C169" s="174"/>
      <c r="D169" s="174"/>
      <c r="E169" s="174"/>
      <c r="H169" s="118"/>
      <c r="I169" t="str">
        <f t="shared" si="56"/>
        <v>现金流量分析</v>
      </c>
      <c r="J169" t="str">
        <f t="shared" si="61"/>
        <v>2021年-2023年及2024年12月，拟承租人现金流量分析分别为0.00亿元、0.00亿元、0.00亿元及0.00亿元。</v>
      </c>
      <c r="M169" s="96"/>
      <c r="N169" s="96"/>
    </row>
    <row r="170" spans="1:14" ht="15.75" customHeight="1">
      <c r="A170" s="115" t="str">
        <f>$A$3</f>
        <v>项目</v>
      </c>
      <c r="B170" s="121" t="str">
        <f>TEXT(B$3,"YYYY年MM月")</f>
        <v>2024年12月</v>
      </c>
      <c r="C170" s="121" t="str">
        <f t="shared" ref="C170:E170" si="68">TEXT(C$3,"YYYY年MM月")</f>
        <v>2023年12月</v>
      </c>
      <c r="D170" s="121" t="str">
        <f t="shared" si="68"/>
        <v>2022年12月</v>
      </c>
      <c r="E170" s="121" t="str">
        <f t="shared" si="68"/>
        <v>2021年12月</v>
      </c>
      <c r="H170" s="118"/>
      <c r="M170" s="96">
        <f t="shared" si="57"/>
        <v>8.1299002138275119E-3</v>
      </c>
      <c r="N170" s="96">
        <f t="shared" si="58"/>
        <v>8.1965372437178587E-3</v>
      </c>
    </row>
    <row r="171" spans="1:14" ht="30.7">
      <c r="A171" s="130" t="s">
        <v>679</v>
      </c>
      <c r="B171" s="117" t="e">
        <f>B127/B111</f>
        <v>#DIV/0!</v>
      </c>
      <c r="C171" s="117" t="e">
        <f>C127/C111</f>
        <v>#DIV/0!</v>
      </c>
      <c r="D171" s="117" t="e">
        <f>D127/D111</f>
        <v>#DIV/0!</v>
      </c>
      <c r="E171" s="117" t="e">
        <f>E127/E111</f>
        <v>#DIV/0!</v>
      </c>
      <c r="H171" s="118" t="e">
        <f t="shared" si="49"/>
        <v>#DIV/0!</v>
      </c>
      <c r="I171" t="str">
        <f t="shared" si="56"/>
        <v>销售商品收到的现金与主营业务比</v>
      </c>
      <c r="J171" t="e">
        <f t="shared" si="61"/>
        <v>#DIV/0!</v>
      </c>
      <c r="M171" s="96" t="e">
        <f t="shared" si="57"/>
        <v>#DIV/0!</v>
      </c>
      <c r="N171" s="96" t="e">
        <f t="shared" si="58"/>
        <v>#DIV/0!</v>
      </c>
    </row>
    <row r="172" spans="1:14" ht="15.35">
      <c r="A172" s="130" t="s">
        <v>680</v>
      </c>
      <c r="B172" s="117" t="e">
        <f>B130/B121</f>
        <v>#DIV/0!</v>
      </c>
      <c r="C172" s="117" t="e">
        <f>C130/C121</f>
        <v>#DIV/0!</v>
      </c>
      <c r="D172" s="117" t="e">
        <f>D130/D121</f>
        <v>#DIV/0!</v>
      </c>
      <c r="E172" s="117" t="e">
        <f>E130/E121</f>
        <v>#DIV/0!</v>
      </c>
      <c r="H172" s="118" t="e">
        <f t="shared" si="49"/>
        <v>#DIV/0!</v>
      </c>
      <c r="I172" t="str">
        <f t="shared" si="56"/>
        <v>经营活动现金流量与总利润比例</v>
      </c>
      <c r="J172" t="e">
        <f t="shared" si="61"/>
        <v>#DIV/0!</v>
      </c>
      <c r="M172" s="96" t="e">
        <f t="shared" si="57"/>
        <v>#DIV/0!</v>
      </c>
      <c r="N172" s="96" t="e">
        <f t="shared" si="58"/>
        <v>#DIV/0!</v>
      </c>
    </row>
    <row r="173" spans="1:14" ht="15.35">
      <c r="A173" s="130" t="s">
        <v>681</v>
      </c>
      <c r="B173" s="117" t="e">
        <f>B137/B121</f>
        <v>#DIV/0!</v>
      </c>
      <c r="C173" s="117" t="e">
        <f>C137/C121</f>
        <v>#DIV/0!</v>
      </c>
      <c r="D173" s="117" t="e">
        <f>D137/D121</f>
        <v>#DIV/0!</v>
      </c>
      <c r="E173" s="117" t="e">
        <f>E137/E121</f>
        <v>#DIV/0!</v>
      </c>
      <c r="H173" s="118" t="e">
        <f t="shared" si="49"/>
        <v>#DIV/0!</v>
      </c>
      <c r="I173" t="str">
        <f t="shared" si="56"/>
        <v>现金净流量与总利润比</v>
      </c>
      <c r="J173" t="e">
        <f t="shared" si="61"/>
        <v>#DIV/0!</v>
      </c>
      <c r="M173" s="96" t="e">
        <f t="shared" si="57"/>
        <v>#DIV/0!</v>
      </c>
      <c r="N173" s="96" t="e">
        <f t="shared" si="58"/>
        <v>#DIV/0!</v>
      </c>
    </row>
  </sheetData>
  <autoFilter ref="F5:H173" xr:uid="{00000000-0009-0000-0000-000006000000}">
    <filterColumn colId="2">
      <filters blank="1">
        <filter val="0.07"/>
        <filter val="0.09"/>
        <filter val="-0.09"/>
        <filter val="-0.10"/>
        <filter val="0.12"/>
        <filter val="0.19"/>
        <filter val="0.45"/>
        <filter val="0.49"/>
        <filter val="-0.56"/>
        <filter val="-0.92"/>
        <filter val="1,050.13"/>
        <filter val="1,235,458.42"/>
        <filter val="1,241,904.50"/>
        <filter val="1,245,533.10"/>
        <filter val="1,526.05"/>
        <filter val="1,534,487.50"/>
        <filter val="1,677,505.45"/>
        <filter val="1,792,604.98"/>
        <filter val="1,889,168.84"/>
        <filter val="1.56"/>
        <filter val="1.78"/>
        <filter val="103,019.32"/>
        <filter val="-106,803.80"/>
        <filter val="11,153.17"/>
        <filter val="111,775.31"/>
        <filter val="13,056.27"/>
        <filter val="132,043.33"/>
        <filter val="141,202.49"/>
        <filter val="143,303.41"/>
        <filter val="-143,411.24"/>
        <filter val="146,095.10"/>
        <filter val="-172,361.79"/>
        <filter val="175,436.37"/>
        <filter val="-176,915.91"/>
        <filter val="185,515.14"/>
        <filter val="2,115,847.60"/>
        <filter val="2,252,947.73"/>
        <filter val="2,254.28"/>
        <filter val="2,360,933.71"/>
        <filter val="2,929,283.02"/>
        <filter val="2.21"/>
        <filter val="203,402.88"/>
        <filter val="21.21"/>
        <filter val="234,697.15"/>
        <filter val="24,589.29"/>
        <filter val="262,031.73"/>
        <filter val="3,067,743.22"/>
        <filter val="3,099,041.15"/>
        <filter val="3,209.94"/>
        <filter val="3,266.70"/>
        <filter val="3,612,778.78"/>
        <filter val="3,719,582.58"/>
        <filter val="3.06"/>
        <filter val="3.93"/>
        <filter val="30,823.33"/>
        <filter val="-33,504.67"/>
        <filter val="35,909.27"/>
        <filter val="358,033.74"/>
        <filter val="4,248.21"/>
        <filter val="4,289,181.47"/>
        <filter val="4.00"/>
        <filter val="4.09"/>
        <filter val="421,812.93"/>
        <filter val="45,015.45"/>
        <filter val="47,164.40"/>
        <filter val="5,595,075.18"/>
        <filter val="53,183.43"/>
        <filter val="-541,316.75"/>
        <filter val="-547,071.88"/>
        <filter val="56,267.61"/>
        <filter val="581,360.10"/>
        <filter val="6.90"/>
        <filter val="65,645.94"/>
        <filter val="-67,301.83"/>
        <filter val="693,678.97"/>
        <filter val="7,218,464.49"/>
        <filter val="753,771.18"/>
        <filter val="802,634.79"/>
        <filter val="869,618.13"/>
        <filter val="9,221.12"/>
        <filter val="9.52"/>
        <filter val="91,320.38"/>
        <filter val="99,924.83"/>
      </filters>
    </filterColumn>
  </autoFilter>
  <mergeCells count="13">
    <mergeCell ref="A165:E165"/>
    <mergeCell ref="A169:E169"/>
    <mergeCell ref="A3:A4"/>
    <mergeCell ref="A125:E125"/>
    <mergeCell ref="B138:E138"/>
    <mergeCell ref="A139:E139"/>
    <mergeCell ref="A146:E146"/>
    <mergeCell ref="A155:E155"/>
    <mergeCell ref="A1:E1"/>
    <mergeCell ref="A2:E2"/>
    <mergeCell ref="A5:E5"/>
    <mergeCell ref="A109:E109"/>
    <mergeCell ref="B124:E124"/>
  </mergeCells>
  <phoneticPr fontId="49" type="noConversion"/>
  <dataValidations count="1">
    <dataValidation type="list" allowBlank="1" showInputMessage="1" showErrorMessage="1" sqref="A2" xr:uid="{330A3690-F991-4529-8BCE-7B146814F4F4}">
      <formula1>"单位：元,单位：万元,单位：亿元"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29296875" defaultRowHeight="15.35"/>
  <cols>
    <col min="1" max="1" width="20.703125" style="98" customWidth="1"/>
    <col min="2" max="5" width="13.5859375" style="99" customWidth="1"/>
    <col min="6" max="16384" width="10.29296875" style="98"/>
  </cols>
  <sheetData>
    <row r="1" spans="1:7">
      <c r="A1" s="100" t="s">
        <v>527</v>
      </c>
      <c r="B1" s="101">
        <v>43465</v>
      </c>
      <c r="C1" s="101">
        <f>DATE(YEAR(B1)+1,MONTH(B1),DAY(B1))</f>
        <v>43830</v>
      </c>
      <c r="D1" s="102">
        <f>DATE(YEAR(B1)+2,MONTH(B1),DAY(B1))</f>
        <v>44196</v>
      </c>
      <c r="E1" s="102" t="e">
        <f>bs!#REF!</f>
        <v>#REF!</v>
      </c>
    </row>
    <row r="2" spans="1:7">
      <c r="A2" s="103" t="s">
        <v>682</v>
      </c>
      <c r="B2" s="104" t="e">
        <f>ROUND(HLOOKUP(B1,bs!$C$1:$AA$110,ROW(bs!#REF!),FALSE),0)/IF(LEN($G$6)&gt;4,10000,1)</f>
        <v>#REF!</v>
      </c>
      <c r="C2" s="104" t="e">
        <f>ROUND(HLOOKUP(C1,bs!$C$1:$AA$110,ROW(bs!#REF!),FALSE),0)/IF(LEN($G$6)&gt;4,10000,1)</f>
        <v>#REF!</v>
      </c>
      <c r="D2" s="104" t="e">
        <f>ROUND(HLOOKUP(D1,bs!$C$1:$AA$110,ROW(bs!F7),FALSE),0)/IF(LEN($G$6)&gt;4,10000,1)</f>
        <v>#N/A</v>
      </c>
      <c r="E2" s="104" t="e">
        <f>ROUND(HLOOKUP(E1,bs!$C$1:$AA$110,ROW(bs!E7),FALSE),0)/IF(LEN($G$6)&gt;4,10000,1)</f>
        <v>#REF!</v>
      </c>
    </row>
    <row r="3" spans="1:7">
      <c r="A3" s="103" t="s">
        <v>683</v>
      </c>
      <c r="B3" s="104" t="e">
        <f>ROUND(HLOOKUP(B1,bs!$C$1:$AA$110,ROW(bs!#REF!),FALSE),0)/IF(LEN($G$6)&gt;4,10000,1)</f>
        <v>#REF!</v>
      </c>
      <c r="C3" s="104" t="e">
        <f>ROUND(HLOOKUP(C1,bs!$C$1:$AA$110,ROW(bs!#REF!),FALSE),0)/IF(LEN($G$6)&gt;4,10000,1)</f>
        <v>#REF!</v>
      </c>
      <c r="D3" s="104" t="e">
        <f>ROUND(HLOOKUP(D1,bs!$C$1:$AA$110,ROW(bs!F5),FALSE),0)/IF(LEN($G$6)&gt;4,10000,1)</f>
        <v>#N/A</v>
      </c>
      <c r="E3" s="104" t="e">
        <f>ROUND(HLOOKUP(E1,bs!$C$1:$AA$110,ROW(bs!E5),FALSE),0)/IF(LEN($G$6)&gt;4,10000,1)</f>
        <v>#REF!</v>
      </c>
    </row>
    <row r="4" spans="1:7">
      <c r="A4" s="103" t="s">
        <v>684</v>
      </c>
      <c r="B4" s="104" t="e">
        <f>ROUND(HLOOKUP(B1,bs!$C$1:$AA$110,ROW(bs!#REF!),FALSE),0)/IF(LEN($G$6)&gt;4,10000,1)</f>
        <v>#REF!</v>
      </c>
      <c r="C4" s="104" t="e">
        <f>ROUND(HLOOKUP(C1,bs!$C$1:$AA$110,ROW(bs!#REF!),FALSE),0)/IF(LEN($G$6)&gt;4,10000,1)</f>
        <v>#REF!</v>
      </c>
      <c r="D4" s="104" t="e">
        <f>ROUND(HLOOKUP(D1,bs!$C$1:$AA$110,ROW(bs!F24),FALSE),0)/IF(LEN($G$6)&gt;4,10000,1)</f>
        <v>#N/A</v>
      </c>
      <c r="E4" s="104" t="e">
        <f>ROUND(HLOOKUP(E1,bs!$C$1:$AA$110,ROW(bs!E24),FALSE),0)/IF(LEN($G$6)&gt;4,10000,1)</f>
        <v>#REF!</v>
      </c>
    </row>
    <row r="5" spans="1:7">
      <c r="A5" s="103" t="s">
        <v>685</v>
      </c>
      <c r="B5" s="104" t="e">
        <f>ROUND(HLOOKUP(B1,bs!$C$1:$AA$110,ROW(bs!#REF!),FALSE),0)/IF(LEN($G$6)&gt;4,10000,1)</f>
        <v>#REF!</v>
      </c>
      <c r="C5" s="104" t="e">
        <f>ROUND(HLOOKUP(C1,bs!$C$1:$AA$110,ROW(bs!#REF!),FALSE),0)/IF(LEN($G$6)&gt;4,10000,1)</f>
        <v>#REF!</v>
      </c>
      <c r="D5" s="104" t="e">
        <f>ROUND(HLOOKUP(D1,bs!$C$1:$AA$110,ROW(bs!F33),FALSE),0)/IF(LEN($G$6)&gt;4,10000,1)</f>
        <v>#N/A</v>
      </c>
      <c r="E5" s="104" t="e">
        <f>ROUND(HLOOKUP(E1,bs!$C$1:$AA$110,ROW(bs!E33),FALSE),0)/IF(LEN($G$6)&gt;4,10000,1)</f>
        <v>#REF!</v>
      </c>
    </row>
    <row r="6" spans="1:7">
      <c r="A6" s="103" t="s">
        <v>686</v>
      </c>
      <c r="B6" s="104" t="e">
        <f>ROUND(HLOOKUP(B1,bs!$C$1:$AA$110,ROW(bs!#REF!),FALSE),0)/IF(LEN($G$6)&gt;4,10000,1)</f>
        <v>#REF!</v>
      </c>
      <c r="C6" s="104" t="e">
        <f>ROUND(HLOOKUP(C1,bs!$C$1:$AA$110,ROW(bs!#REF!),FALSE),0)/IF(LEN($G$6)&gt;4,10000,1)</f>
        <v>#REF!</v>
      </c>
      <c r="D6" s="104" t="e">
        <f>ROUND(HLOOKUP(D1,bs!$C$1:$AA$110,ROW(bs!F35),FALSE),0)/IF(LEN($G$6)&gt;4,10000,1)</f>
        <v>#N/A</v>
      </c>
      <c r="E6" s="104" t="e">
        <f>ROUND(HLOOKUP(E1,bs!$C$1:$AA$110,ROW(bs!E35),FALSE),0)/IF(LEN($G$6)&gt;4,10000,1)</f>
        <v>#REF!</v>
      </c>
      <c r="G6" s="105" t="s">
        <v>533</v>
      </c>
    </row>
    <row r="7" spans="1:7">
      <c r="A7" s="103" t="s">
        <v>687</v>
      </c>
      <c r="B7" s="104" t="e">
        <f>ROUND(HLOOKUP(B1,bs!$C$1:$AA$110,ROW(bs!#REF!),FALSE),0)/IF(LEN($G$6)&gt;4,10000,1)</f>
        <v>#REF!</v>
      </c>
      <c r="C7" s="104" t="e">
        <f>ROUND(HLOOKUP(C1,bs!$C$1:$AA$110,ROW(bs!#REF!),FALSE),0)/IF(LEN($G$6)&gt;4,10000,1)</f>
        <v>#REF!</v>
      </c>
      <c r="D7" s="104" t="e">
        <f>ROUND(HLOOKUP(D1,bs!$C$1:$AA$110,ROW(bs!F53),FALSE),0)/IF(LEN($G$6)&gt;4,10000,1)</f>
        <v>#N/A</v>
      </c>
      <c r="E7" s="104" t="e">
        <f>ROUND(HLOOKUP(E1,bs!$C$1:$AA$110,ROW(bs!E53),FALSE),0)/IF(LEN($G$6)&gt;4,10000,1)</f>
        <v>#REF!</v>
      </c>
    </row>
    <row r="8" spans="1:7">
      <c r="A8" s="103" t="s">
        <v>688</v>
      </c>
      <c r="B8" s="104" t="e">
        <f>ROUND(HLOOKUP(B1,bs!$C$1:$AA$110,ROW(bs!#REF!),FALSE),0)/IF(LEN($G$6)&gt;4,10000,1)</f>
        <v>#REF!</v>
      </c>
      <c r="C8" s="104" t="e">
        <f>ROUND(HLOOKUP(C1,bs!$C$1:$AA$110,ROW(bs!#REF!),FALSE),0)/IF(LEN($G$6)&gt;4,10000,1)</f>
        <v>#REF!</v>
      </c>
      <c r="D8" s="104" t="e">
        <f>ROUND(HLOOKUP(D1,bs!$C$1:$AA$110,ROW(bs!F54),FALSE),0)/IF(LEN($G$6)&gt;4,10000,1)</f>
        <v>#N/A</v>
      </c>
      <c r="E8" s="104" t="e">
        <f>ROUND(HLOOKUP(E1,bs!$C$1:$AA$110,ROW(bs!E54),FALSE),0)/IF(LEN($G$6)&gt;4,10000,1)</f>
        <v>#REF!</v>
      </c>
    </row>
    <row r="9" spans="1:7">
      <c r="A9" s="103" t="s">
        <v>689</v>
      </c>
      <c r="B9" s="104" t="e">
        <f>ROUND(HLOOKUP(B1,bs!$C$1:$AA$110,ROW(bs!#REF!),FALSE),0)/IF(LEN($G$6)&gt;4,10000,1)</f>
        <v>#REF!</v>
      </c>
      <c r="C9" s="104" t="e">
        <f>ROUND(HLOOKUP(C1,bs!$C$1:$AA$110,ROW(bs!#REF!),FALSE),0)/IF(LEN($G$6)&gt;4,10000,1)</f>
        <v>#REF!</v>
      </c>
      <c r="D9" s="104" t="e">
        <f>ROUND(HLOOKUP(D1,bs!$C$1:$AA$110,ROW(bs!F63),FALSE),0)/IF(LEN($G$6)&gt;4,10000,1)</f>
        <v>#N/A</v>
      </c>
      <c r="E9" s="104" t="e">
        <f>ROUND(HLOOKUP(E1,bs!$C$1:$AA$110,ROW(bs!E63),FALSE),0)/IF(LEN($G$6)&gt;4,10000,1)</f>
        <v>#REF!</v>
      </c>
    </row>
    <row r="10" spans="1:7">
      <c r="A10" s="103" t="s">
        <v>690</v>
      </c>
      <c r="B10" s="104" t="e">
        <f>ROUND(HLOOKUP(B1,bs!$C$1:$AA$110,ROW(bs!#REF!),FALSE),0)/IF(LEN($G$6)&gt;4,10000,1)</f>
        <v>#REF!</v>
      </c>
      <c r="C10" s="104" t="e">
        <f>ROUND(HLOOKUP(C1,bs!$C$1:$AA$110,ROW(bs!#REF!),FALSE),0)/IF(LEN($G$6)&gt;4,10000,1)</f>
        <v>#REF!</v>
      </c>
      <c r="D10" s="104" t="e">
        <f>ROUND(HLOOKUP(D1,bs!$C$1:$AA$110,ROW(bs!F78),FALSE),0)/IF(LEN($G$6)&gt;4,10000,1)</f>
        <v>#N/A</v>
      </c>
      <c r="E10" s="104" t="e">
        <f>ROUND(HLOOKUP(E1,bs!$C$1:$AA$110,ROW(bs!E78),FALSE),0)/IF(LEN($G$6)&gt;4,10000,1)</f>
        <v>#REF!</v>
      </c>
    </row>
    <row r="11" spans="1:7">
      <c r="A11" s="103" t="s">
        <v>691</v>
      </c>
      <c r="B11" s="104" t="e">
        <f>ROUND(HLOOKUP(B1,bs!$C$1:$AA$110,ROW(bs!#REF!),FALSE),0)/IF(LEN($G$6)&gt;4,10000,1)</f>
        <v>#REF!</v>
      </c>
      <c r="C11" s="104" t="e">
        <f>ROUND(HLOOKUP(C1,bs!$C$1:$AA$110,ROW(bs!#REF!),FALSE),0)/IF(LEN($G$6)&gt;4,10000,1)</f>
        <v>#REF!</v>
      </c>
      <c r="D11" s="104" t="e">
        <f>ROUND(HLOOKUP(D1,bs!$C$1:$AA$110,ROW(bs!F79),FALSE),0)/IF(LEN($G$6)&gt;4,10000,1)</f>
        <v>#N/A</v>
      </c>
      <c r="E11" s="104" t="e">
        <f>ROUND(HLOOKUP(E1,bs!$C$1:$AA$110,ROW(bs!E79),FALSE),0)/IF(LEN($G$6)&gt;4,10000,1)</f>
        <v>#REF!</v>
      </c>
    </row>
    <row r="12" spans="1:7">
      <c r="A12" s="103" t="s">
        <v>692</v>
      </c>
      <c r="B12" s="104" t="e">
        <f>ROUND(HLOOKUP(B1,bs!$C$1:$AA$110,ROW(bs!#REF!),FALSE),0)/IF(LEN($G$6)&gt;4,10000,1)</f>
        <v>#REF!</v>
      </c>
      <c r="C12" s="104" t="e">
        <f>ROUND(HLOOKUP(C1,bs!$C$1:$AA$110,ROW(bs!#REF!),FALSE),0)/IF(LEN($G$6)&gt;4,10000,1)</f>
        <v>#REF!</v>
      </c>
      <c r="D12" s="104" t="e">
        <f>ROUND(HLOOKUP(D1,bs!$C$1:$AA$110,ROW(bs!F81),FALSE),0)/IF(LEN($G$6)&gt;4,10000,1)</f>
        <v>#N/A</v>
      </c>
      <c r="E12" s="104" t="e">
        <f>ROUND(HLOOKUP(E1,bs!$C$1:$AA$110,ROW(bs!E81),FALSE),0)/IF(LEN($G$6)&gt;4,10000,1)</f>
        <v>#REF!</v>
      </c>
    </row>
    <row r="13" spans="1:7">
      <c r="A13" s="103" t="s">
        <v>693</v>
      </c>
      <c r="B13" s="104" t="e">
        <f>ROUND(HLOOKUP(B1,bs!$C$1:$AA$110,ROW(bs!#REF!),FALSE),0)/IF(LEN($G$6)&gt;4,10000,1)</f>
        <v>#REF!</v>
      </c>
      <c r="C13" s="104" t="e">
        <f>ROUND(HLOOKUP(C1,bs!$C$1:$AA$110,ROW(bs!#REF!),FALSE),0)/IF(LEN($G$6)&gt;4,10000,1)</f>
        <v>#REF!</v>
      </c>
      <c r="D13" s="104" t="e">
        <f>ROUND(HLOOKUP(D1,bs!$C$1:$AA$110,ROW(bs!F93),FALSE),0)/IF(LEN($G$6)&gt;4,10000,1)</f>
        <v>#N/A</v>
      </c>
      <c r="E13" s="104" t="e">
        <f>ROUND(HLOOKUP(E1,bs!$C$1:$AA$110,ROW(bs!E93),FALSE),0)/IF(LEN($G$6)&gt;4,10000,1)</f>
        <v>#REF!</v>
      </c>
    </row>
    <row r="14" spans="1:7">
      <c r="A14" s="103" t="s">
        <v>694</v>
      </c>
      <c r="B14" s="104" t="e">
        <f>ROUND(HLOOKUP(B1,bs!$C$1:$AA$110,ROW(bs!#REF!),FALSE),0)/IF(LEN($G$6)&gt;4,10000,1)</f>
        <v>#REF!</v>
      </c>
      <c r="C14" s="104" t="e">
        <f>ROUND(HLOOKUP(C1,bs!$C$1:$AA$110,ROW(bs!#REF!),FALSE),0)/IF(LEN($G$6)&gt;4,10000,1)</f>
        <v>#REF!</v>
      </c>
      <c r="D14" s="104" t="e">
        <f>ROUND(HLOOKUP(D1,bs!$C$1:$AA$110,ROW(bs!F94),FALSE),0)/IF(LEN($G$6)&gt;4,10000,1)</f>
        <v>#N/A</v>
      </c>
      <c r="E14" s="104" t="e">
        <f>ROUND(HLOOKUP(E1,bs!$C$1:$AA$110,ROW(bs!E94),FALSE),0)/IF(LEN($G$6)&gt;4,10000,1)</f>
        <v>#REF!</v>
      </c>
    </row>
    <row r="15" spans="1:7">
      <c r="A15" s="103" t="s">
        <v>695</v>
      </c>
      <c r="B15" s="104" t="e">
        <f>ROUND(HLOOKUP(B1,bs!$C$1:$AA$110,ROW(bs!#REF!),FALSE),0)/IF(LEN($G$6)&gt;4,10000,1)</f>
        <v>#REF!</v>
      </c>
      <c r="C15" s="104" t="e">
        <f>ROUND(HLOOKUP(C1,bs!$C$1:$AA$110,ROW(bs!#REF!),FALSE),0)/IF(LEN($G$6)&gt;4,10000,1)</f>
        <v>#REF!</v>
      </c>
      <c r="D15" s="104" t="e">
        <f>ROUND(HLOOKUP(D1,bs!$C$1:$AA$110,ROW(bs!F109),FALSE),0)/IF(LEN($G$6)&gt;4,10000,1)</f>
        <v>#N/A</v>
      </c>
      <c r="E15" s="104" t="e">
        <f>ROUND(HLOOKUP(E1,bs!$C$1:$AA$110,ROW(bs!E109),FALSE),0)/IF(LEN($G$6)&gt;4,10000,1)</f>
        <v>#REF!</v>
      </c>
    </row>
    <row r="16" spans="1:7">
      <c r="A16" s="103" t="s">
        <v>696</v>
      </c>
      <c r="B16" s="104" t="e">
        <f>ROUND(HLOOKUP(B1,pl!$C$1:$CE$46,ROW(pl!#REF!),FALSE),0)/IF(LEN($G$6)&gt;4,10000,1)</f>
        <v>#REF!</v>
      </c>
      <c r="C16" s="104" t="e">
        <f>ROUND(HLOOKUP(C1,pl!$C$1:$CE$46,ROW(pl!#REF!),FALSE),0)/IF(LEN($G$6)&gt;4,10000,1)</f>
        <v>#REF!</v>
      </c>
      <c r="D16" s="104" t="e">
        <f>ROUND(HLOOKUP(D1,pl!$C$1:$CE$46,ROW(pl!#REF!),FALSE),0)/IF(LEN($G$6)&gt;4,10000,1)</f>
        <v>#REF!</v>
      </c>
      <c r="E16" s="104" t="e">
        <f>ROUND(HLOOKUP(E1,pl!$C$1:$CE$46,ROW(pl!F2),FALSE),0)/IF(LEN($G$6)&gt;4,10000,1)</f>
        <v>#REF!</v>
      </c>
    </row>
    <row r="17" spans="1:7">
      <c r="A17" s="103" t="s">
        <v>697</v>
      </c>
      <c r="B17" s="104" t="e">
        <f>ROUND(HLOOKUP(B1,pl!$C$1:$CE$46,ROW(pl!#REF!),FALSE),0)/IF(LEN($G$6)&gt;4,10000,1)</f>
        <v>#REF!</v>
      </c>
      <c r="C17" s="104" t="e">
        <f>ROUND(HLOOKUP(C1,pl!$C$1:$CE$46,ROW(pl!#REF!),FALSE),0)/IF(LEN($G$6)&gt;4,10000,1)</f>
        <v>#REF!</v>
      </c>
      <c r="D17" s="104" t="e">
        <f>ROUND(HLOOKUP(D1,pl!$C$1:$CE$46,ROW(pl!#REF!),FALSE),0)/IF(LEN($G$6)&gt;4,10000,1)</f>
        <v>#REF!</v>
      </c>
      <c r="E17" s="104" t="e">
        <f>ROUND(HLOOKUP(E1,pl!$C$1:$CE$46,ROW(pl!F8),FALSE),0)/IF(LEN($G$6)&gt;4,10000,1)</f>
        <v>#REF!</v>
      </c>
    </row>
    <row r="18" spans="1:7">
      <c r="A18" s="103" t="s">
        <v>698</v>
      </c>
      <c r="B18" s="104" t="e">
        <f>ROUND(HLOOKUP(B1,pl!$C$1:$CE$46,ROW(pl!#REF!),FALSE),0)/IF(LEN($G$6)&gt;4,10000,1)</f>
        <v>#REF!</v>
      </c>
      <c r="C18" s="104" t="e">
        <f>ROUND(HLOOKUP(C1,pl!$C$1:$CE$46,ROW(pl!#REF!),FALSE),0)/IF(LEN($G$6)&gt;4,10000,1)</f>
        <v>#REF!</v>
      </c>
      <c r="D18" s="104" t="e">
        <f>ROUND(HLOOKUP(D1,pl!$C$1:$CE$46,ROW(pl!#REF!),FALSE),0)/IF(LEN($G$6)&gt;4,10000,1)</f>
        <v>#REF!</v>
      </c>
      <c r="E18" s="104" t="e">
        <f>ROUND(HLOOKUP(E1,pl!$C$1:$CE$46,ROW(pl!F12),FALSE),0)/IF(LEN($G$6)&gt;4,10000,1)</f>
        <v>#REF!</v>
      </c>
    </row>
    <row r="19" spans="1:7">
      <c r="A19" s="103" t="s">
        <v>638</v>
      </c>
      <c r="B19" s="104" t="e">
        <f>ROUND(HLOOKUP(B1,pl!$C$1:$CE$46,ROW(pl!#REF!),FALSE),0)/IF(LEN($G$6)&gt;4,10000,1)</f>
        <v>#REF!</v>
      </c>
      <c r="C19" s="104" t="e">
        <f>ROUND(HLOOKUP(C1,pl!$C$1:$CE$46,ROW(pl!#REF!),FALSE),0)/IF(LEN($G$6)&gt;4,10000,1)</f>
        <v>#REF!</v>
      </c>
      <c r="D19" s="104" t="e">
        <f>ROUND(HLOOKUP(D1,pl!$C$1:$CE$46,ROW(pl!#REF!),FALSE),0)/IF(LEN($G$6)&gt;4,10000,1)</f>
        <v>#REF!</v>
      </c>
      <c r="E19" s="104" t="e">
        <f>ROUND(HLOOKUP(E1,pl!$C$1:$CE$46,ROW(pl!F13),FALSE),0)/IF(LEN($G$6)&gt;4,10000,1)</f>
        <v>#REF!</v>
      </c>
    </row>
    <row r="20" spans="1:7">
      <c r="A20" s="103" t="s">
        <v>640</v>
      </c>
      <c r="B20" s="104" t="e">
        <f>ROUND(HLOOKUP(B1,pl!$C$1:$CE$46,ROW(pl!#REF!),FALSE),0)/IF(LEN($G$6)&gt;4,10000,1)</f>
        <v>#REF!</v>
      </c>
      <c r="C20" s="104" t="e">
        <f>ROUND(HLOOKUP(C1,pl!$C$1:$CE$46,ROW(pl!#REF!),FALSE),0)/IF(LEN($G$6)&gt;4,10000,1)</f>
        <v>#REF!</v>
      </c>
      <c r="D20" s="104" t="e">
        <f>ROUND(HLOOKUP(D1,pl!$C$1:$CE$46,ROW(pl!#REF!),FALSE),0)/IF(LEN($G$6)&gt;4,10000,1)</f>
        <v>#REF!</v>
      </c>
      <c r="E20" s="104" t="e">
        <f>ROUND(HLOOKUP(E1,pl!$C$1:$CE$46,ROW(pl!F14),FALSE),0)/IF(LEN($G$6)&gt;4,10000,1)</f>
        <v>#REF!</v>
      </c>
      <c r="F20" s="106"/>
      <c r="G20" s="106"/>
    </row>
    <row r="21" spans="1:7">
      <c r="A21" s="103" t="s">
        <v>170</v>
      </c>
      <c r="B21" s="104" t="e">
        <f>ROUND(HLOOKUP(B1,pl!$C$1:$CE$46,ROW(pl!#REF!),FALSE),0)/IF(LEN($G$6)&gt;4,10000,1)</f>
        <v>#REF!</v>
      </c>
      <c r="C21" s="104" t="e">
        <f>ROUND(HLOOKUP(C1,pl!$C$1:$CE$46,ROW(pl!#REF!),FALSE),0)/IF(LEN($G$6)&gt;4,10000,1)</f>
        <v>#REF!</v>
      </c>
      <c r="D21" s="104" t="e">
        <f>ROUND(HLOOKUP(D1,pl!$C$1:$CE$46,ROW(pl!#REF!),FALSE),0)/IF(LEN($G$6)&gt;4,10000,1)</f>
        <v>#REF!</v>
      </c>
      <c r="E21" s="104" t="e">
        <f>ROUND(HLOOKUP(E1,pl!$C$1:$CE$46,ROW(pl!F18),FALSE),0)/IF(LEN($G$6)&gt;4,10000,1)</f>
        <v>#REF!</v>
      </c>
    </row>
    <row r="22" spans="1:7">
      <c r="A22" s="103" t="s">
        <v>176</v>
      </c>
      <c r="B22" s="104" t="e">
        <f>ROUND(HLOOKUP(B1,pl!$C$1:$CE$46,ROW(pl!#REF!),FALSE),0)/IF(LEN($G$6)&gt;4,10000,1)</f>
        <v>#REF!</v>
      </c>
      <c r="C22" s="104" t="e">
        <f>ROUND(HLOOKUP(C1,pl!$C$1:$CE$46,ROW(pl!#REF!),FALSE),0)/IF(LEN($G$6)&gt;4,10000,1)</f>
        <v>#REF!</v>
      </c>
      <c r="D22" s="104" t="e">
        <f>ROUND(HLOOKUP(D1,pl!$C$1:$CE$46,ROW(pl!#REF!),FALSE),0)/IF(LEN($G$6)&gt;4,10000,1)</f>
        <v>#REF!</v>
      </c>
      <c r="E22" s="104" t="e">
        <f>ROUND(HLOOKUP(E1,pl!$C$1:$CE$46,ROW(pl!F21),FALSE),0)/IF(LEN($G$6)&gt;4,10000,1)</f>
        <v>#REF!</v>
      </c>
    </row>
    <row r="23" spans="1:7">
      <c r="A23" s="103" t="s">
        <v>181</v>
      </c>
      <c r="B23" s="104" t="e">
        <f>ROUND(HLOOKUP(B1,pl!$C$1:$CE$46,ROW(pl!#REF!),FALSE),0)/IF(LEN($G$6)&gt;4,10000,1)</f>
        <v>#REF!</v>
      </c>
      <c r="C23" s="104" t="e">
        <f>ROUND(HLOOKUP(C1,pl!$C$1:$CE$46,ROW(pl!#REF!),FALSE),0)/IF(LEN($G$6)&gt;4,10000,1)</f>
        <v>#REF!</v>
      </c>
      <c r="D23" s="104" t="e">
        <f>ROUND(HLOOKUP(D1,pl!$C$1:$CE$46,ROW(pl!#REF!),FALSE),0)/IF(LEN($G$6)&gt;4,10000,1)</f>
        <v>#REF!</v>
      </c>
      <c r="E23" s="104" t="e">
        <f>ROUND(HLOOKUP(E1,pl!$C$1:$CE$46,ROW(pl!F23),FALSE),0)/IF(LEN($G$6)&gt;4,10000,1)</f>
        <v>#REF!</v>
      </c>
    </row>
    <row r="24" spans="1:7">
      <c r="A24" s="103" t="s">
        <v>699</v>
      </c>
      <c r="B24" s="104" t="e">
        <f>ROUND(HLOOKUP(B1,cf!$C$1:$CI$39,ROW(pl!#REF!),FALSE),0)/IF(LEN($G$6)&gt;4,10000,1)</f>
        <v>#REF!</v>
      </c>
      <c r="C24" s="104" t="e">
        <f>ROUND(HLOOKUP(C1,cf!$C$1:$CI$39,ROW(pl!#REF!),FALSE),0)/IF(LEN($G$6)&gt;4,10000,1)</f>
        <v>#REF!</v>
      </c>
      <c r="D24" s="104" t="e">
        <f>ROUND(HLOOKUP(D1,cf!$C$1:$CI$39,ROW(pl!#REF!),FALSE),0)/IF(LEN($G$6)&gt;4,10000,1)</f>
        <v>#REF!</v>
      </c>
      <c r="E24" s="104" t="e">
        <f>ROUND(HLOOKUP(E1,cf!$C$1:$CI$39,ROW(pl!#REF!),FALSE),0)/IF(LEN($G$6)&gt;4,10000,1)</f>
        <v>#REF!</v>
      </c>
    </row>
    <row r="25" spans="1:7">
      <c r="A25" s="103" t="s">
        <v>700</v>
      </c>
      <c r="B25" s="104" t="e">
        <f>ROUND(HLOOKUP(B1,cf!$C$1:$CI$39,ROW(pl!#REF!),FALSE),0)/IF(LEN($G$6)&gt;4,10000,1)</f>
        <v>#REF!</v>
      </c>
      <c r="C25" s="104" t="e">
        <f>ROUND(HLOOKUP(C1,cf!$C$1:$CI$39,ROW(pl!#REF!),FALSE),0)/IF(LEN($G$6)&gt;4,10000,1)</f>
        <v>#REF!</v>
      </c>
      <c r="D25" s="104" t="e">
        <f>ROUND(HLOOKUP(D1,cf!$C$1:$CI$39,ROW(pl!#REF!),FALSE),0)/IF(LEN($G$6)&gt;4,10000,1)</f>
        <v>#REF!</v>
      </c>
      <c r="E25" s="104" t="e">
        <f>ROUND(HLOOKUP(E1,cf!$C$1:$CI$39,ROW(pl!#REF!),FALSE),0)/IF(LEN($G$6)&gt;4,10000,1)</f>
        <v>#REF!</v>
      </c>
    </row>
    <row r="26" spans="1:7">
      <c r="A26" s="183" t="s">
        <v>655</v>
      </c>
      <c r="B26" s="184"/>
      <c r="C26" s="184"/>
      <c r="D26" s="184"/>
      <c r="E26" s="184"/>
    </row>
    <row r="27" spans="1:7">
      <c r="A27" s="103" t="s">
        <v>656</v>
      </c>
      <c r="B27" s="107" t="e">
        <f>B4/B10</f>
        <v>#REF!</v>
      </c>
      <c r="C27" s="107" t="e">
        <f>C4/C10</f>
        <v>#REF!</v>
      </c>
      <c r="D27" s="107" t="e">
        <f>D4/D10</f>
        <v>#N/A</v>
      </c>
      <c r="E27" s="107" t="e">
        <f>E4/E10</f>
        <v>#REF!</v>
      </c>
    </row>
    <row r="28" spans="1:7">
      <c r="A28" s="103" t="s">
        <v>657</v>
      </c>
      <c r="B28" s="107" t="e">
        <f>(B4-B2)/B10</f>
        <v>#REF!</v>
      </c>
      <c r="C28" s="107" t="e">
        <f>(C4-C2)/C10</f>
        <v>#REF!</v>
      </c>
      <c r="D28" s="107" t="e">
        <f>(D4-D2)/D10</f>
        <v>#N/A</v>
      </c>
      <c r="E28" s="107" t="e">
        <f>(E4-E2)/E10</f>
        <v>#REF!</v>
      </c>
    </row>
    <row r="29" spans="1:7">
      <c r="A29" s="103" t="s">
        <v>676</v>
      </c>
      <c r="B29" s="108" t="e">
        <f>B15/B7</f>
        <v>#REF!</v>
      </c>
      <c r="C29" s="109" t="e">
        <f>C15/C7</f>
        <v>#REF!</v>
      </c>
      <c r="D29" s="110" t="e">
        <f>D15/D7</f>
        <v>#N/A</v>
      </c>
      <c r="E29" s="110" t="e">
        <f>E15/E7</f>
        <v>#REF!</v>
      </c>
    </row>
    <row r="30" spans="1:7">
      <c r="A30" s="103" t="s">
        <v>658</v>
      </c>
      <c r="B30" s="108" t="e">
        <f>B14/B7</f>
        <v>#REF!</v>
      </c>
      <c r="C30" s="109" t="e">
        <f>C14/C7</f>
        <v>#REF!</v>
      </c>
      <c r="D30" s="110" t="e">
        <f>D14/D7</f>
        <v>#N/A</v>
      </c>
      <c r="E30" s="110" t="e">
        <f>E14/E7</f>
        <v>#REF!</v>
      </c>
    </row>
    <row r="31" spans="1:7">
      <c r="A31" s="103" t="s">
        <v>660</v>
      </c>
      <c r="B31" s="108" t="e">
        <f>B10/B14</f>
        <v>#REF!</v>
      </c>
      <c r="C31" s="109" t="e">
        <f>C10/C14</f>
        <v>#REF!</v>
      </c>
      <c r="D31" s="110" t="e">
        <f>D10/D14</f>
        <v>#N/A</v>
      </c>
      <c r="E31" s="110" t="e">
        <f>E10/E14</f>
        <v>#REF!</v>
      </c>
    </row>
    <row r="32" spans="1:7">
      <c r="A32" s="103" t="s">
        <v>701</v>
      </c>
      <c r="B32" s="107" t="e">
        <f>(B22+B20)/B20</f>
        <v>#REF!</v>
      </c>
      <c r="C32" s="107" t="e">
        <f>(C22+C20)/C20</f>
        <v>#REF!</v>
      </c>
      <c r="D32" s="107" t="e">
        <f>(D22+D20)/D20</f>
        <v>#REF!</v>
      </c>
      <c r="E32" s="107" t="e">
        <f>(E22+E20)/E20</f>
        <v>#REF!</v>
      </c>
    </row>
    <row r="33" spans="1:5">
      <c r="A33" s="180" t="s">
        <v>661</v>
      </c>
      <c r="B33" s="181"/>
      <c r="C33" s="181"/>
      <c r="D33" s="181"/>
      <c r="E33" s="181"/>
    </row>
    <row r="34" spans="1:5">
      <c r="A34" s="103" t="s">
        <v>662</v>
      </c>
      <c r="B34" s="107" t="e">
        <f>0+(B17/(B2+C2)*2)</f>
        <v>#REF!</v>
      </c>
      <c r="C34" s="107" t="e">
        <f>C17/(C2+D2)*2</f>
        <v>#REF!</v>
      </c>
      <c r="D34" s="107" t="e">
        <f>D17/(D2+E2)*2</f>
        <v>#REF!</v>
      </c>
      <c r="E34" s="107" t="e">
        <f>E17/E2</f>
        <v>#REF!</v>
      </c>
    </row>
    <row r="35" spans="1:5">
      <c r="A35" s="103" t="s">
        <v>663</v>
      </c>
      <c r="B35" s="107" t="e">
        <f>0+(B16/(B7+C7)*2)</f>
        <v>#REF!</v>
      </c>
      <c r="C35" s="107" t="e">
        <f>C16/(C7+D7)*2</f>
        <v>#REF!</v>
      </c>
      <c r="D35" s="107" t="e">
        <f>D16/(D7+E7)*2</f>
        <v>#REF!</v>
      </c>
      <c r="E35" s="107" t="e">
        <f>E16/E7</f>
        <v>#REF!</v>
      </c>
    </row>
    <row r="36" spans="1:5">
      <c r="A36" s="103" t="s">
        <v>702</v>
      </c>
      <c r="B36" s="107" t="e">
        <f>0+(B16/(B3+C3)*2)</f>
        <v>#REF!</v>
      </c>
      <c r="C36" s="107" t="e">
        <f>C16/(C3+D3)*2</f>
        <v>#REF!</v>
      </c>
      <c r="D36" s="107" t="e">
        <f>D16/(D3+E3)*2</f>
        <v>#REF!</v>
      </c>
      <c r="E36" s="107" t="e">
        <f>E16/E3</f>
        <v>#REF!</v>
      </c>
    </row>
    <row r="37" spans="1:5">
      <c r="A37" s="103" t="s">
        <v>665</v>
      </c>
      <c r="B37" s="108" t="e">
        <f>0+(B17/B16)</f>
        <v>#REF!</v>
      </c>
      <c r="C37" s="109" t="e">
        <f>C17/C16</f>
        <v>#REF!</v>
      </c>
      <c r="D37" s="110" t="e">
        <f>D17/D16</f>
        <v>#REF!</v>
      </c>
      <c r="E37" s="110" t="e">
        <f>E17/E16</f>
        <v>#REF!</v>
      </c>
    </row>
    <row r="38" spans="1:5">
      <c r="A38" s="103" t="s">
        <v>666</v>
      </c>
      <c r="B38" s="108" t="e">
        <f>0+(B18/B16)</f>
        <v>#REF!</v>
      </c>
      <c r="C38" s="109" t="e">
        <f>C18/C16</f>
        <v>#REF!</v>
      </c>
      <c r="D38" s="110" t="e">
        <f>D18/D16</f>
        <v>#REF!</v>
      </c>
      <c r="E38" s="110" t="e">
        <f>E18/E16</f>
        <v>#REF!</v>
      </c>
    </row>
    <row r="39" spans="1:5">
      <c r="A39" s="103" t="s">
        <v>667</v>
      </c>
      <c r="B39" s="108" t="e">
        <f>0+(B19/B16)</f>
        <v>#REF!</v>
      </c>
      <c r="C39" s="109" t="e">
        <f>C19/C16</f>
        <v>#REF!</v>
      </c>
      <c r="D39" s="110" t="e">
        <f>D19/D16</f>
        <v>#REF!</v>
      </c>
      <c r="E39" s="110" t="e">
        <f>E19/E16</f>
        <v>#REF!</v>
      </c>
    </row>
    <row r="40" spans="1:5">
      <c r="A40" s="103" t="s">
        <v>668</v>
      </c>
      <c r="B40" s="108" t="e">
        <f>0+(B20/B16)</f>
        <v>#REF!</v>
      </c>
      <c r="C40" s="109" t="e">
        <f>C20/C16</f>
        <v>#REF!</v>
      </c>
      <c r="D40" s="110" t="e">
        <f>D20/D16</f>
        <v>#REF!</v>
      </c>
      <c r="E40" s="110" t="e">
        <f>E20/E16</f>
        <v>#REF!</v>
      </c>
    </row>
    <row r="41" spans="1:5">
      <c r="A41" s="180" t="s">
        <v>669</v>
      </c>
      <c r="B41" s="181"/>
      <c r="C41" s="181"/>
      <c r="D41" s="181"/>
      <c r="E41" s="181"/>
    </row>
    <row r="42" spans="1:5">
      <c r="A42" s="103" t="s">
        <v>670</v>
      </c>
      <c r="B42" s="108" t="e">
        <f>B23/B16</f>
        <v>#REF!</v>
      </c>
      <c r="C42" s="109" t="e">
        <f>C23/C16</f>
        <v>#REF!</v>
      </c>
      <c r="D42" s="110" t="e">
        <f>D23/D16</f>
        <v>#REF!</v>
      </c>
      <c r="E42" s="110" t="e">
        <f>E23/E16</f>
        <v>#REF!</v>
      </c>
    </row>
    <row r="43" spans="1:5">
      <c r="A43" s="103" t="s">
        <v>703</v>
      </c>
      <c r="B43" s="108" t="e">
        <f>B21/B16</f>
        <v>#REF!</v>
      </c>
      <c r="C43" s="109" t="e">
        <f>C21/C16</f>
        <v>#REF!</v>
      </c>
      <c r="D43" s="110" t="e">
        <f>D21/D16</f>
        <v>#REF!</v>
      </c>
      <c r="E43" s="110" t="e">
        <f>E21/E16</f>
        <v>#REF!</v>
      </c>
    </row>
    <row r="44" spans="1:5">
      <c r="A44" s="103" t="s">
        <v>672</v>
      </c>
      <c r="B44" s="108" t="e">
        <f>B22/(B7+C7)*2</f>
        <v>#REF!</v>
      </c>
      <c r="C44" s="109" t="e">
        <f>C22/(C7+D7)*2</f>
        <v>#REF!</v>
      </c>
      <c r="D44" s="110" t="e">
        <f>D22/(D7+E7)*2</f>
        <v>#REF!</v>
      </c>
      <c r="E44" s="110" t="e">
        <f>E22/E7</f>
        <v>#REF!</v>
      </c>
    </row>
    <row r="45" spans="1:5">
      <c r="A45" s="103" t="s">
        <v>673</v>
      </c>
      <c r="B45" s="108" t="e">
        <f>B23/(B7+C7)*2</f>
        <v>#REF!</v>
      </c>
      <c r="C45" s="109" t="e">
        <f>C23/(C7+D7)*2</f>
        <v>#REF!</v>
      </c>
      <c r="D45" s="110" t="e">
        <f>D23/(D7+E7)*2</f>
        <v>#REF!</v>
      </c>
      <c r="E45" s="110" t="e">
        <f>E23/E7</f>
        <v>#REF!</v>
      </c>
    </row>
    <row r="46" spans="1:5">
      <c r="A46" s="103" t="s">
        <v>674</v>
      </c>
      <c r="B46" s="108" t="e">
        <f>B23/(B15+C15)*2</f>
        <v>#REF!</v>
      </c>
      <c r="C46" s="109" t="e">
        <f>C23/(C15+D15)*2</f>
        <v>#REF!</v>
      </c>
      <c r="D46" s="110" t="e">
        <f>D23/(D15+E15)*2</f>
        <v>#REF!</v>
      </c>
      <c r="E46" s="110" t="e">
        <f>E23/E15</f>
        <v>#REF!</v>
      </c>
    </row>
    <row r="47" spans="1:5">
      <c r="A47" s="180" t="s">
        <v>704</v>
      </c>
      <c r="B47" s="181"/>
      <c r="C47" s="181"/>
      <c r="D47" s="181"/>
      <c r="E47" s="181"/>
    </row>
    <row r="48" spans="1:5">
      <c r="A48" s="103" t="s">
        <v>705</v>
      </c>
      <c r="B48" s="108" t="e">
        <f>(B16-C16)/C16</f>
        <v>#REF!</v>
      </c>
      <c r="C48" s="110" t="e">
        <f>(C16-D16)/D16</f>
        <v>#REF!</v>
      </c>
      <c r="D48" s="110" t="e">
        <f>(D16-E16)/E16</f>
        <v>#REF!</v>
      </c>
      <c r="E48" s="110" t="str">
        <f>IFERROR((E16-F16)/F16,"-")</f>
        <v>-</v>
      </c>
    </row>
    <row r="49" spans="1:5">
      <c r="A49" s="103" t="s">
        <v>706</v>
      </c>
      <c r="B49" s="108" t="e">
        <f>(B23-C23)/C23</f>
        <v>#REF!</v>
      </c>
      <c r="C49" s="110" t="e">
        <f>(C23-D23)/D23</f>
        <v>#REF!</v>
      </c>
      <c r="D49" s="110" t="e">
        <f>(D23-E23)/E23</f>
        <v>#REF!</v>
      </c>
      <c r="E49" s="110" t="str">
        <f>IFERROR((E23-F23)/F23,"-")</f>
        <v>-</v>
      </c>
    </row>
    <row r="50" spans="1:5">
      <c r="A50" s="103" t="s">
        <v>707</v>
      </c>
      <c r="B50" s="108" t="e">
        <f>(B7-C7)/C7</f>
        <v>#REF!</v>
      </c>
      <c r="C50" s="110" t="e">
        <f>(C7-D7)/D7</f>
        <v>#REF!</v>
      </c>
      <c r="D50" s="110" t="e">
        <f>(D7-E7)/E7</f>
        <v>#N/A</v>
      </c>
      <c r="E50" s="110" t="str">
        <f>IFERROR((E7-F7)/F7,"-")</f>
        <v>-</v>
      </c>
    </row>
    <row r="51" spans="1:5">
      <c r="A51" s="103" t="s">
        <v>708</v>
      </c>
      <c r="B51" s="108" t="e">
        <f>(B15-C15)/C15</f>
        <v>#REF!</v>
      </c>
      <c r="C51" s="110" t="e">
        <f>(C15-D15)/D15</f>
        <v>#REF!</v>
      </c>
      <c r="D51" s="110" t="e">
        <f>(D15-E15)/E15</f>
        <v>#N/A</v>
      </c>
      <c r="E51" s="110" t="str">
        <f>IFERROR((E15-F15)/F15,"-")</f>
        <v>-</v>
      </c>
    </row>
    <row r="52" spans="1:5">
      <c r="A52" s="103" t="s">
        <v>709</v>
      </c>
      <c r="B52" s="108" t="e">
        <f t="shared" ref="B52:D53" si="0">(B21-C21)/C21</f>
        <v>#REF!</v>
      </c>
      <c r="C52" s="110" t="e">
        <f t="shared" si="0"/>
        <v>#REF!</v>
      </c>
      <c r="D52" s="110" t="e">
        <f t="shared" si="0"/>
        <v>#REF!</v>
      </c>
      <c r="E52" s="110" t="str">
        <f>IFERROR((E21-F21)/F21,"-")</f>
        <v>-</v>
      </c>
    </row>
    <row r="53" spans="1:5">
      <c r="A53" s="103" t="s">
        <v>710</v>
      </c>
      <c r="B53" s="108" t="e">
        <f t="shared" si="0"/>
        <v>#REF!</v>
      </c>
      <c r="C53" s="110" t="e">
        <f t="shared" si="0"/>
        <v>#REF!</v>
      </c>
      <c r="D53" s="110" t="e">
        <f t="shared" si="0"/>
        <v>#REF!</v>
      </c>
      <c r="E53" s="110" t="str">
        <f>IFERROR((E22-F22)/F22,"-")</f>
        <v>-</v>
      </c>
    </row>
    <row r="54" spans="1:5">
      <c r="A54" s="180" t="s">
        <v>675</v>
      </c>
      <c r="B54" s="181"/>
      <c r="C54" s="181"/>
      <c r="D54" s="181"/>
      <c r="E54" s="181"/>
    </row>
    <row r="55" spans="1:5">
      <c r="A55" s="103" t="s">
        <v>658</v>
      </c>
      <c r="B55" s="108" t="e">
        <f>B14/B7</f>
        <v>#REF!</v>
      </c>
      <c r="C55" s="110" t="e">
        <f>C14/C7</f>
        <v>#REF!</v>
      </c>
      <c r="D55" s="110" t="e">
        <f>D14/D7</f>
        <v>#N/A</v>
      </c>
      <c r="E55" s="110" t="e">
        <f>E14/E7</f>
        <v>#REF!</v>
      </c>
    </row>
    <row r="56" spans="1:5">
      <c r="A56" s="103" t="s">
        <v>677</v>
      </c>
      <c r="B56" s="108" t="e">
        <f>B13/B7</f>
        <v>#REF!</v>
      </c>
      <c r="C56" s="110" t="e">
        <f>C13/C7</f>
        <v>#REF!</v>
      </c>
      <c r="D56" s="110" t="e">
        <f>D13/D7</f>
        <v>#N/A</v>
      </c>
      <c r="E56" s="110" t="e">
        <f>E13/E7</f>
        <v>#REF!</v>
      </c>
    </row>
    <row r="57" spans="1:5">
      <c r="A57" s="180" t="s">
        <v>678</v>
      </c>
      <c r="B57" s="181"/>
      <c r="C57" s="181"/>
      <c r="D57" s="181"/>
      <c r="E57" s="181"/>
    </row>
    <row r="58" spans="1:5" ht="28">
      <c r="A58" s="103" t="s">
        <v>711</v>
      </c>
      <c r="B58" s="107" t="e">
        <f>B25/B23</f>
        <v>#REF!</v>
      </c>
      <c r="C58" s="107" t="e">
        <f>C25/C23</f>
        <v>#REF!</v>
      </c>
      <c r="D58" s="107" t="e">
        <f>D25/D23</f>
        <v>#REF!</v>
      </c>
      <c r="E58" s="107" t="e">
        <f>E25/E23</f>
        <v>#REF!</v>
      </c>
    </row>
    <row r="60" spans="1:5">
      <c r="A60" s="182" t="str">
        <f>A41</f>
        <v>盈利能力分析</v>
      </c>
      <c r="B60" s="182"/>
      <c r="C60" s="182"/>
      <c r="D60" s="182"/>
      <c r="E60" s="182"/>
    </row>
    <row r="61" spans="1:5">
      <c r="A61" s="111" t="str">
        <f>A1</f>
        <v>项目</v>
      </c>
      <c r="B61" s="112">
        <f>B1</f>
        <v>43465</v>
      </c>
      <c r="C61" s="112">
        <f>C1</f>
        <v>43830</v>
      </c>
      <c r="D61" s="112">
        <f t="shared" ref="D61:E61" si="1">D1</f>
        <v>44196</v>
      </c>
      <c r="E61" s="112" t="e">
        <f t="shared" si="1"/>
        <v>#REF!</v>
      </c>
    </row>
    <row r="62" spans="1:5">
      <c r="A62" s="103" t="s">
        <v>670</v>
      </c>
      <c r="B62" s="108" t="e">
        <f>B42</f>
        <v>#REF!</v>
      </c>
      <c r="C62" s="108" t="e">
        <f t="shared" ref="C62:E62" si="2">C42</f>
        <v>#REF!</v>
      </c>
      <c r="D62" s="108" t="e">
        <f t="shared" si="2"/>
        <v>#REF!</v>
      </c>
      <c r="E62" s="108" t="e">
        <f t="shared" si="2"/>
        <v>#REF!</v>
      </c>
    </row>
    <row r="63" spans="1:5">
      <c r="A63" s="103" t="s">
        <v>703</v>
      </c>
      <c r="B63" s="108" t="e">
        <f t="shared" ref="B63:E66" si="3">B43</f>
        <v>#REF!</v>
      </c>
      <c r="C63" s="108" t="e">
        <f t="shared" si="3"/>
        <v>#REF!</v>
      </c>
      <c r="D63" s="108" t="e">
        <f t="shared" si="3"/>
        <v>#REF!</v>
      </c>
      <c r="E63" s="108" t="e">
        <f t="shared" si="3"/>
        <v>#REF!</v>
      </c>
    </row>
    <row r="64" spans="1:5">
      <c r="A64" s="103" t="s">
        <v>672</v>
      </c>
      <c r="B64" s="108" t="e">
        <f t="shared" si="3"/>
        <v>#REF!</v>
      </c>
      <c r="C64" s="108" t="e">
        <f t="shared" si="3"/>
        <v>#REF!</v>
      </c>
      <c r="D64" s="108" t="e">
        <f t="shared" si="3"/>
        <v>#REF!</v>
      </c>
      <c r="E64" s="108" t="e">
        <f t="shared" si="3"/>
        <v>#REF!</v>
      </c>
    </row>
    <row r="65" spans="1:5">
      <c r="A65" s="103" t="s">
        <v>673</v>
      </c>
      <c r="B65" s="108" t="e">
        <f t="shared" si="3"/>
        <v>#REF!</v>
      </c>
      <c r="C65" s="108" t="e">
        <f t="shared" si="3"/>
        <v>#REF!</v>
      </c>
      <c r="D65" s="108" t="e">
        <f t="shared" si="3"/>
        <v>#REF!</v>
      </c>
      <c r="E65" s="108" t="e">
        <f t="shared" si="3"/>
        <v>#REF!</v>
      </c>
    </row>
    <row r="66" spans="1:5">
      <c r="A66" s="103" t="s">
        <v>674</v>
      </c>
      <c r="B66" s="108" t="e">
        <f t="shared" si="3"/>
        <v>#REF!</v>
      </c>
      <c r="C66" s="108" t="e">
        <f t="shared" si="3"/>
        <v>#REF!</v>
      </c>
      <c r="D66" s="108" t="e">
        <f t="shared" si="3"/>
        <v>#REF!</v>
      </c>
      <c r="E66" s="108" t="e">
        <f t="shared" si="3"/>
        <v>#REF!</v>
      </c>
    </row>
    <row r="68" spans="1:5">
      <c r="A68" s="182" t="str">
        <f>A26</f>
        <v>偿债能力分析</v>
      </c>
      <c r="B68" s="182"/>
      <c r="C68" s="182"/>
      <c r="D68" s="182"/>
      <c r="E68" s="182"/>
    </row>
    <row r="69" spans="1:5">
      <c r="A69" s="111" t="str">
        <f>A1</f>
        <v>项目</v>
      </c>
      <c r="B69" s="112">
        <f t="shared" ref="B69:E69" si="4">B1</f>
        <v>43465</v>
      </c>
      <c r="C69" s="112">
        <f t="shared" si="4"/>
        <v>43830</v>
      </c>
      <c r="D69" s="112">
        <f t="shared" si="4"/>
        <v>44196</v>
      </c>
      <c r="E69" s="112" t="e">
        <f t="shared" si="4"/>
        <v>#REF!</v>
      </c>
    </row>
    <row r="70" spans="1:5">
      <c r="A70" s="103" t="str">
        <f>A27</f>
        <v>流动比率</v>
      </c>
      <c r="B70" s="107" t="e">
        <f t="shared" ref="B70:E75" si="5">B27</f>
        <v>#REF!</v>
      </c>
      <c r="C70" s="107" t="e">
        <f t="shared" si="5"/>
        <v>#REF!</v>
      </c>
      <c r="D70" s="107" t="e">
        <f t="shared" si="5"/>
        <v>#N/A</v>
      </c>
      <c r="E70" s="107" t="e">
        <f t="shared" si="5"/>
        <v>#REF!</v>
      </c>
    </row>
    <row r="71" spans="1:5">
      <c r="A71" s="103" t="str">
        <f t="shared" ref="A71:A75" si="6">A28</f>
        <v>速动比率</v>
      </c>
      <c r="B71" s="107" t="e">
        <f t="shared" si="5"/>
        <v>#REF!</v>
      </c>
      <c r="C71" s="107" t="e">
        <f t="shared" si="5"/>
        <v>#REF!</v>
      </c>
      <c r="D71" s="107" t="e">
        <f t="shared" si="5"/>
        <v>#N/A</v>
      </c>
      <c r="E71" s="107" t="e">
        <f t="shared" si="5"/>
        <v>#REF!</v>
      </c>
    </row>
    <row r="72" spans="1:5">
      <c r="A72" s="103" t="str">
        <f t="shared" si="6"/>
        <v>股东权益比(%)</v>
      </c>
      <c r="B72" s="108" t="e">
        <f t="shared" si="5"/>
        <v>#REF!</v>
      </c>
      <c r="C72" s="109" t="e">
        <f t="shared" si="5"/>
        <v>#REF!</v>
      </c>
      <c r="D72" s="110" t="e">
        <f t="shared" si="5"/>
        <v>#N/A</v>
      </c>
      <c r="E72" s="110" t="e">
        <f t="shared" si="5"/>
        <v>#REF!</v>
      </c>
    </row>
    <row r="73" spans="1:5">
      <c r="A73" s="103" t="str">
        <f t="shared" si="6"/>
        <v>资产负债率(%)</v>
      </c>
      <c r="B73" s="108" t="e">
        <f t="shared" si="5"/>
        <v>#REF!</v>
      </c>
      <c r="C73" s="109" t="e">
        <f t="shared" si="5"/>
        <v>#REF!</v>
      </c>
      <c r="D73" s="110" t="e">
        <f t="shared" si="5"/>
        <v>#N/A</v>
      </c>
      <c r="E73" s="110" t="e">
        <f t="shared" si="5"/>
        <v>#REF!</v>
      </c>
    </row>
    <row r="74" spans="1:5">
      <c r="A74" s="103" t="str">
        <f t="shared" si="6"/>
        <v>流动负债率(%)</v>
      </c>
      <c r="B74" s="108" t="e">
        <f t="shared" si="5"/>
        <v>#REF!</v>
      </c>
      <c r="C74" s="109" t="e">
        <f t="shared" si="5"/>
        <v>#REF!</v>
      </c>
      <c r="D74" s="110" t="e">
        <f t="shared" si="5"/>
        <v>#N/A</v>
      </c>
      <c r="E74" s="110" t="e">
        <f t="shared" si="5"/>
        <v>#REF!</v>
      </c>
    </row>
    <row r="75" spans="1:5">
      <c r="A75" s="103" t="str">
        <f t="shared" si="6"/>
        <v>EBITDA利息倍数</v>
      </c>
      <c r="B75" s="107" t="e">
        <f t="shared" si="5"/>
        <v>#REF!</v>
      </c>
      <c r="C75" s="107" t="e">
        <f t="shared" si="5"/>
        <v>#REF!</v>
      </c>
      <c r="D75" s="107" t="e">
        <f t="shared" si="5"/>
        <v>#REF!</v>
      </c>
      <c r="E75" s="107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49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bs!$C$1:$P$1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B1:O98"/>
  <sheetViews>
    <sheetView workbookViewId="0">
      <selection activeCell="H64" sqref="H64"/>
    </sheetView>
  </sheetViews>
  <sheetFormatPr defaultColWidth="9" defaultRowHeight="12.7"/>
  <cols>
    <col min="2" max="2" width="17" style="82" bestFit="1" customWidth="1"/>
    <col min="3" max="3" width="10.29296875" style="83" bestFit="1" customWidth="1"/>
    <col min="4" max="4" width="8.703125" style="83" bestFit="1" customWidth="1"/>
    <col min="5" max="5" width="10.29296875" style="83" bestFit="1" customWidth="1"/>
    <col min="6" max="6" width="8.703125" style="83" bestFit="1" customWidth="1"/>
    <col min="7" max="7" width="10.29296875" style="83" bestFit="1" customWidth="1"/>
    <col min="8" max="8" width="8.703125" style="83" bestFit="1" customWidth="1"/>
    <col min="9" max="9" width="10.29296875" style="83" bestFit="1" customWidth="1"/>
    <col min="10" max="10" width="8.703125" style="83" bestFit="1" customWidth="1"/>
    <col min="12" max="12" width="7.87890625" customWidth="1"/>
    <col min="13" max="13" width="16.41015625" customWidth="1"/>
    <col min="14" max="14" width="19" customWidth="1"/>
  </cols>
  <sheetData>
    <row r="1" spans="2:15" ht="13">
      <c r="B1" s="185" t="s">
        <v>533</v>
      </c>
      <c r="C1" s="185"/>
      <c r="D1" s="185"/>
      <c r="E1" s="185"/>
      <c r="F1" s="185"/>
      <c r="G1" s="185"/>
      <c r="H1" s="185"/>
      <c r="I1" s="185"/>
      <c r="J1" s="185"/>
      <c r="N1" s="95" t="s">
        <v>712</v>
      </c>
      <c r="O1" s="95" t="s">
        <v>713</v>
      </c>
    </row>
    <row r="2" spans="2:15" ht="13">
      <c r="B2" s="188" t="s">
        <v>527</v>
      </c>
      <c r="C2" s="186">
        <f>'财务分析（2022）版'!B3</f>
        <v>45657</v>
      </c>
      <c r="D2" s="187"/>
      <c r="E2" s="186">
        <f>DATE(YEAR(C2)-1,12,31)</f>
        <v>45291</v>
      </c>
      <c r="F2" s="187"/>
      <c r="G2" s="186">
        <f>DATE(YEAR(E2)-1,12,31)</f>
        <v>44926</v>
      </c>
      <c r="H2" s="187"/>
      <c r="I2" s="186">
        <f>DATE(YEAR(G2)-1,12,31)</f>
        <v>44561</v>
      </c>
      <c r="J2" s="187"/>
      <c r="L2" s="19" t="s">
        <v>714</v>
      </c>
      <c r="M2" s="19"/>
    </row>
    <row r="3" spans="2:15" ht="13">
      <c r="B3" s="188"/>
      <c r="C3" s="84" t="s">
        <v>715</v>
      </c>
      <c r="D3" s="84" t="s">
        <v>716</v>
      </c>
      <c r="E3" s="84" t="s">
        <v>715</v>
      </c>
      <c r="F3" s="84" t="s">
        <v>716</v>
      </c>
      <c r="G3" s="84" t="s">
        <v>715</v>
      </c>
      <c r="H3" s="84" t="s">
        <v>716</v>
      </c>
      <c r="I3" s="84" t="s">
        <v>715</v>
      </c>
      <c r="J3" s="84" t="s">
        <v>716</v>
      </c>
      <c r="L3" s="19" t="s">
        <v>717</v>
      </c>
      <c r="M3" s="19" t="s">
        <v>718</v>
      </c>
    </row>
    <row r="4" spans="2:15">
      <c r="B4" s="85" t="s">
        <v>719</v>
      </c>
      <c r="C4" s="86">
        <f>ROUND(HLOOKUP($C$2,bs!$C$1:$AA$110,MATCH("*"&amp;B4&amp;"*",bs!$B$1:$B$110,0),FALSE),0)/
IF(ISNUMBER(SEARCH("亿", $B$1)), 100000000,
IF(ISNUMBER(SEARCH("万", $B$1)), 10000, 1))</f>
        <v>0</v>
      </c>
      <c r="D4" s="87" t="e">
        <f t="shared" ref="D4:D10" si="0">C4/$C$45</f>
        <v>#DIV/0!</v>
      </c>
      <c r="E4" s="86">
        <f>ROUND(HLOOKUP($E$2,bs!$C$1:$AA$110,MATCH("*"&amp;B4&amp;"*",bs!$B$1:$B$110,),FALSE),0)/IF(ISNUMBER(SEARCH("亿", $B$1)), 100000000,
IF(ISNUMBER(SEARCH("万", $B$1)), 10000, 1))</f>
        <v>0</v>
      </c>
      <c r="F4" s="87" t="e">
        <f t="shared" ref="F4:F10" si="1">E4/$E$45</f>
        <v>#DIV/0!</v>
      </c>
      <c r="G4" s="88">
        <f>ROUND(HLOOKUP($G$2,bs!$C$1:$AA$110,MATCH("*"&amp;B4&amp;"*",bs!$B$1:$B$110,),FALSE),0)/IF(ISNUMBER(SEARCH("亿", $B$1)), 100000000,
IF(ISNUMBER(SEARCH("万", $B$1)), 10000, 1))</f>
        <v>0</v>
      </c>
      <c r="H4" s="87" t="e">
        <f t="shared" ref="H4:H10" si="2">G4/$G$45</f>
        <v>#DIV/0!</v>
      </c>
      <c r="I4" s="88">
        <f>ROUND(HLOOKUP($I$2,bs!$C$1:$AA$110,MATCH("*"&amp;B4&amp;"*",bs!$B$1:$B$110,),FALSE),0)/IF(ISNUMBER(SEARCH("亿", $B$1)), 100000000,
IF(ISNUMBER(SEARCH("万", $B$1)), 10000, 1))</f>
        <v>0</v>
      </c>
      <c r="J4" s="87" t="e">
        <f t="shared" ref="J4:J10" si="3">I4/$I$45</f>
        <v>#DIV/0!</v>
      </c>
      <c r="L4" s="96" t="e">
        <f>D4+F4+H4+J4</f>
        <v>#DIV/0!</v>
      </c>
      <c r="M4" s="96" t="str">
        <f>B4</f>
        <v>货币资金</v>
      </c>
      <c r="N4" t="e">
        <f>CONCATENATE(M4,":",TEXT($I$2,"YYYY"),"年-",TEXT($E$2,"YYYY"),"年及",TEXT($C$2,"YYYY年MM月"),"，","拟承租人"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#DIV/0!</v>
      </c>
    </row>
    <row r="5" spans="2:15">
      <c r="B5" s="85" t="s">
        <v>720</v>
      </c>
      <c r="C5" s="86">
        <f>ROUND(HLOOKUP($C$2,bs!$C$1:$AA$110,MATCH("*"&amp;B5&amp;"*",bs!$B$1:$B$110,0),FALSE),0)/
IF(ISNUMBER(SEARCH("亿", $B$1)), 100000000,
IF(ISNUMBER(SEARCH("万", $B$1)), 10000, 1))</f>
        <v>0</v>
      </c>
      <c r="D5" s="87" t="e">
        <f t="shared" si="0"/>
        <v>#DIV/0!</v>
      </c>
      <c r="E5" s="86">
        <f>ROUND(HLOOKUP($E$2,bs!$C$1:$AA$110,MATCH("*"&amp;B5&amp;"*",bs!$B$1:$B$110,),FALSE),0)/IF(ISNUMBER(SEARCH("亿", $B$1)), 100000000,
IF(ISNUMBER(SEARCH("万", $B$1)), 10000, 1))</f>
        <v>0</v>
      </c>
      <c r="F5" s="87" t="e">
        <f t="shared" si="1"/>
        <v>#DIV/0!</v>
      </c>
      <c r="G5" s="88">
        <f>ROUND(HLOOKUP($G$2,bs!$C$1:$AA$110,MATCH("*"&amp;B5&amp;"*",bs!$B$1:$B$110,),FALSE),0)/IF(ISNUMBER(SEARCH("亿", $B$1)), 100000000,
IF(ISNUMBER(SEARCH("万", $B$1)), 10000, 1))</f>
        <v>0</v>
      </c>
      <c r="H5" s="87" t="e">
        <f t="shared" si="2"/>
        <v>#DIV/0!</v>
      </c>
      <c r="I5" s="88">
        <f>ROUND(HLOOKUP($I$2,bs!$C$1:$AA$110,MATCH("*"&amp;B5&amp;"*",bs!$B$1:$B$110,),FALSE),0)/IF(ISNUMBER(SEARCH("亿", $B$1)), 100000000,
IF(ISNUMBER(SEARCH("万", $B$1)), 10000, 1))</f>
        <v>0</v>
      </c>
      <c r="J5" s="87" t="e">
        <f t="shared" si="3"/>
        <v>#DIV/0!</v>
      </c>
      <c r="L5" s="96" t="e">
        <f t="shared" ref="L5:L68" si="4">D5+F5+H5+J5</f>
        <v>#DIV/0!</v>
      </c>
      <c r="M5" s="96" t="str">
        <f t="shared" ref="M5:M68" si="5">B5</f>
        <v>交易性金融资产</v>
      </c>
      <c r="N5" t="e">
        <f t="shared" ref="N5:N7" si="6">CONCATENATE(M5,":",TEXT($I$2,"YYYY"),"年-",TEXT($E$2,"YYYY"),"年及",TEXT($C$2,"YYYY年MM月"),"，","拟承租人"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>#DIV/0!</v>
      </c>
    </row>
    <row r="6" spans="2:15">
      <c r="B6" s="85" t="s">
        <v>721</v>
      </c>
      <c r="C6" s="86">
        <f>ROUND(HLOOKUP($C$2,bs!$C$1:$AA$110,MATCH("*"&amp;B6&amp;"*",bs!$B$1:$B$110,0),FALSE),0)/
IF(ISNUMBER(SEARCH("亿", $B$1)), 100000000,
IF(ISNUMBER(SEARCH("万", $B$1)), 10000, 1))</f>
        <v>0</v>
      </c>
      <c r="D6" s="87" t="e">
        <f t="shared" si="0"/>
        <v>#DIV/0!</v>
      </c>
      <c r="E6" s="86">
        <f>ROUND(HLOOKUP($E$2,bs!$C$1:$AA$110,MATCH("*"&amp;B6&amp;"*",bs!$B$1:$B$110,),FALSE),0)/IF(ISNUMBER(SEARCH("亿", $B$1)), 100000000,
IF(ISNUMBER(SEARCH("万", $B$1)), 10000, 1))</f>
        <v>0</v>
      </c>
      <c r="F6" s="87" t="e">
        <f t="shared" si="1"/>
        <v>#DIV/0!</v>
      </c>
      <c r="G6" s="88">
        <f>ROUND(HLOOKUP($G$2,bs!$C$1:$AA$110,MATCH("*"&amp;B6&amp;"*",bs!$B$1:$B$110,),FALSE),0)/IF(ISNUMBER(SEARCH("亿", $B$1)), 100000000,
IF(ISNUMBER(SEARCH("万", $B$1)), 10000, 1))</f>
        <v>0</v>
      </c>
      <c r="H6" s="87" t="e">
        <f t="shared" si="2"/>
        <v>#DIV/0!</v>
      </c>
      <c r="I6" s="88">
        <f>ROUND(HLOOKUP($I$2,bs!$C$1:$AA$110,MATCH("*"&amp;B6&amp;"*",bs!$B$1:$B$110,),FALSE),0)/IF(ISNUMBER(SEARCH("亿", $B$1)), 100000000,
IF(ISNUMBER(SEARCH("万", $B$1)), 10000, 1))</f>
        <v>0</v>
      </c>
      <c r="J6" s="87" t="e">
        <f t="shared" si="3"/>
        <v>#DIV/0!</v>
      </c>
      <c r="L6" s="96" t="e">
        <f t="shared" si="4"/>
        <v>#DIV/0!</v>
      </c>
      <c r="M6" s="96" t="str">
        <f t="shared" si="5"/>
        <v>应收票据</v>
      </c>
      <c r="N6" t="e">
        <f t="shared" si="6"/>
        <v>#DIV/0!</v>
      </c>
    </row>
    <row r="7" spans="2:15">
      <c r="B7" s="85" t="s">
        <v>722</v>
      </c>
      <c r="C7" s="86">
        <f>ROUND(HLOOKUP($C$2,bs!$C$1:$AA$110,MATCH("*"&amp;B7&amp;"*",bs!$B$1:$B$110,0),FALSE),0)/
IF(ISNUMBER(SEARCH("亿", $B$1)), 100000000,
IF(ISNUMBER(SEARCH("万", $B$1)), 10000, 1))</f>
        <v>0</v>
      </c>
      <c r="D7" s="87" t="e">
        <f t="shared" si="0"/>
        <v>#DIV/0!</v>
      </c>
      <c r="E7" s="86">
        <f>ROUND(HLOOKUP($E$2,bs!$C$1:$AA$110,MATCH("*"&amp;B7&amp;"*",bs!$B$1:$B$110,),FALSE),0)/IF(ISNUMBER(SEARCH("亿", $B$1)), 100000000,
IF(ISNUMBER(SEARCH("万", $B$1)), 10000, 1))</f>
        <v>0</v>
      </c>
      <c r="F7" s="87" t="e">
        <f t="shared" si="1"/>
        <v>#DIV/0!</v>
      </c>
      <c r="G7" s="88">
        <f>ROUND(HLOOKUP($G$2,bs!$C$1:$AA$110,MATCH("*"&amp;B7&amp;"*",bs!$B$1:$B$110,),FALSE),0)/IF(ISNUMBER(SEARCH("亿", $B$1)), 100000000,
IF(ISNUMBER(SEARCH("万", $B$1)), 10000, 1))</f>
        <v>0</v>
      </c>
      <c r="H7" s="87" t="e">
        <f t="shared" si="2"/>
        <v>#DIV/0!</v>
      </c>
      <c r="I7" s="88">
        <f>ROUND(HLOOKUP($I$2,bs!$C$1:$AA$110,MATCH("*"&amp;B7&amp;"*",bs!$B$1:$B$110,),FALSE),0)/IF(ISNUMBER(SEARCH("亿", $B$1)), 100000000,
IF(ISNUMBER(SEARCH("万", $B$1)), 10000, 1))</f>
        <v>0</v>
      </c>
      <c r="J7" s="87" t="e">
        <f t="shared" si="3"/>
        <v>#DIV/0!</v>
      </c>
      <c r="L7" s="96" t="e">
        <f t="shared" si="4"/>
        <v>#DIV/0!</v>
      </c>
      <c r="M7" s="96" t="str">
        <f t="shared" si="5"/>
        <v>应收账款</v>
      </c>
      <c r="N7" t="e">
        <f t="shared" si="6"/>
        <v>#DIV/0!</v>
      </c>
    </row>
    <row r="8" spans="2:15">
      <c r="B8" s="85" t="s">
        <v>540</v>
      </c>
      <c r="C8" s="86">
        <f>ROUND(HLOOKUP($C$2,bs!$C$1:$AA$110,MATCH("*"&amp;B8&amp;"*",bs!$B$1:$B$110,0),FALSE),0)/
IF(ISNUMBER(SEARCH("亿", $B$1)), 100000000,
IF(ISNUMBER(SEARCH("万", $B$1)), 10000, 1))</f>
        <v>0</v>
      </c>
      <c r="D8" s="87" t="e">
        <f t="shared" si="0"/>
        <v>#DIV/0!</v>
      </c>
      <c r="E8" s="86">
        <f>ROUND(HLOOKUP($E$2,bs!$C$1:$AA$110,MATCH("*"&amp;B8&amp;"*",bs!$B$1:$B$110,),FALSE),0)/IF(ISNUMBER(SEARCH("亿", $B$1)), 100000000,
IF(ISNUMBER(SEARCH("万", $B$1)), 10000, 1))</f>
        <v>0</v>
      </c>
      <c r="F8" s="87" t="e">
        <f t="shared" si="1"/>
        <v>#DIV/0!</v>
      </c>
      <c r="G8" s="88">
        <f>ROUND(HLOOKUP($G$2,bs!$C$1:$AA$110,MATCH("*"&amp;B8&amp;"*",bs!$B$1:$B$110,),FALSE),0)/IF(ISNUMBER(SEARCH("亿", $B$1)), 100000000,
IF(ISNUMBER(SEARCH("万", $B$1)), 10000, 1))</f>
        <v>0</v>
      </c>
      <c r="H8" s="87" t="e">
        <f t="shared" si="2"/>
        <v>#DIV/0!</v>
      </c>
      <c r="I8" s="88">
        <f>ROUND(HLOOKUP($I$2,bs!$C$1:$AA$110,MATCH("*"&amp;B8&amp;"*",bs!$B$1:$B$110,),FALSE),0)/IF(ISNUMBER(SEARCH("亿", $B$1)), 100000000,
IF(ISNUMBER(SEARCH("万", $B$1)), 10000, 1))</f>
        <v>0</v>
      </c>
      <c r="J8" s="87" t="e">
        <f t="shared" si="3"/>
        <v>#DIV/0!</v>
      </c>
      <c r="L8" s="96" t="e">
        <f t="shared" si="4"/>
        <v>#DIV/0!</v>
      </c>
      <c r="M8" s="96" t="str">
        <f t="shared" si="5"/>
        <v xml:space="preserve">  应收款项融资 </v>
      </c>
      <c r="N8" t="e">
        <f t="shared" ref="N8:N16" si="7">CONCATENATE(TEXT($I$2,"YYYY"),"年-",TEXT($E$2,"YYYY"),"年及",TEXT($C$2,"YYYY年MM月"),"，","拟承租人",B8,"分别为",TEXT(I8,"#,##0.00"),"万元、",TEXT(G8,"#,##0.00"),"万元、",TEXT(E8,"#,##0.00"),"万元及",TEXT(C8,"#,##0.00"),"万元，","占总资产的比重分别为",TEXT(J8,"0.00%"),"、",TEXT(H8,"0.00%"),"、",TEXT(F8,"0.00%"),"和",TEXT(D8,"0.00%"),"。")</f>
        <v>#DIV/0!</v>
      </c>
    </row>
    <row r="9" spans="2:15">
      <c r="B9" s="85" t="s">
        <v>723</v>
      </c>
      <c r="C9" s="86">
        <f>ROUND(HLOOKUP($C$2,bs!$C$1:$AA$110,MATCH("*"&amp;B9&amp;"*",bs!$B$1:$B$110,0),FALSE),0)/
IF(ISNUMBER(SEARCH("亿", $B$1)), 100000000,
IF(ISNUMBER(SEARCH("万", $B$1)), 10000, 1))</f>
        <v>0</v>
      </c>
      <c r="D9" s="87" t="e">
        <f t="shared" si="0"/>
        <v>#DIV/0!</v>
      </c>
      <c r="E9" s="86">
        <f>ROUND(HLOOKUP($E$2,bs!$C$1:$AA$110,MATCH("*"&amp;B9&amp;"*",bs!$B$1:$B$110,),FALSE),0)/IF(ISNUMBER(SEARCH("亿", $B$1)), 100000000,
IF(ISNUMBER(SEARCH("万", $B$1)), 10000, 1))</f>
        <v>0</v>
      </c>
      <c r="F9" s="87" t="e">
        <f t="shared" si="1"/>
        <v>#DIV/0!</v>
      </c>
      <c r="G9" s="88">
        <f>ROUND(HLOOKUP($G$2,bs!$C$1:$AA$110,MATCH("*"&amp;B9&amp;"*",bs!$B$1:$B$110,),FALSE),0)/IF(ISNUMBER(SEARCH("亿", $B$1)), 100000000,
IF(ISNUMBER(SEARCH("万", $B$1)), 10000, 1))</f>
        <v>0</v>
      </c>
      <c r="H9" s="87" t="e">
        <f t="shared" si="2"/>
        <v>#DIV/0!</v>
      </c>
      <c r="I9" s="88">
        <f>ROUND(HLOOKUP($I$2,bs!$C$1:$AA$110,MATCH("*"&amp;B9&amp;"*",bs!$B$1:$B$110,),FALSE),0)/IF(ISNUMBER(SEARCH("亿", $B$1)), 100000000,
IF(ISNUMBER(SEARCH("万", $B$1)), 10000, 1))</f>
        <v>0</v>
      </c>
      <c r="J9" s="87" t="e">
        <f t="shared" si="3"/>
        <v>#DIV/0!</v>
      </c>
      <c r="L9" s="96" t="e">
        <f t="shared" si="4"/>
        <v>#DIV/0!</v>
      </c>
      <c r="M9" s="96" t="str">
        <f t="shared" si="5"/>
        <v>预付款项</v>
      </c>
      <c r="N9" t="e">
        <f t="shared" ref="N9:N10" si="8">CONCATENATE(M9,":",TEXT($I$2,"YYYY"),"年-",TEXT($E$2,"YYYY"),"年及",TEXT($C$2,"YYYY年MM月"),"，","拟承租人",B9,"分别为",TEXT(I9,"#,##0.00"),"万元、",TEXT(G9,"#,##0.00"),"万元、",TEXT(E9,"#,##0.00"),"万元及",TEXT(C9,"#,##0.00"),"万元，","占总资产的比重分别为",TEXT(J9,"0.00%"),"、",TEXT(H9,"0.00%"),"、",TEXT(F9,"0.00%"),"和",TEXT(D9,"0.00%"),"。")</f>
        <v>#DIV/0!</v>
      </c>
    </row>
    <row r="10" spans="2:15">
      <c r="B10" s="85" t="s">
        <v>724</v>
      </c>
      <c r="C10" s="86">
        <f>ROUND(HLOOKUP($C$2,bs!$C$1:$AA$110,MATCH("*"&amp;B10&amp;"*",bs!$B$1:$B$110,0),FALSE),0)/
IF(ISNUMBER(SEARCH("亿", $B$1)), 100000000,
IF(ISNUMBER(SEARCH("万", $B$1)), 10000, 1))</f>
        <v>0</v>
      </c>
      <c r="D10" s="87" t="e">
        <f t="shared" si="0"/>
        <v>#DIV/0!</v>
      </c>
      <c r="E10" s="86">
        <f>ROUND(HLOOKUP($E$2,bs!$C$1:$AA$110,MATCH("*"&amp;B10&amp;"*",bs!$B$1:$B$110,),FALSE),0)/IF(ISNUMBER(SEARCH("亿", $B$1)), 100000000,
IF(ISNUMBER(SEARCH("万", $B$1)), 10000, 1))</f>
        <v>0</v>
      </c>
      <c r="F10" s="87" t="e">
        <f t="shared" si="1"/>
        <v>#DIV/0!</v>
      </c>
      <c r="G10" s="88">
        <f>ROUND(HLOOKUP($G$2,bs!$C$1:$AA$110,MATCH("*"&amp;B10&amp;"*",bs!$B$1:$B$110,),FALSE),0)/IF(ISNUMBER(SEARCH("亿", $B$1)), 100000000,
IF(ISNUMBER(SEARCH("万", $B$1)), 10000, 1))</f>
        <v>0</v>
      </c>
      <c r="H10" s="87" t="e">
        <f t="shared" si="2"/>
        <v>#DIV/0!</v>
      </c>
      <c r="I10" s="88">
        <f>ROUND(HLOOKUP($I$2,bs!$C$1:$AA$110,MATCH("*"&amp;B10&amp;"*",bs!$B$1:$B$110,),FALSE),0)/IF(ISNUMBER(SEARCH("亿", $B$1)), 100000000,
IF(ISNUMBER(SEARCH("万", $B$1)), 10000, 1))</f>
        <v>0</v>
      </c>
      <c r="J10" s="87" t="e">
        <f t="shared" si="3"/>
        <v>#DIV/0!</v>
      </c>
      <c r="L10" s="96" t="e">
        <f t="shared" si="4"/>
        <v>#DIV/0!</v>
      </c>
      <c r="M10" s="96" t="str">
        <f t="shared" si="5"/>
        <v>其他应收款</v>
      </c>
      <c r="N10" t="e">
        <f t="shared" si="8"/>
        <v>#DIV/0!</v>
      </c>
    </row>
    <row r="11" spans="2:15">
      <c r="B11" s="85" t="s">
        <v>307</v>
      </c>
      <c r="C11" s="86">
        <f>ROUND(HLOOKUP($C$2,bs!$C$1:$AA$110,MATCH("*"&amp;B11&amp;"*",bs!$B$1:$B$110,0),FALSE),0)/
IF(ISNUMBER(SEARCH("亿", $B$1)), 100000000,
IF(ISNUMBER(SEARCH("万", $B$1)), 10000, 1))</f>
        <v>0</v>
      </c>
      <c r="D11" s="87" t="e">
        <f t="shared" ref="D11:D17" si="9">C11/$C$45</f>
        <v>#DIV/0!</v>
      </c>
      <c r="E11" s="86">
        <f>ROUND(HLOOKUP($E$2,bs!$C$1:$AA$110,MATCH("*"&amp;B11&amp;"*",bs!$B$1:$B$110,),FALSE),0)/IF(ISNUMBER(SEARCH("亿", $B$1)), 100000000,
IF(ISNUMBER(SEARCH("万", $B$1)), 10000, 1))</f>
        <v>0</v>
      </c>
      <c r="F11" s="87" t="e">
        <f t="shared" ref="F11:F17" si="10">E11/$E$45</f>
        <v>#DIV/0!</v>
      </c>
      <c r="G11" s="88">
        <f>ROUND(HLOOKUP($G$2,bs!$C$1:$AA$110,MATCH("*"&amp;B11&amp;"*",bs!$B$1:$B$110,),FALSE),0)/IF(ISNUMBER(SEARCH("亿", $B$1)), 100000000,
IF(ISNUMBER(SEARCH("万", $B$1)), 10000, 1))</f>
        <v>0</v>
      </c>
      <c r="H11" s="87" t="e">
        <f t="shared" ref="H11:H17" si="11">G11/$G$45</f>
        <v>#DIV/0!</v>
      </c>
      <c r="I11" s="88">
        <f>ROUND(HLOOKUP($I$2,bs!$C$1:$AA$110,MATCH("*"&amp;B11&amp;"*",bs!$B$1:$B$110,),FALSE),0)/IF(ISNUMBER(SEARCH("亿", $B$1)), 100000000,
IF(ISNUMBER(SEARCH("万", $B$1)), 10000, 1))</f>
        <v>0</v>
      </c>
      <c r="J11" s="87" t="e">
        <f t="shared" ref="J11:J16" si="12">I11/$I$45</f>
        <v>#DIV/0!</v>
      </c>
      <c r="L11" s="96" t="e">
        <f t="shared" si="4"/>
        <v>#DIV/0!</v>
      </c>
      <c r="M11" s="96" t="str">
        <f t="shared" si="5"/>
        <v xml:space="preserve">    其中：应收利息</v>
      </c>
      <c r="N11" t="e">
        <f t="shared" si="7"/>
        <v>#DIV/0!</v>
      </c>
    </row>
    <row r="12" spans="2:15">
      <c r="B12" s="85" t="s">
        <v>725</v>
      </c>
      <c r="C12" s="86">
        <f>ROUND(HLOOKUP($C$2,bs!$C$1:$AA$110,MATCH("*"&amp;B12&amp;"*",bs!$B$1:$B$110,0),FALSE),0)/
IF(ISNUMBER(SEARCH("亿", $B$1)), 100000000,
IF(ISNUMBER(SEARCH("万", $B$1)), 10000, 1))</f>
        <v>0</v>
      </c>
      <c r="D12" s="87" t="e">
        <f t="shared" si="9"/>
        <v>#DIV/0!</v>
      </c>
      <c r="E12" s="86">
        <f>ROUND(HLOOKUP($E$2,bs!$C$1:$AA$110,MATCH("*"&amp;B12&amp;"*",bs!$B$1:$B$110,),FALSE),0)/IF(ISNUMBER(SEARCH("亿", $B$1)), 100000000,
IF(ISNUMBER(SEARCH("万", $B$1)), 10000, 1))</f>
        <v>0</v>
      </c>
      <c r="F12" s="87" t="e">
        <f t="shared" si="10"/>
        <v>#DIV/0!</v>
      </c>
      <c r="G12" s="88">
        <f>ROUND(HLOOKUP($G$2,bs!$C$1:$AA$110,MATCH("*"&amp;B12&amp;"*",bs!$B$1:$B$110,),FALSE),0)/IF(ISNUMBER(SEARCH("亿", $B$1)), 100000000,
IF(ISNUMBER(SEARCH("万", $B$1)), 10000, 1))</f>
        <v>0</v>
      </c>
      <c r="H12" s="87" t="e">
        <f t="shared" si="11"/>
        <v>#DIV/0!</v>
      </c>
      <c r="I12" s="88">
        <f>ROUND(HLOOKUP($I$2,bs!$C$1:$AA$110,MATCH("*"&amp;B12&amp;"*",bs!$B$1:$B$110,),FALSE),0)/IF(ISNUMBER(SEARCH("亿", $B$1)), 100000000,
IF(ISNUMBER(SEARCH("万", $B$1)), 10000, 1))</f>
        <v>0</v>
      </c>
      <c r="J12" s="87" t="e">
        <f t="shared" si="12"/>
        <v>#DIV/0!</v>
      </c>
      <c r="L12" s="96" t="e">
        <f t="shared" si="4"/>
        <v>#DIV/0!</v>
      </c>
      <c r="M12" s="96" t="str">
        <f t="shared" si="5"/>
        <v xml:space="preserve">        应收股利</v>
      </c>
      <c r="N12" t="e">
        <f t="shared" si="7"/>
        <v>#DIV/0!</v>
      </c>
    </row>
    <row r="13" spans="2:15">
      <c r="B13" s="85" t="s">
        <v>726</v>
      </c>
      <c r="C13" s="86">
        <f>ROUND(HLOOKUP($C$2,bs!$C$1:$AA$110,MATCH("*"&amp;B13&amp;"*",bs!$B$1:$B$110,0),FALSE),0)/
IF(ISNUMBER(SEARCH("亿", $B$1)), 100000000,
IF(ISNUMBER(SEARCH("万", $B$1)), 10000, 1))</f>
        <v>0</v>
      </c>
      <c r="D13" s="87" t="e">
        <f t="shared" si="9"/>
        <v>#DIV/0!</v>
      </c>
      <c r="E13" s="86">
        <f>ROUND(HLOOKUP($E$2,bs!$C$1:$AA$110,MATCH("*"&amp;B13&amp;"*",bs!$B$1:$B$110,),FALSE),0)/IF(ISNUMBER(SEARCH("亿", $B$1)), 100000000,
IF(ISNUMBER(SEARCH("万", $B$1)), 10000, 1))</f>
        <v>0</v>
      </c>
      <c r="F13" s="87" t="e">
        <f t="shared" si="10"/>
        <v>#DIV/0!</v>
      </c>
      <c r="G13" s="88">
        <f>ROUND(HLOOKUP($G$2,bs!$C$1:$AA$110,MATCH("*"&amp;B13&amp;"*",bs!$B$1:$B$110,),FALSE),0)/IF(ISNUMBER(SEARCH("亿", $B$1)), 100000000,
IF(ISNUMBER(SEARCH("万", $B$1)), 10000, 1))</f>
        <v>0</v>
      </c>
      <c r="H13" s="87" t="e">
        <f t="shared" si="11"/>
        <v>#DIV/0!</v>
      </c>
      <c r="I13" s="88">
        <f>ROUND(HLOOKUP($I$2,bs!$C$1:$AA$110,MATCH("*"&amp;B13&amp;"*",bs!$B$1:$B$110,),FALSE),0)/IF(ISNUMBER(SEARCH("亿", $B$1)), 100000000,
IF(ISNUMBER(SEARCH("万", $B$1)), 10000, 1))</f>
        <v>0</v>
      </c>
      <c r="J13" s="87" t="e">
        <f t="shared" si="12"/>
        <v>#DIV/0!</v>
      </c>
      <c r="L13" s="96" t="e">
        <f t="shared" si="4"/>
        <v>#DIV/0!</v>
      </c>
      <c r="M13" s="96" t="str">
        <f t="shared" si="5"/>
        <v>存货</v>
      </c>
      <c r="N13" t="e">
        <f>CONCATENATE(M13,":",TEXT($I$2,"YYYY"),"年-",TEXT($E$2,"YYYY"),"年及",TEXT($C$2,"YYYY年MM月"),"，","拟承租人",B13,"分别为",TEXT(I13,"#,##0.00"),"万元、",TEXT(G13,"#,##0.00"),"万元、",TEXT(E13,"#,##0.00"),"万元及",TEXT(C13,"#,##0.00"),"万元，","占总资产的比重分别为",TEXT(J13,"0.00%"),"、",TEXT(H13,"0.00%"),"、",TEXT(F13,"0.00%"),"和",TEXT(D13,"0.00%"),"。")</f>
        <v>#DIV/0!</v>
      </c>
    </row>
    <row r="14" spans="2:15">
      <c r="B14" s="85" t="s">
        <v>727</v>
      </c>
      <c r="C14" s="86">
        <f>ROUND(HLOOKUP($C$2,bs!$C$1:$AA$110,MATCH("*"&amp;B14&amp;"*",bs!$B$1:$B$110,0),FALSE),0)/
IF(ISNUMBER(SEARCH("亿", $B$1)), 100000000,
IF(ISNUMBER(SEARCH("万", $B$1)), 10000, 1))</f>
        <v>0</v>
      </c>
      <c r="D14" s="87" t="e">
        <f t="shared" si="9"/>
        <v>#DIV/0!</v>
      </c>
      <c r="E14" s="86">
        <f>ROUND(HLOOKUP($E$2,bs!$C$1:$AA$110,MATCH("*"&amp;B14&amp;"*",bs!$B$1:$B$110,),FALSE),0)/IF(ISNUMBER(SEARCH("亿", $B$1)), 100000000,
IF(ISNUMBER(SEARCH("万", $B$1)), 10000, 1))</f>
        <v>0</v>
      </c>
      <c r="F14" s="87" t="e">
        <f t="shared" si="10"/>
        <v>#DIV/0!</v>
      </c>
      <c r="G14" s="88">
        <f>ROUND(HLOOKUP($G$2,bs!$C$1:$AA$110,MATCH("*"&amp;B14&amp;"*",bs!$B$1:$B$110,),FALSE),0)/IF(ISNUMBER(SEARCH("亿", $B$1)), 100000000,
IF(ISNUMBER(SEARCH("万", $B$1)), 10000, 1))</f>
        <v>0</v>
      </c>
      <c r="H14" s="87" t="e">
        <f t="shared" si="11"/>
        <v>#DIV/0!</v>
      </c>
      <c r="I14" s="88">
        <f>ROUND(HLOOKUP($I$2,bs!$C$1:$AA$110,MATCH("*"&amp;B14&amp;"*",bs!$B$1:$B$110,),FALSE),0)/IF(ISNUMBER(SEARCH("亿", $B$1)), 100000000,
IF(ISNUMBER(SEARCH("万", $B$1)), 10000, 1))</f>
        <v>0</v>
      </c>
      <c r="J14" s="87" t="e">
        <f t="shared" si="12"/>
        <v>#DIV/0!</v>
      </c>
      <c r="L14" s="96" t="e">
        <f t="shared" si="4"/>
        <v>#DIV/0!</v>
      </c>
      <c r="M14" s="96" t="str">
        <f t="shared" si="5"/>
        <v>合同资产</v>
      </c>
      <c r="N14" t="e">
        <f t="shared" si="7"/>
        <v>#DIV/0!</v>
      </c>
    </row>
    <row r="15" spans="2:15">
      <c r="B15" s="85" t="s">
        <v>728</v>
      </c>
      <c r="C15" s="86">
        <f>ROUND(HLOOKUP($C$2,bs!$C$1:$AA$110,MATCH("*"&amp;B15&amp;"*",bs!$B$1:$B$110,0),FALSE),0)/
IF(ISNUMBER(SEARCH("亿", $B$1)), 100000000,
IF(ISNUMBER(SEARCH("万", $B$1)), 10000, 1))</f>
        <v>0</v>
      </c>
      <c r="D15" s="87" t="e">
        <f t="shared" si="9"/>
        <v>#DIV/0!</v>
      </c>
      <c r="E15" s="86">
        <f>ROUND(HLOOKUP($E$2,bs!$C$1:$AA$110,MATCH("*"&amp;B15&amp;"*",bs!$B$1:$B$110,),FALSE),0)/IF(ISNUMBER(SEARCH("亿", $B$1)), 100000000,
IF(ISNUMBER(SEARCH("万", $B$1)), 10000, 1))</f>
        <v>0</v>
      </c>
      <c r="F15" s="87" t="e">
        <f t="shared" si="10"/>
        <v>#DIV/0!</v>
      </c>
      <c r="G15" s="88">
        <f>ROUND(HLOOKUP($G$2,bs!$C$1:$AA$110,MATCH("*"&amp;B15&amp;"*",bs!$B$1:$B$110,),FALSE),0)/IF(ISNUMBER(SEARCH("亿", $B$1)), 100000000,
IF(ISNUMBER(SEARCH("万", $B$1)), 10000, 1))</f>
        <v>0</v>
      </c>
      <c r="H15" s="87" t="e">
        <f t="shared" si="11"/>
        <v>#DIV/0!</v>
      </c>
      <c r="I15" s="88">
        <f>ROUND(HLOOKUP($I$2,bs!$C$1:$AA$110,MATCH("*"&amp;B15&amp;"*",bs!$B$1:$B$110,),FALSE),0)/IF(ISNUMBER(SEARCH("亿", $B$1)), 100000000,
IF(ISNUMBER(SEARCH("万", $B$1)), 10000, 1))</f>
        <v>0</v>
      </c>
      <c r="J15" s="87" t="e">
        <f t="shared" si="12"/>
        <v>#DIV/0!</v>
      </c>
      <c r="L15" s="96" t="e">
        <f t="shared" si="4"/>
        <v>#DIV/0!</v>
      </c>
      <c r="M15" s="96" t="str">
        <f t="shared" si="5"/>
        <v>持有待售资产</v>
      </c>
      <c r="N15" t="e">
        <f t="shared" si="7"/>
        <v>#DIV/0!</v>
      </c>
    </row>
    <row r="16" spans="2:15" ht="22.7">
      <c r="B16" s="85" t="s">
        <v>729</v>
      </c>
      <c r="C16" s="86">
        <f>ROUND(HLOOKUP($C$2,bs!$C$1:$AA$110,MATCH("*"&amp;B16&amp;"*",bs!$B$1:$B$110,0),FALSE),0)/
IF(ISNUMBER(SEARCH("亿", $B$1)), 100000000,
IF(ISNUMBER(SEARCH("万", $B$1)), 10000, 1))</f>
        <v>0</v>
      </c>
      <c r="D16" s="87" t="e">
        <f t="shared" si="9"/>
        <v>#DIV/0!</v>
      </c>
      <c r="E16" s="86">
        <f>ROUND(HLOOKUP($E$2,bs!$C$1:$AA$110,MATCH("*"&amp;B16&amp;"*",bs!$B$1:$B$110,),FALSE),0)/IF(ISNUMBER(SEARCH("亿", $B$1)), 100000000,
IF(ISNUMBER(SEARCH("万", $B$1)), 10000, 1))</f>
        <v>0</v>
      </c>
      <c r="F16" s="87" t="e">
        <f t="shared" si="10"/>
        <v>#DIV/0!</v>
      </c>
      <c r="G16" s="88">
        <f>ROUND(HLOOKUP($G$2,bs!$C$1:$AA$110,MATCH("*"&amp;B16&amp;"*",bs!$B$1:$B$110,),FALSE),0)/IF(ISNUMBER(SEARCH("亿", $B$1)), 100000000,
IF(ISNUMBER(SEARCH("万", $B$1)), 10000, 1))</f>
        <v>0</v>
      </c>
      <c r="H16" s="87" t="e">
        <f t="shared" si="11"/>
        <v>#DIV/0!</v>
      </c>
      <c r="I16" s="88">
        <f>ROUND(HLOOKUP($I$2,bs!$C$1:$AA$110,MATCH("*"&amp;B16&amp;"*",bs!$B$1:$B$110,),FALSE),0)/IF(ISNUMBER(SEARCH("亿", $B$1)), 100000000,
IF(ISNUMBER(SEARCH("万", $B$1)), 10000, 1))</f>
        <v>0</v>
      </c>
      <c r="J16" s="87" t="e">
        <f t="shared" si="12"/>
        <v>#DIV/0!</v>
      </c>
      <c r="L16" s="96" t="e">
        <f t="shared" si="4"/>
        <v>#DIV/0!</v>
      </c>
      <c r="M16" s="96" t="str">
        <f t="shared" si="5"/>
        <v>一年内到期的非流动资产</v>
      </c>
      <c r="N16" t="e">
        <f t="shared" si="7"/>
        <v>#DIV/0!</v>
      </c>
    </row>
    <row r="17" spans="2:15">
      <c r="B17" s="85" t="s">
        <v>730</v>
      </c>
      <c r="C17" s="86">
        <f>ROUND(HLOOKUP($C$2,bs!$C$1:$AA$110,MATCH("*"&amp;B17&amp;"*",bs!$B$1:$B$110,0),FALSE),0)/
IF(ISNUMBER(SEARCH("亿", $B$1)), 100000000,
IF(ISNUMBER(SEARCH("万", $B$1)), 10000, 1))</f>
        <v>0</v>
      </c>
      <c r="D17" s="87" t="e">
        <f t="shared" si="9"/>
        <v>#DIV/0!</v>
      </c>
      <c r="E17" s="86">
        <f>ROUND(HLOOKUP($E$2,bs!$C$1:$AA$110,MATCH("*"&amp;B17&amp;"*",bs!$B$1:$B$110,),FALSE),0)/IF(ISNUMBER(SEARCH("亿", $B$1)), 100000000,
IF(ISNUMBER(SEARCH("万", $B$1)), 10000, 1))</f>
        <v>0</v>
      </c>
      <c r="F17" s="87" t="e">
        <f t="shared" si="10"/>
        <v>#DIV/0!</v>
      </c>
      <c r="G17" s="88">
        <f>ROUND(HLOOKUP($G$2,bs!$C$1:$AA$110,MATCH("*"&amp;B17&amp;"*",bs!$B$1:$B$110,),FALSE),0)/IF(ISNUMBER(SEARCH("亿", $B$1)), 100000000,
IF(ISNUMBER(SEARCH("万", $B$1)), 10000, 1))</f>
        <v>0</v>
      </c>
      <c r="H17" s="87" t="e">
        <f t="shared" si="11"/>
        <v>#DIV/0!</v>
      </c>
      <c r="I17" s="88">
        <f>ROUND(HLOOKUP($I$2,bs!$C$1:$AA$110,MATCH("*"&amp;B17&amp;"*",bs!$B$1:$B$110,),FALSE),0)/IF(ISNUMBER(SEARCH("亿", $B$1)), 100000000,
IF(ISNUMBER(SEARCH("万", $B$1)), 10000, 1))</f>
        <v>0</v>
      </c>
      <c r="J17" s="87" t="e">
        <f t="shared" ref="J17:J27" si="13">I17/$I$45</f>
        <v>#DIV/0!</v>
      </c>
      <c r="L17" s="96" t="e">
        <f t="shared" si="4"/>
        <v>#DIV/0!</v>
      </c>
      <c r="M17" s="96" t="str">
        <f t="shared" si="5"/>
        <v>其他流动资产</v>
      </c>
      <c r="N17" t="e">
        <f t="shared" ref="N17" si="14">CONCATENATE(M17,":",TEXT($I$2,"YYYY"),"年-",TEXT($E$2,"YYYY"),"年及",TEXT($C$2,"YYYY年MM月"),"，","拟承租人",B17,"分别为",TEXT(I17,"#,##0.00"),"万元、",TEXT(G17,"#,##0.00"),"万元、",TEXT(E17,"#,##0.00"),"万元及",TEXT(C17,"#,##0.00"),"万元，","占总资产的比重分别为",TEXT(J17,"0.00%"),"、",TEXT(H17,"0.00%"),"、",TEXT(F17,"0.00%"),"和",TEXT(D17,"0.00%"),"。")</f>
        <v>#DIV/0!</v>
      </c>
    </row>
    <row r="18" spans="2:15">
      <c r="B18" s="89" t="s">
        <v>554</v>
      </c>
      <c r="C18" s="86">
        <f>ROUND(HLOOKUP($C$2,bs!$C$1:$AA$110,MATCH("*"&amp;B18&amp;"*",bs!$B$1:$B$110,0),FALSE),0)/
IF(ISNUMBER(SEARCH("亿", $B$1)), 100000000,
IF(ISNUMBER(SEARCH("万", $B$1)), 10000, 1))</f>
        <v>0</v>
      </c>
      <c r="D18" s="90" t="e">
        <f t="shared" ref="D18:D27" si="15">C18/$C$45</f>
        <v>#DIV/0!</v>
      </c>
      <c r="E18" s="86">
        <f>ROUND(HLOOKUP($E$2,bs!$C$1:$AA$110,MATCH("*"&amp;B18&amp;"*",bs!$B$1:$B$110,),FALSE),0)/IF(ISNUMBER(SEARCH("亿", $B$1)), 100000000,
IF(ISNUMBER(SEARCH("万", $B$1)), 10000, 1))</f>
        <v>0</v>
      </c>
      <c r="F18" s="90" t="e">
        <f t="shared" ref="F18:F27" si="16">E18/$E$45</f>
        <v>#DIV/0!</v>
      </c>
      <c r="G18" s="88">
        <f>ROUND(HLOOKUP($G$2,bs!$C$1:$AA$110,MATCH("*"&amp;B18&amp;"*",bs!$B$1:$B$110,),FALSE),0)/IF(ISNUMBER(SEARCH("亿", $B$1)), 100000000,
IF(ISNUMBER(SEARCH("万", $B$1)), 10000, 1))</f>
        <v>0</v>
      </c>
      <c r="H18" s="90" t="e">
        <f t="shared" ref="H18:H27" si="17">G18/$G$45</f>
        <v>#DIV/0!</v>
      </c>
      <c r="I18" s="88">
        <f>ROUND(HLOOKUP($I$2,bs!$C$1:$AA$110,MATCH("*"&amp;B18&amp;"*",bs!$B$1:$B$110,),FALSE),0)/IF(ISNUMBER(SEARCH("亿", $B$1)), 100000000,
IF(ISNUMBER(SEARCH("万", $B$1)), 10000, 1))</f>
        <v>0</v>
      </c>
      <c r="J18" s="90" t="e">
        <f t="shared" si="13"/>
        <v>#DIV/0!</v>
      </c>
      <c r="L18" s="96" t="e">
        <f t="shared" si="4"/>
        <v>#DIV/0!</v>
      </c>
      <c r="M18" s="96" t="str">
        <f t="shared" si="5"/>
        <v>流动资产合计</v>
      </c>
      <c r="O18" t="e">
        <f>CONCATENATE(TEXT($I$2,"YYYY"),"年-",TEXT($E$2,"YYYY"),"年及",TEXT($C$2,"YYYY年MM月"),"，","拟承租人"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#DIV/0!</v>
      </c>
    </row>
    <row r="19" spans="2:15">
      <c r="B19" s="85" t="s">
        <v>731</v>
      </c>
      <c r="C19" s="86">
        <f>ROUND(HLOOKUP($C$2,bs!$C$1:$AA$110,MATCH("*"&amp;B19&amp;"*",bs!$B$1:$B$110,0),FALSE),0)/
IF(ISNUMBER(SEARCH("亿", $B$1)), 100000000,
IF(ISNUMBER(SEARCH("万", $B$1)), 10000, 1))</f>
        <v>0</v>
      </c>
      <c r="D19" s="87" t="e">
        <f t="shared" si="15"/>
        <v>#DIV/0!</v>
      </c>
      <c r="E19" s="86">
        <f>ROUND(HLOOKUP($E$2,bs!$C$1:$AA$110,MATCH("*"&amp;B19&amp;"*",bs!$B$1:$B$110,),FALSE),0)/IF(ISNUMBER(SEARCH("亿", $B$1)), 100000000,
IF(ISNUMBER(SEARCH("万", $B$1)), 10000, 1))</f>
        <v>0</v>
      </c>
      <c r="F19" s="87" t="e">
        <f t="shared" si="16"/>
        <v>#DIV/0!</v>
      </c>
      <c r="G19" s="88">
        <f>ROUND(HLOOKUP($G$2,bs!$C$1:$AA$110,MATCH("*"&amp;B19&amp;"*",bs!$B$1:$B$110,),FALSE),0)/IF(ISNUMBER(SEARCH("亿", $B$1)), 100000000,
IF(ISNUMBER(SEARCH("万", $B$1)), 10000, 1))</f>
        <v>0</v>
      </c>
      <c r="H19" s="87" t="e">
        <f t="shared" si="17"/>
        <v>#DIV/0!</v>
      </c>
      <c r="I19" s="88">
        <f>ROUND(HLOOKUP($I$2,bs!$C$1:$AA$110,MATCH("*"&amp;B19&amp;"*",bs!$B$1:$B$110,),FALSE),0)/IF(ISNUMBER(SEARCH("亿", $B$1)), 100000000,
IF(ISNUMBER(SEARCH("万", $B$1)), 10000, 1))</f>
        <v>0</v>
      </c>
      <c r="J19" s="87" t="e">
        <f t="shared" si="13"/>
        <v>#DIV/0!</v>
      </c>
      <c r="L19" s="96" t="e">
        <f t="shared" si="4"/>
        <v>#DIV/0!</v>
      </c>
      <c r="M19" s="96" t="str">
        <f t="shared" si="5"/>
        <v>债权投资</v>
      </c>
      <c r="N19" t="e">
        <f>CONCATENATE(TEXT($I$2,"YYYY"),"年-",TEXT($E$2,"YYYY"),"年及",TEXT($C$2,"YYYY年MM月"),"，","拟承租人",B19,"分别为",TEXT(I19,"#,##0.00"),"万元、",TEXT(G19,"#,##0.00"),"万元、",TEXT(E19,"#,##0.00"),"万元及",TEXT(C19,"#,##0.00"),"万元，","占总资产的比重分别为",TEXT(J19,"0.00%"),"、",TEXT(H19,"0.00%"),"、",TEXT(F19,"0.00%"),"和",TEXT(D19,"0.00%"),"。")</f>
        <v>#DIV/0!</v>
      </c>
    </row>
    <row r="20" spans="2:15">
      <c r="B20" s="85" t="s">
        <v>732</v>
      </c>
      <c r="C20" s="86">
        <f>ROUND(HLOOKUP($C$2,bs!$C$1:$AA$110,MATCH("*"&amp;B20&amp;"*",bs!$B$1:$B$110,0),FALSE),0)/
IF(ISNUMBER(SEARCH("亿", $B$1)), 100000000,
IF(ISNUMBER(SEARCH("万", $B$1)), 10000, 1))</f>
        <v>0</v>
      </c>
      <c r="D20" s="87" t="e">
        <f t="shared" si="15"/>
        <v>#DIV/0!</v>
      </c>
      <c r="E20" s="86">
        <f>ROUND(HLOOKUP($E$2,bs!$C$1:$AA$110,MATCH("*"&amp;B20&amp;"*",bs!$B$1:$B$110,),FALSE),0)/IF(ISNUMBER(SEARCH("亿", $B$1)), 100000000,
IF(ISNUMBER(SEARCH("万", $B$1)), 10000, 1))</f>
        <v>0</v>
      </c>
      <c r="F20" s="87" t="e">
        <f t="shared" si="16"/>
        <v>#DIV/0!</v>
      </c>
      <c r="G20" s="88">
        <f>ROUND(HLOOKUP($G$2,bs!$C$1:$AA$110,MATCH("*"&amp;B20&amp;"*",bs!$B$1:$B$110,),FALSE),0)/IF(ISNUMBER(SEARCH("亿", $B$1)), 100000000,
IF(ISNUMBER(SEARCH("万", $B$1)), 10000, 1))</f>
        <v>0</v>
      </c>
      <c r="H20" s="87" t="e">
        <f t="shared" si="17"/>
        <v>#DIV/0!</v>
      </c>
      <c r="I20" s="88">
        <f>ROUND(HLOOKUP($I$2,bs!$C$1:$AA$110,MATCH("*"&amp;B20&amp;"*",bs!$B$1:$B$110,),FALSE),0)/IF(ISNUMBER(SEARCH("亿", $B$1)), 100000000,
IF(ISNUMBER(SEARCH("万", $B$1)), 10000, 1))</f>
        <v>0</v>
      </c>
      <c r="J20" s="87" t="e">
        <f t="shared" si="13"/>
        <v>#DIV/0!</v>
      </c>
      <c r="L20" s="96" t="e">
        <f t="shared" si="4"/>
        <v>#DIV/0!</v>
      </c>
      <c r="M20" s="96" t="str">
        <f t="shared" si="5"/>
        <v>其他债权投资</v>
      </c>
      <c r="N20" t="e">
        <f t="shared" ref="N20:N40" si="18">CONCATENATE(TEXT($I$2,"YYYY"),"年-",TEXT($E$2,"YYYY"),"年及",TEXT($C$2,"YYYY年MM月"),"，","拟承租人",B20,"分别为",TEXT(I20,"#,##0.00"),"万元、",TEXT(G20,"#,##0.00"),"万元、",TEXT(E20,"#,##0.00"),"万元及",TEXT(C20,"#,##0.00"),"万元，","占总资产的比重分别为",TEXT(J20,"0.00%"),"、",TEXT(H20,"0.00%"),"、",TEXT(F20,"0.00%"),"和",TEXT(D20,"0.00%"),"。")</f>
        <v>#DIV/0!</v>
      </c>
    </row>
    <row r="21" spans="2:15">
      <c r="B21" s="85" t="s">
        <v>733</v>
      </c>
      <c r="C21" s="86">
        <f>ROUND(HLOOKUP($C$2,bs!$C$1:$AA$110,MATCH("*"&amp;B21&amp;"*",bs!$B$1:$B$110,0),FALSE),0)/
IF(ISNUMBER(SEARCH("亿", $B$1)), 100000000,
IF(ISNUMBER(SEARCH("万", $B$1)), 10000, 1))</f>
        <v>0</v>
      </c>
      <c r="D21" s="87" t="e">
        <f t="shared" si="15"/>
        <v>#DIV/0!</v>
      </c>
      <c r="E21" s="86">
        <f>ROUND(HLOOKUP($E$2,bs!$C$1:$AA$110,MATCH("*"&amp;B21&amp;"*",bs!$B$1:$B$110,),FALSE),0)/IF(ISNUMBER(SEARCH("亿", $B$1)), 100000000,
IF(ISNUMBER(SEARCH("万", $B$1)), 10000, 1))</f>
        <v>0</v>
      </c>
      <c r="F21" s="87" t="e">
        <f t="shared" si="16"/>
        <v>#DIV/0!</v>
      </c>
      <c r="G21" s="88">
        <f>ROUND(HLOOKUP($G$2,bs!$C$1:$AA$110,MATCH("*"&amp;B21&amp;"*",bs!$B$1:$B$110,),FALSE),0)/IF(ISNUMBER(SEARCH("亿", $B$1)), 100000000,
IF(ISNUMBER(SEARCH("万", $B$1)), 10000, 1))</f>
        <v>0</v>
      </c>
      <c r="H21" s="87" t="e">
        <f t="shared" si="17"/>
        <v>#DIV/0!</v>
      </c>
      <c r="I21" s="88">
        <f>ROUND(HLOOKUP($I$2,bs!$C$1:$AA$110,MATCH("*"&amp;B21&amp;"*",bs!$B$1:$B$110,),FALSE),0)/IF(ISNUMBER(SEARCH("亿", $B$1)), 100000000,
IF(ISNUMBER(SEARCH("万", $B$1)), 10000, 1))</f>
        <v>0</v>
      </c>
      <c r="J21" s="87" t="e">
        <f t="shared" si="13"/>
        <v>#DIV/0!</v>
      </c>
      <c r="L21" s="96" t="e">
        <f t="shared" si="4"/>
        <v>#DIV/0!</v>
      </c>
      <c r="M21" s="96" t="str">
        <f t="shared" si="5"/>
        <v>长期应收款</v>
      </c>
      <c r="N21" t="e">
        <f t="shared" si="18"/>
        <v>#DIV/0!</v>
      </c>
    </row>
    <row r="22" spans="2:15">
      <c r="B22" s="85" t="s">
        <v>842</v>
      </c>
      <c r="C22" s="86">
        <f>ROUND(HLOOKUP($C$2,bs!$C$1:$AA$110,MATCH("*"&amp;B22&amp;"*",bs!$B$1:$B$110,0),FALSE),0)/
IF(ISNUMBER(SEARCH("亿", $B$1)), 100000000,
IF(ISNUMBER(SEARCH("万", $B$1)), 10000, 1))</f>
        <v>0</v>
      </c>
      <c r="D22" s="87" t="e">
        <f t="shared" si="15"/>
        <v>#DIV/0!</v>
      </c>
      <c r="E22" s="86">
        <f>ROUND(HLOOKUP($E$2,bs!$C$1:$AA$110,MATCH("*"&amp;B22&amp;"*",bs!$B$1:$B$110,),FALSE),0)/IF(ISNUMBER(SEARCH("亿", $B$1)), 100000000,
IF(ISNUMBER(SEARCH("万", $B$1)), 10000, 1))</f>
        <v>0</v>
      </c>
      <c r="F22" s="87" t="e">
        <f t="shared" si="16"/>
        <v>#DIV/0!</v>
      </c>
      <c r="G22" s="88">
        <f>ROUND(HLOOKUP($G$2,bs!$C$1:$AA$110,MATCH("*"&amp;B22&amp;"*",bs!$B$1:$B$110,),FALSE),0)/IF(ISNUMBER(SEARCH("亿", $B$1)), 100000000,
IF(ISNUMBER(SEARCH("万", $B$1)), 10000, 1))</f>
        <v>0</v>
      </c>
      <c r="H22" s="87" t="e">
        <f t="shared" si="17"/>
        <v>#DIV/0!</v>
      </c>
      <c r="I22" s="88">
        <f>ROUND(HLOOKUP($I$2,bs!$C$1:$AA$110,MATCH("*"&amp;B22&amp;"*",bs!$B$1:$B$110,),FALSE),0)/IF(ISNUMBER(SEARCH("亿", $B$1)), 100000000,
IF(ISNUMBER(SEARCH("万", $B$1)), 10000, 1))</f>
        <v>0</v>
      </c>
      <c r="J22" s="87" t="e">
        <f t="shared" si="13"/>
        <v>#DIV/0!</v>
      </c>
      <c r="L22" s="96" t="e">
        <f t="shared" si="4"/>
        <v>#DIV/0!</v>
      </c>
      <c r="M22" s="96" t="str">
        <f t="shared" si="5"/>
        <v>长期股权投资</v>
      </c>
      <c r="N22" t="e">
        <f>CONCATENATE(M22,":",TEXT($I$2,"YYYY"),"年-",TEXT($E$2,"YYYY"),"年及",TEXT($C$2,"YYYY年MM月"),"，","拟承租人",B22,"分别为",TEXT(I22,"#,##0.00"),"万元、",TEXT(G22,"#,##0.00"),"万元、",TEXT(E22,"#,##0.00"),"万元及",TEXT(C22,"#,##0.00"),"万元，","占总资产的比重分别为",TEXT(J22,"0.00%"),"、",TEXT(H22,"0.00%"),"、",TEXT(F22,"0.00%"),"和",TEXT(D22,"0.00%"),"。")</f>
        <v>#DIV/0!</v>
      </c>
    </row>
    <row r="23" spans="2:15">
      <c r="B23" s="85" t="s">
        <v>734</v>
      </c>
      <c r="C23" s="86">
        <f>ROUND(HLOOKUP($C$2,bs!$C$1:$AA$110,MATCH("*"&amp;B23&amp;"*",bs!$B$1:$B$110,0),FALSE),0)/
IF(ISNUMBER(SEARCH("亿", $B$1)), 100000000,
IF(ISNUMBER(SEARCH("万", $B$1)), 10000, 1))</f>
        <v>0</v>
      </c>
      <c r="D23" s="87" t="e">
        <f t="shared" si="15"/>
        <v>#DIV/0!</v>
      </c>
      <c r="E23" s="86">
        <f>ROUND(HLOOKUP($E$2,bs!$C$1:$AA$110,MATCH("*"&amp;B23&amp;"*",bs!$B$1:$B$110,),FALSE),0)/IF(ISNUMBER(SEARCH("亿", $B$1)), 100000000,
IF(ISNUMBER(SEARCH("万", $B$1)), 10000, 1))</f>
        <v>0</v>
      </c>
      <c r="F23" s="87" t="e">
        <f t="shared" si="16"/>
        <v>#DIV/0!</v>
      </c>
      <c r="G23" s="88">
        <f>ROUND(HLOOKUP($G$2,bs!$C$1:$AA$110,MATCH("*"&amp;B23&amp;"*",bs!$B$1:$B$110,),FALSE),0)/IF(ISNUMBER(SEARCH("亿", $B$1)), 100000000,
IF(ISNUMBER(SEARCH("万", $B$1)), 10000, 1))</f>
        <v>0</v>
      </c>
      <c r="H23" s="87" t="e">
        <f t="shared" si="17"/>
        <v>#DIV/0!</v>
      </c>
      <c r="I23" s="88">
        <f>ROUND(HLOOKUP($I$2,bs!$C$1:$AA$110,MATCH("*"&amp;B23&amp;"*",bs!$B$1:$B$110,),FALSE),0)/IF(ISNUMBER(SEARCH("亿", $B$1)), 100000000,
IF(ISNUMBER(SEARCH("万", $B$1)), 10000, 1))</f>
        <v>0</v>
      </c>
      <c r="J23" s="87" t="e">
        <f t="shared" si="13"/>
        <v>#DIV/0!</v>
      </c>
      <c r="L23" s="96" t="e">
        <f t="shared" si="4"/>
        <v>#DIV/0!</v>
      </c>
      <c r="M23" s="96" t="str">
        <f t="shared" si="5"/>
        <v>可供出售金融资产</v>
      </c>
      <c r="N23" t="e">
        <f t="shared" si="18"/>
        <v>#DIV/0!</v>
      </c>
    </row>
    <row r="24" spans="2:15">
      <c r="B24" s="85" t="s">
        <v>735</v>
      </c>
      <c r="C24" s="86">
        <f>ROUND(HLOOKUP($C$2,bs!$C$1:$AA$110,MATCH("*"&amp;B24&amp;"*",bs!$B$1:$B$110,0),FALSE),0)/
IF(ISNUMBER(SEARCH("亿", $B$1)), 100000000,
IF(ISNUMBER(SEARCH("万", $B$1)), 10000, 1))</f>
        <v>0</v>
      </c>
      <c r="D24" s="87" t="e">
        <f t="shared" si="15"/>
        <v>#DIV/0!</v>
      </c>
      <c r="E24" s="86">
        <f>ROUND(HLOOKUP($E$2,bs!$C$1:$AA$110,MATCH("*"&amp;B24&amp;"*",bs!$B$1:$B$110,),FALSE),0)/IF(ISNUMBER(SEARCH("亿", $B$1)), 100000000,
IF(ISNUMBER(SEARCH("万", $B$1)), 10000, 1))</f>
        <v>0</v>
      </c>
      <c r="F24" s="87" t="e">
        <f t="shared" si="16"/>
        <v>#DIV/0!</v>
      </c>
      <c r="G24" s="88">
        <f>ROUND(HLOOKUP($G$2,bs!$C$1:$AA$110,MATCH("*"&amp;B24&amp;"*",bs!$B$1:$B$110,),FALSE),0)/IF(ISNUMBER(SEARCH("亿", $B$1)), 100000000,
IF(ISNUMBER(SEARCH("万", $B$1)), 10000, 1))</f>
        <v>0</v>
      </c>
      <c r="H24" s="87" t="e">
        <f t="shared" si="17"/>
        <v>#DIV/0!</v>
      </c>
      <c r="I24" s="88">
        <f>ROUND(HLOOKUP($I$2,bs!$C$1:$AA$110,MATCH("*"&amp;B24&amp;"*",bs!$B$1:$B$110,),FALSE),0)/IF(ISNUMBER(SEARCH("亿", $B$1)), 100000000,
IF(ISNUMBER(SEARCH("万", $B$1)), 10000, 1))</f>
        <v>0</v>
      </c>
      <c r="J24" s="87" t="e">
        <f t="shared" si="13"/>
        <v>#DIV/0!</v>
      </c>
      <c r="L24" s="96" t="e">
        <f t="shared" si="4"/>
        <v>#DIV/0!</v>
      </c>
      <c r="M24" s="96" t="str">
        <f t="shared" si="5"/>
        <v>持有至到期投资</v>
      </c>
      <c r="N24" t="e">
        <f t="shared" si="18"/>
        <v>#DIV/0!</v>
      </c>
    </row>
    <row r="25" spans="2:15">
      <c r="B25" s="85" t="s">
        <v>736</v>
      </c>
      <c r="C25" s="86">
        <f>ROUND(HLOOKUP($C$2,bs!$C$1:$AA$110,MATCH("*"&amp;B25&amp;"*",bs!$B$1:$B$110,0),FALSE),0)/
IF(ISNUMBER(SEARCH("亿", $B$1)), 100000000,
IF(ISNUMBER(SEARCH("万", $B$1)), 10000, 1))</f>
        <v>0</v>
      </c>
      <c r="D25" s="87" t="e">
        <f t="shared" si="15"/>
        <v>#DIV/0!</v>
      </c>
      <c r="E25" s="86">
        <f>ROUND(HLOOKUP($E$2,bs!$C$1:$AA$110,MATCH("*"&amp;B25&amp;"*",bs!$B$1:$B$110,),FALSE),0)/IF(ISNUMBER(SEARCH("亿", $B$1)), 100000000,
IF(ISNUMBER(SEARCH("万", $B$1)), 10000, 1))</f>
        <v>0</v>
      </c>
      <c r="F25" s="87" t="e">
        <f t="shared" si="16"/>
        <v>#DIV/0!</v>
      </c>
      <c r="G25" s="88">
        <f>ROUND(HLOOKUP($G$2,bs!$C$1:$AA$110,MATCH("*"&amp;B25&amp;"*",bs!$B$1:$B$110,),FALSE),0)/IF(ISNUMBER(SEARCH("亿", $B$1)), 100000000,
IF(ISNUMBER(SEARCH("万", $B$1)), 10000, 1))</f>
        <v>0</v>
      </c>
      <c r="H25" s="87" t="e">
        <f t="shared" si="17"/>
        <v>#DIV/0!</v>
      </c>
      <c r="I25" s="88">
        <f>ROUND(HLOOKUP($I$2,bs!$C$1:$AA$110,MATCH("*"&amp;B25&amp;"*",bs!$B$1:$B$110,),FALSE),0)/IF(ISNUMBER(SEARCH("亿", $B$1)), 100000000,
IF(ISNUMBER(SEARCH("万", $B$1)), 10000, 1))</f>
        <v>0</v>
      </c>
      <c r="J25" s="87" t="e">
        <f t="shared" si="13"/>
        <v>#DIV/0!</v>
      </c>
      <c r="L25" s="96" t="e">
        <f t="shared" si="4"/>
        <v>#DIV/0!</v>
      </c>
      <c r="M25" s="96" t="str">
        <f t="shared" si="5"/>
        <v>其他权益工具投资</v>
      </c>
      <c r="N25" t="e">
        <f t="shared" si="18"/>
        <v>#DIV/0!</v>
      </c>
    </row>
    <row r="26" spans="2:15">
      <c r="B26" s="85" t="s">
        <v>737</v>
      </c>
      <c r="C26" s="86">
        <f>ROUND(HLOOKUP($C$2,bs!$C$1:$AA$110,MATCH("*"&amp;B26&amp;"*",bs!$B$1:$B$110,0),FALSE),0)/
IF(ISNUMBER(SEARCH("亿", $B$1)), 100000000,
IF(ISNUMBER(SEARCH("万", $B$1)), 10000, 1))</f>
        <v>0</v>
      </c>
      <c r="D26" s="87" t="e">
        <f t="shared" si="15"/>
        <v>#DIV/0!</v>
      </c>
      <c r="E26" s="86">
        <f>ROUND(HLOOKUP($E$2,bs!$C$1:$AA$110,MATCH("*"&amp;B26&amp;"*",bs!$B$1:$B$110,),FALSE),0)/IF(ISNUMBER(SEARCH("亿", $B$1)), 100000000,
IF(ISNUMBER(SEARCH("万", $B$1)), 10000, 1))</f>
        <v>0</v>
      </c>
      <c r="F26" s="87" t="e">
        <f t="shared" si="16"/>
        <v>#DIV/0!</v>
      </c>
      <c r="G26" s="88">
        <f>ROUND(HLOOKUP($G$2,bs!$C$1:$AA$110,MATCH("*"&amp;B26&amp;"*",bs!$B$1:$B$110,),FALSE),0)/IF(ISNUMBER(SEARCH("亿", $B$1)), 100000000,
IF(ISNUMBER(SEARCH("万", $B$1)), 10000, 1))</f>
        <v>0</v>
      </c>
      <c r="H26" s="87" t="e">
        <f t="shared" si="17"/>
        <v>#DIV/0!</v>
      </c>
      <c r="I26" s="88">
        <f>ROUND(HLOOKUP($I$2,bs!$C$1:$AA$110,MATCH("*"&amp;B26&amp;"*",bs!$B$1:$B$110,),FALSE),0)/IF(ISNUMBER(SEARCH("亿", $B$1)), 100000000,
IF(ISNUMBER(SEARCH("万", $B$1)), 10000, 1))</f>
        <v>0</v>
      </c>
      <c r="J26" s="87" t="e">
        <f t="shared" si="13"/>
        <v>#DIV/0!</v>
      </c>
      <c r="L26" s="96" t="e">
        <f t="shared" si="4"/>
        <v>#DIV/0!</v>
      </c>
      <c r="M26" s="96" t="str">
        <f t="shared" si="5"/>
        <v>其他非流动金融资产</v>
      </c>
      <c r="N26" t="e">
        <f t="shared" si="18"/>
        <v>#DIV/0!</v>
      </c>
    </row>
    <row r="27" spans="2:15">
      <c r="B27" s="85" t="s">
        <v>738</v>
      </c>
      <c r="C27" s="86">
        <f>ROUND(HLOOKUP($C$2,bs!$C$1:$AA$110,MATCH("*"&amp;B27&amp;"*",bs!$B$1:$B$110,0),FALSE),0)/
IF(ISNUMBER(SEARCH("亿", $B$1)), 100000000,
IF(ISNUMBER(SEARCH("万", $B$1)), 10000, 1))</f>
        <v>0</v>
      </c>
      <c r="D27" s="87" t="e">
        <f t="shared" si="15"/>
        <v>#DIV/0!</v>
      </c>
      <c r="E27" s="86">
        <f>ROUND(HLOOKUP($E$2,bs!$C$1:$AA$110,MATCH("*"&amp;B27&amp;"*",bs!$B$1:$B$110,),FALSE),0)/IF(ISNUMBER(SEARCH("亿", $B$1)), 100000000,
IF(ISNUMBER(SEARCH("万", $B$1)), 10000, 1))</f>
        <v>0</v>
      </c>
      <c r="F27" s="87" t="e">
        <f t="shared" si="16"/>
        <v>#DIV/0!</v>
      </c>
      <c r="G27" s="88">
        <f>ROUND(HLOOKUP($G$2,bs!$C$1:$AA$110,MATCH("*"&amp;B27&amp;"*",bs!$B$1:$B$110,),FALSE),0)/IF(ISNUMBER(SEARCH("亿", $B$1)), 100000000,
IF(ISNUMBER(SEARCH("万", $B$1)), 10000, 1))</f>
        <v>0</v>
      </c>
      <c r="H27" s="87" t="e">
        <f t="shared" si="17"/>
        <v>#DIV/0!</v>
      </c>
      <c r="I27" s="88">
        <f>ROUND(HLOOKUP($I$2,bs!$C$1:$AA$110,MATCH("*"&amp;B27&amp;"*",bs!$B$1:$B$110,),FALSE),0)/IF(ISNUMBER(SEARCH("亿", $B$1)), 100000000,
IF(ISNUMBER(SEARCH("万", $B$1)), 10000, 1))</f>
        <v>0</v>
      </c>
      <c r="J27" s="87" t="e">
        <f t="shared" si="13"/>
        <v>#DIV/0!</v>
      </c>
      <c r="L27" s="96" t="e">
        <f t="shared" si="4"/>
        <v>#DIV/0!</v>
      </c>
      <c r="M27" s="96" t="str">
        <f t="shared" si="5"/>
        <v>投资性房地产</v>
      </c>
      <c r="N27" t="e">
        <f t="shared" si="18"/>
        <v>#DIV/0!</v>
      </c>
    </row>
    <row r="28" spans="2:15">
      <c r="B28" s="85" t="s">
        <v>825</v>
      </c>
      <c r="C28" s="86">
        <f>ROUND(HLOOKUP($C$2,bs!$C$1:$AA$110,MATCH("*"&amp;B28&amp;"*",bs!$B$1:$B$110,0),FALSE),0)/
IF(ISNUMBER(SEARCH("亿", $B$1)), 100000000,
IF(ISNUMBER(SEARCH("万", $B$1)), 10000, 1))</f>
        <v>0</v>
      </c>
      <c r="D28" s="87" t="e">
        <f t="shared" ref="D28:D45" si="19">C28/$C$45</f>
        <v>#DIV/0!</v>
      </c>
      <c r="E28" s="86">
        <f>ROUND(HLOOKUP($E$2,bs!$C$1:$AA$110,MATCH("*"&amp;B28&amp;"*",bs!$B$1:$B$110,),FALSE),0)/IF(ISNUMBER(SEARCH("亿", $B$1)), 100000000,
IF(ISNUMBER(SEARCH("万", $B$1)), 10000, 1))</f>
        <v>0</v>
      </c>
      <c r="F28" s="87" t="e">
        <f t="shared" ref="F28:F45" si="20">E28/$E$45</f>
        <v>#DIV/0!</v>
      </c>
      <c r="G28" s="88">
        <f>ROUND(HLOOKUP($G$2,bs!$C$1:$AA$110,MATCH("*"&amp;B28&amp;"*",bs!$B$1:$B$110,),FALSE),0)/IF(ISNUMBER(SEARCH("亿", $B$1)), 100000000,
IF(ISNUMBER(SEARCH("万", $B$1)), 10000, 1))</f>
        <v>0</v>
      </c>
      <c r="H28" s="87" t="e">
        <f t="shared" ref="H28:H45" si="21">G28/$G$45</f>
        <v>#DIV/0!</v>
      </c>
      <c r="I28" s="88">
        <f>ROUND(HLOOKUP($I$2,bs!$C$1:$AA$110,MATCH("*"&amp;B28&amp;"*",bs!$B$1:$B$110,),FALSE),0)/IF(ISNUMBER(SEARCH("亿", $B$1)), 100000000,
IF(ISNUMBER(SEARCH("万", $B$1)), 10000, 1))</f>
        <v>0</v>
      </c>
      <c r="J28" s="87" t="e">
        <f t="shared" ref="J28:J45" si="22">I28/$I$45</f>
        <v>#DIV/0!</v>
      </c>
      <c r="L28" s="96" t="e">
        <f t="shared" si="4"/>
        <v>#DIV/0!</v>
      </c>
      <c r="M28" s="96" t="str">
        <f t="shared" si="5"/>
        <v>固定资产</v>
      </c>
      <c r="N28" t="e">
        <f>CONCATENATE(M28,":",TEXT($I$2,"YYYY"),"年-",TEXT($E$2,"YYYY"),"年及",TEXT($C$2,"YYYY年MM月"),"，","拟承租人",B28,"分别为",TEXT(I28,"#,##0.00"),"万元、",TEXT(G28,"#,##0.00"),"万元、",TEXT(E28,"#,##0.00"),"万元及",TEXT(C28,"#,##0.00"),"万元，","占总资产的比重分别为",TEXT(J28,"0.00%"),"、",TEXT(H28,"0.00%"),"、",TEXT(F28,"0.00%"),"和",TEXT(D28,"0.00%"),"。")</f>
        <v>#DIV/0!</v>
      </c>
    </row>
    <row r="29" spans="2:15">
      <c r="B29" s="85" t="s">
        <v>566</v>
      </c>
      <c r="C29" s="86">
        <f>ROUND(HLOOKUP($C$2,bs!$C$1:$AA$110,MATCH("*"&amp;B29&amp;"*",bs!$B$1:$B$110,0),FALSE),0)/
IF(ISNUMBER(SEARCH("亿", $B$1)), 100000000,
IF(ISNUMBER(SEARCH("万", $B$1)), 10000, 1))</f>
        <v>0</v>
      </c>
      <c r="D29" s="87" t="e">
        <f t="shared" si="19"/>
        <v>#DIV/0!</v>
      </c>
      <c r="E29" s="86">
        <f>ROUND(HLOOKUP($E$2,bs!$C$1:$AA$110,MATCH("*"&amp;B29&amp;"*",bs!$B$1:$B$110,),FALSE),0)/IF(ISNUMBER(SEARCH("亿", $B$1)), 100000000,
IF(ISNUMBER(SEARCH("万", $B$1)), 10000, 1))</f>
        <v>0</v>
      </c>
      <c r="F29" s="87" t="e">
        <f t="shared" si="20"/>
        <v>#DIV/0!</v>
      </c>
      <c r="G29" s="88">
        <f>ROUND(HLOOKUP($G$2,bs!$C$1:$AA$110,MATCH("*"&amp;B29&amp;"*",bs!$B$1:$B$110,),FALSE),0)/IF(ISNUMBER(SEARCH("亿", $B$1)), 100000000,
IF(ISNUMBER(SEARCH("万", $B$1)), 10000, 1))</f>
        <v>0</v>
      </c>
      <c r="H29" s="87" t="e">
        <f t="shared" si="21"/>
        <v>#DIV/0!</v>
      </c>
      <c r="I29" s="88">
        <f>ROUND(HLOOKUP($I$2,bs!$C$1:$AA$110,MATCH("*"&amp;B29&amp;"*",bs!$B$1:$B$110,),FALSE),0)/IF(ISNUMBER(SEARCH("亿", $B$1)), 100000000,
IF(ISNUMBER(SEARCH("万", $B$1)), 10000, 1))</f>
        <v>0</v>
      </c>
      <c r="J29" s="87" t="e">
        <f t="shared" si="22"/>
        <v>#DIV/0!</v>
      </c>
      <c r="L29" s="96" t="e">
        <f t="shared" si="4"/>
        <v>#DIV/0!</v>
      </c>
      <c r="M29" s="96" t="str">
        <f t="shared" si="5"/>
        <v xml:space="preserve">  累计折旧</v>
      </c>
      <c r="N29" t="e">
        <f t="shared" si="18"/>
        <v>#DIV/0!</v>
      </c>
    </row>
    <row r="30" spans="2:15">
      <c r="B30" s="85" t="s">
        <v>567</v>
      </c>
      <c r="C30" s="86">
        <f>ROUND(HLOOKUP($C$2,bs!$C$1:$AA$110,MATCH("*"&amp;B30&amp;"*",bs!$B$1:$B$110,0),FALSE),0)/
IF(ISNUMBER(SEARCH("亿", $B$1)), 100000000,
IF(ISNUMBER(SEARCH("万", $B$1)), 10000, 1))</f>
        <v>0</v>
      </c>
      <c r="D30" s="87" t="e">
        <f t="shared" si="19"/>
        <v>#DIV/0!</v>
      </c>
      <c r="E30" s="86">
        <f>ROUND(HLOOKUP($E$2,bs!$C$1:$AA$110,MATCH("*"&amp;B30&amp;"*",bs!$B$1:$B$110,),FALSE),0)/IF(ISNUMBER(SEARCH("亿", $B$1)), 100000000,
IF(ISNUMBER(SEARCH("万", $B$1)), 10000, 1))</f>
        <v>0</v>
      </c>
      <c r="F30" s="87" t="e">
        <f t="shared" si="20"/>
        <v>#DIV/0!</v>
      </c>
      <c r="G30" s="88">
        <f>ROUND(HLOOKUP($G$2,bs!$C$1:$AA$110,MATCH("*"&amp;B30&amp;"*",bs!$B$1:$B$110,),FALSE),0)/IF(ISNUMBER(SEARCH("亿", $B$1)), 100000000,
IF(ISNUMBER(SEARCH("万", $B$1)), 10000, 1))</f>
        <v>0</v>
      </c>
      <c r="H30" s="87" t="e">
        <f t="shared" si="21"/>
        <v>#DIV/0!</v>
      </c>
      <c r="I30" s="88">
        <f>ROUND(HLOOKUP($I$2,bs!$C$1:$AA$110,MATCH("*"&amp;B30&amp;"*",bs!$B$1:$B$110,),FALSE),0)/IF(ISNUMBER(SEARCH("亿", $B$1)), 100000000,
IF(ISNUMBER(SEARCH("万", $B$1)), 10000, 1))</f>
        <v>0</v>
      </c>
      <c r="J30" s="87" t="e">
        <f t="shared" si="22"/>
        <v>#DIV/0!</v>
      </c>
      <c r="L30" s="96" t="e">
        <f t="shared" si="4"/>
        <v>#DIV/0!</v>
      </c>
      <c r="M30" s="96" t="str">
        <f t="shared" si="5"/>
        <v xml:space="preserve">  固定资产减值准备 </v>
      </c>
      <c r="N30" t="e">
        <f t="shared" si="18"/>
        <v>#DIV/0!</v>
      </c>
    </row>
    <row r="31" spans="2:15">
      <c r="B31" s="85" t="s">
        <v>826</v>
      </c>
      <c r="C31" s="86">
        <f>ROUND(HLOOKUP($C$2,bs!$C$1:$AA$110,MATCH("*"&amp;B31&amp;"*",bs!$B$1:$B$110,0),FALSE),0)/
IF(ISNUMBER(SEARCH("亿", $B$1)), 100000000,
IF(ISNUMBER(SEARCH("万", $B$1)), 10000, 1))</f>
        <v>0</v>
      </c>
      <c r="D31" s="87" t="e">
        <f t="shared" si="19"/>
        <v>#DIV/0!</v>
      </c>
      <c r="E31" s="86">
        <f>ROUND(HLOOKUP($E$2,bs!$C$1:$AA$110,MATCH("*"&amp;B31&amp;"*",bs!$B$1:$B$110,),FALSE),0)/IF(ISNUMBER(SEARCH("亿", $B$1)), 100000000,
IF(ISNUMBER(SEARCH("万", $B$1)), 10000, 1))</f>
        <v>0</v>
      </c>
      <c r="F31" s="87" t="e">
        <f t="shared" si="20"/>
        <v>#DIV/0!</v>
      </c>
      <c r="G31" s="88">
        <f>ROUND(HLOOKUP($G$2,bs!$C$1:$AA$110,MATCH("*"&amp;B31&amp;"*",bs!$B$1:$B$110,),FALSE),0)/IF(ISNUMBER(SEARCH("亿", $B$1)), 100000000,
IF(ISNUMBER(SEARCH("万", $B$1)), 10000, 1))</f>
        <v>0</v>
      </c>
      <c r="H31" s="87" t="e">
        <f t="shared" si="21"/>
        <v>#DIV/0!</v>
      </c>
      <c r="I31" s="88">
        <f>ROUND(HLOOKUP($I$2,bs!$C$1:$AA$110,MATCH("*"&amp;B31&amp;"*",bs!$B$1:$B$110,),FALSE),0)/IF(ISNUMBER(SEARCH("亿", $B$1)), 100000000,
IF(ISNUMBER(SEARCH("万", $B$1)), 10000, 1))</f>
        <v>0</v>
      </c>
      <c r="J31" s="87" t="e">
        <f t="shared" si="22"/>
        <v>#DIV/0!</v>
      </c>
      <c r="K31" s="97">
        <f>C31-E31</f>
        <v>0</v>
      </c>
      <c r="L31" s="96" t="e">
        <f t="shared" si="4"/>
        <v>#DIV/0!</v>
      </c>
      <c r="M31" s="96" t="str">
        <f t="shared" si="5"/>
        <v>固定资产净额</v>
      </c>
      <c r="N31" t="e">
        <f>CONCATENATE(M31,":",TEXT($I$2,"YYYY"),"年-",TEXT($E$2,"YYYY"),"年及",TEXT($C$2,"YYYY年MM月"),"，","拟承租人",B31,"分别为",TEXT(I31,"#,##0.00"),"万元、",TEXT(G31,"#,##0.00"),"万元、",TEXT(E31,"#,##0.00"),"万元及",TEXT(C31,"#,##0.00"),"万元，","占总资产的比重分别为",TEXT(J31,"0.00%"),"、",TEXT(H31,"0.00%"),"、",TEXT(F31,"0.00%"),"和",TEXT(D31,"0.00%"),"。")</f>
        <v>#DIV/0!</v>
      </c>
    </row>
    <row r="32" spans="2:15">
      <c r="B32" s="85" t="s">
        <v>569</v>
      </c>
      <c r="C32" s="86">
        <f>ROUND(HLOOKUP($C$2,bs!$C$1:$AA$110,MATCH("*"&amp;B32&amp;"*",bs!$B$1:$B$110,0),FALSE),0)/
IF(ISNUMBER(SEARCH("亿", $B$1)), 100000000,
IF(ISNUMBER(SEARCH("万", $B$1)), 10000, 1))</f>
        <v>0</v>
      </c>
      <c r="D32" s="87" t="e">
        <f t="shared" si="19"/>
        <v>#DIV/0!</v>
      </c>
      <c r="E32" s="86">
        <f>ROUND(HLOOKUP($E$2,bs!$C$1:$AA$110,MATCH("*"&amp;B32&amp;"*",bs!$B$1:$B$110,),FALSE),0)/IF(ISNUMBER(SEARCH("亿", $B$1)), 100000000,
IF(ISNUMBER(SEARCH("万", $B$1)), 10000, 1))</f>
        <v>0</v>
      </c>
      <c r="F32" s="87" t="e">
        <f t="shared" si="20"/>
        <v>#DIV/0!</v>
      </c>
      <c r="G32" s="88">
        <f>ROUND(HLOOKUP($G$2,bs!$C$1:$AA$110,MATCH("*"&amp;B32&amp;"*",bs!$B$1:$B$110,),FALSE),0)/IF(ISNUMBER(SEARCH("亿", $B$1)), 100000000,
IF(ISNUMBER(SEARCH("万", $B$1)), 10000, 1))</f>
        <v>0</v>
      </c>
      <c r="H32" s="87" t="e">
        <f t="shared" si="21"/>
        <v>#DIV/0!</v>
      </c>
      <c r="I32" s="88">
        <f>ROUND(HLOOKUP($I$2,bs!$C$1:$AA$110,MATCH("*"&amp;B32&amp;"*",bs!$B$1:$B$110,),FALSE),0)/IF(ISNUMBER(SEARCH("亿", $B$1)), 100000000,
IF(ISNUMBER(SEARCH("万", $B$1)), 10000, 1))</f>
        <v>0</v>
      </c>
      <c r="J32" s="87" t="e">
        <f t="shared" si="22"/>
        <v>#DIV/0!</v>
      </c>
      <c r="L32" s="96" t="e">
        <f t="shared" si="4"/>
        <v>#DIV/0!</v>
      </c>
      <c r="M32" s="96" t="str">
        <f t="shared" si="5"/>
        <v xml:space="preserve">  固定资产清理</v>
      </c>
      <c r="N32" t="e">
        <f t="shared" si="18"/>
        <v>#DIV/0!</v>
      </c>
    </row>
    <row r="33" spans="2:15">
      <c r="B33" s="85" t="s">
        <v>570</v>
      </c>
      <c r="C33" s="86">
        <f>ROUND(HLOOKUP($C$2,bs!$C$1:$AA$110,MATCH("*"&amp;B33&amp;"*",bs!$B$1:$B$110,0),FALSE),0)/
IF(ISNUMBER(SEARCH("亿", $B$1)), 100000000,
IF(ISNUMBER(SEARCH("万", $B$1)), 10000, 1))</f>
        <v>0</v>
      </c>
      <c r="D33" s="87" t="e">
        <f t="shared" si="19"/>
        <v>#DIV/0!</v>
      </c>
      <c r="E33" s="86">
        <f>ROUND(HLOOKUP($E$2,bs!$C$1:$AA$110,MATCH("*"&amp;B33&amp;"*",bs!$B$1:$B$110,),FALSE),0)/IF(ISNUMBER(SEARCH("亿", $B$1)), 100000000,
IF(ISNUMBER(SEARCH("万", $B$1)), 10000, 1))</f>
        <v>0</v>
      </c>
      <c r="F33" s="87" t="e">
        <f t="shared" si="20"/>
        <v>#DIV/0!</v>
      </c>
      <c r="G33" s="88">
        <f>ROUND(HLOOKUP($G$2,bs!$C$1:$AA$110,MATCH("*"&amp;B33&amp;"*",bs!$B$1:$B$110,),FALSE),0)/IF(ISNUMBER(SEARCH("亿", $B$1)), 100000000,
IF(ISNUMBER(SEARCH("万", $B$1)), 10000, 1))</f>
        <v>0</v>
      </c>
      <c r="H33" s="87" t="e">
        <f t="shared" si="21"/>
        <v>#DIV/0!</v>
      </c>
      <c r="I33" s="88">
        <f>ROUND(HLOOKUP($I$2,bs!$C$1:$AA$110,MATCH("*"&amp;B33&amp;"*",bs!$B$1:$B$110,),FALSE),0)/IF(ISNUMBER(SEARCH("亿", $B$1)), 100000000,
IF(ISNUMBER(SEARCH("万", $B$1)), 10000, 1))</f>
        <v>0</v>
      </c>
      <c r="J33" s="87" t="e">
        <f t="shared" si="22"/>
        <v>#DIV/0!</v>
      </c>
      <c r="L33" s="96" t="e">
        <f t="shared" si="4"/>
        <v>#DIV/0!</v>
      </c>
      <c r="M33" s="96" t="str">
        <f t="shared" si="5"/>
        <v xml:space="preserve">  工程物资</v>
      </c>
      <c r="N33" t="e">
        <f t="shared" si="18"/>
        <v>#DIV/0!</v>
      </c>
    </row>
    <row r="34" spans="2:15">
      <c r="B34" s="85" t="s">
        <v>686</v>
      </c>
      <c r="C34" s="86">
        <f>ROUND(HLOOKUP($C$2,bs!$C$1:$AA$110,MATCH("*"&amp;B34&amp;"*",bs!$B$1:$B$110,0),FALSE),0)/
IF(ISNUMBER(SEARCH("亿", $B$1)), 100000000,
IF(ISNUMBER(SEARCH("万", $B$1)), 10000, 1))</f>
        <v>0</v>
      </c>
      <c r="D34" s="87" t="e">
        <f t="shared" si="19"/>
        <v>#DIV/0!</v>
      </c>
      <c r="E34" s="86">
        <f>ROUND(HLOOKUP($E$2,bs!$C$1:$AA$110,MATCH("*"&amp;B34&amp;"*",bs!$B$1:$B$110,),FALSE),0)/IF(ISNUMBER(SEARCH("亿", $B$1)), 100000000,
IF(ISNUMBER(SEARCH("万", $B$1)), 10000, 1))</f>
        <v>0</v>
      </c>
      <c r="F34" s="87" t="e">
        <f t="shared" si="20"/>
        <v>#DIV/0!</v>
      </c>
      <c r="G34" s="88">
        <f>ROUND(HLOOKUP($G$2,bs!$C$1:$AA$110,MATCH("*"&amp;B34&amp;"*",bs!$B$1:$B$110,),FALSE),0)/IF(ISNUMBER(SEARCH("亿", $B$1)), 100000000,
IF(ISNUMBER(SEARCH("万", $B$1)), 10000, 1))</f>
        <v>0</v>
      </c>
      <c r="H34" s="87" t="e">
        <f t="shared" si="21"/>
        <v>#DIV/0!</v>
      </c>
      <c r="I34" s="88">
        <f>ROUND(HLOOKUP($I$2,bs!$C$1:$AA$110,MATCH("*"&amp;B34&amp;"*",bs!$B$1:$B$110,),FALSE),0)/IF(ISNUMBER(SEARCH("亿", $B$1)), 100000000,
IF(ISNUMBER(SEARCH("万", $B$1)), 10000, 1))</f>
        <v>0</v>
      </c>
      <c r="J34" s="87" t="e">
        <f t="shared" si="22"/>
        <v>#DIV/0!</v>
      </c>
      <c r="L34" s="96" t="e">
        <f t="shared" si="4"/>
        <v>#DIV/0!</v>
      </c>
      <c r="M34" s="96" t="str">
        <f t="shared" si="5"/>
        <v>在建工程</v>
      </c>
      <c r="N34" t="e">
        <f>CONCATENATE(M34,":",TEXT($I$2,"YYYY"),"年-",TEXT($E$2,"YYYY"),"年及",TEXT($C$2,"YYYY年MM月"),"，","拟承租人",B34,"分别为",TEXT(I34,"#,##0.00"),"万元、",TEXT(G34,"#,##0.00"),"万元、",TEXT(E34,"#,##0.00"),"万元及",TEXT(C34,"#,##0.00"),"万元，","占总资产的比重分别为",TEXT(J34,"0.00%"),"、",TEXT(H34,"0.00%"),"、",TEXT(F34,"0.00%"),"和",TEXT(D34,"0.00%"),"。")</f>
        <v>#DIV/0!</v>
      </c>
    </row>
    <row r="35" spans="2:15">
      <c r="B35" s="85" t="s">
        <v>572</v>
      </c>
      <c r="C35" s="86">
        <f>ROUND(HLOOKUP($C$2,bs!$C$1:$AA$110,MATCH("*"&amp;B35&amp;"*",bs!$B$1:$B$110,0),FALSE),0)/
IF(ISNUMBER(SEARCH("亿", $B$1)), 100000000,
IF(ISNUMBER(SEARCH("万", $B$1)), 10000, 1))</f>
        <v>0</v>
      </c>
      <c r="D35" s="87" t="e">
        <f t="shared" si="19"/>
        <v>#DIV/0!</v>
      </c>
      <c r="E35" s="86">
        <f>ROUND(HLOOKUP($E$2,bs!$C$1:$AA$110,MATCH("*"&amp;B35&amp;"*",bs!$B$1:$B$110,),FALSE),0)/IF(ISNUMBER(SEARCH("亿", $B$1)), 100000000,
IF(ISNUMBER(SEARCH("万", $B$1)), 10000, 1))</f>
        <v>0</v>
      </c>
      <c r="F35" s="87" t="e">
        <f t="shared" si="20"/>
        <v>#DIV/0!</v>
      </c>
      <c r="G35" s="88">
        <f>ROUND(HLOOKUP($G$2,bs!$C$1:$AA$110,MATCH("*"&amp;B35&amp;"*",bs!$B$1:$B$110,),FALSE),0)/IF(ISNUMBER(SEARCH("亿", $B$1)), 100000000,
IF(ISNUMBER(SEARCH("万", $B$1)), 10000, 1))</f>
        <v>0</v>
      </c>
      <c r="H35" s="87" t="e">
        <f t="shared" si="21"/>
        <v>#DIV/0!</v>
      </c>
      <c r="I35" s="88">
        <f>ROUND(HLOOKUP($I$2,bs!$C$1:$AA$110,MATCH("*"&amp;B35&amp;"*",bs!$B$1:$B$110,),FALSE),0)/IF(ISNUMBER(SEARCH("亿", $B$1)), 100000000,
IF(ISNUMBER(SEARCH("万", $B$1)), 10000, 1))</f>
        <v>0</v>
      </c>
      <c r="J35" s="87" t="e">
        <f t="shared" si="22"/>
        <v>#DIV/0!</v>
      </c>
      <c r="L35" s="96" t="e">
        <f t="shared" si="4"/>
        <v>#DIV/0!</v>
      </c>
      <c r="M35" s="96" t="str">
        <f t="shared" si="5"/>
        <v xml:space="preserve">  生产性生物资产 </v>
      </c>
      <c r="N35" t="e">
        <f t="shared" si="18"/>
        <v>#DIV/0!</v>
      </c>
    </row>
    <row r="36" spans="2:15">
      <c r="B36" s="85" t="s">
        <v>573</v>
      </c>
      <c r="C36" s="86">
        <f>ROUND(HLOOKUP($C$2,bs!$C$1:$AA$110,MATCH("*"&amp;B36&amp;"*",bs!$B$1:$B$110,0),FALSE),0)/
IF(ISNUMBER(SEARCH("亿", $B$1)), 100000000,
IF(ISNUMBER(SEARCH("万", $B$1)), 10000, 1))</f>
        <v>0</v>
      </c>
      <c r="D36" s="87" t="e">
        <f t="shared" si="19"/>
        <v>#DIV/0!</v>
      </c>
      <c r="E36" s="86">
        <f>ROUND(HLOOKUP($E$2,bs!$C$1:$AA$110,MATCH("*"&amp;B36&amp;"*",bs!$B$1:$B$110,),FALSE),0)/IF(ISNUMBER(SEARCH("亿", $B$1)), 100000000,
IF(ISNUMBER(SEARCH("万", $B$1)), 10000, 1))</f>
        <v>0</v>
      </c>
      <c r="F36" s="87" t="e">
        <f t="shared" si="20"/>
        <v>#DIV/0!</v>
      </c>
      <c r="G36" s="88">
        <f>ROUND(HLOOKUP($G$2,bs!$C$1:$AA$110,MATCH("*"&amp;B36&amp;"*",bs!$B$1:$B$110,),FALSE),0)/IF(ISNUMBER(SEARCH("亿", $B$1)), 100000000,
IF(ISNUMBER(SEARCH("万", $B$1)), 10000, 1))</f>
        <v>0</v>
      </c>
      <c r="H36" s="87" t="e">
        <f t="shared" si="21"/>
        <v>#DIV/0!</v>
      </c>
      <c r="I36" s="88">
        <f>ROUND(HLOOKUP($I$2,bs!$C$1:$AA$110,MATCH("*"&amp;B36&amp;"*",bs!$B$1:$B$110,),FALSE),0)/IF(ISNUMBER(SEARCH("亿", $B$1)), 100000000,
IF(ISNUMBER(SEARCH("万", $B$1)), 10000, 1))</f>
        <v>0</v>
      </c>
      <c r="J36" s="87" t="e">
        <f t="shared" si="22"/>
        <v>#DIV/0!</v>
      </c>
      <c r="L36" s="96" t="e">
        <f t="shared" si="4"/>
        <v>#DIV/0!</v>
      </c>
      <c r="M36" s="96" t="str">
        <f t="shared" si="5"/>
        <v xml:space="preserve">  油气资产 </v>
      </c>
      <c r="N36" t="e">
        <f t="shared" si="18"/>
        <v>#DIV/0!</v>
      </c>
    </row>
    <row r="37" spans="2:15">
      <c r="B37" s="85" t="s">
        <v>574</v>
      </c>
      <c r="C37" s="86">
        <f>ROUND(HLOOKUP($C$2,bs!$C$1:$AA$110,MATCH("*"&amp;B37&amp;"*",bs!$B$1:$B$110,0),FALSE),0)/
IF(ISNUMBER(SEARCH("亿", $B$1)), 100000000,
IF(ISNUMBER(SEARCH("万", $B$1)), 10000, 1))</f>
        <v>0</v>
      </c>
      <c r="D37" s="87" t="e">
        <f t="shared" si="19"/>
        <v>#DIV/0!</v>
      </c>
      <c r="E37" s="86">
        <f>ROUND(HLOOKUP($E$2,bs!$C$1:$AA$110,MATCH("*"&amp;B37&amp;"*",bs!$B$1:$B$110,),FALSE),0)/IF(ISNUMBER(SEARCH("亿", $B$1)), 100000000,
IF(ISNUMBER(SEARCH("万", $B$1)), 10000, 1))</f>
        <v>0</v>
      </c>
      <c r="F37" s="87" t="e">
        <f t="shared" si="20"/>
        <v>#DIV/0!</v>
      </c>
      <c r="G37" s="88">
        <f>ROUND(HLOOKUP($G$2,bs!$C$1:$AA$110,MATCH("*"&amp;B37&amp;"*",bs!$B$1:$B$110,),FALSE),0)/IF(ISNUMBER(SEARCH("亿", $B$1)), 100000000,
IF(ISNUMBER(SEARCH("万", $B$1)), 10000, 1))</f>
        <v>0</v>
      </c>
      <c r="H37" s="87" t="e">
        <f t="shared" si="21"/>
        <v>#DIV/0!</v>
      </c>
      <c r="I37" s="88">
        <f>ROUND(HLOOKUP($I$2,bs!$C$1:$AA$110,MATCH("*"&amp;B37&amp;"*",bs!$B$1:$B$110,),FALSE),0)/IF(ISNUMBER(SEARCH("亿", $B$1)), 100000000,
IF(ISNUMBER(SEARCH("万", $B$1)), 10000, 1))</f>
        <v>0</v>
      </c>
      <c r="J37" s="87" t="e">
        <f t="shared" si="22"/>
        <v>#DIV/0!</v>
      </c>
      <c r="L37" s="96" t="e">
        <f t="shared" si="4"/>
        <v>#DIV/0!</v>
      </c>
      <c r="M37" s="96" t="str">
        <f t="shared" si="5"/>
        <v xml:space="preserve">  使用权资产 </v>
      </c>
      <c r="N37" t="e">
        <f t="shared" si="18"/>
        <v>#DIV/0!</v>
      </c>
    </row>
    <row r="38" spans="2:15">
      <c r="B38" s="85" t="s">
        <v>827</v>
      </c>
      <c r="C38" s="86">
        <f>ROUND(HLOOKUP($C$2,bs!$C$1:$AA$110,MATCH("*"&amp;B38&amp;"*",bs!$B$1:$B$110,0),FALSE),0)/
IF(ISNUMBER(SEARCH("亿", $B$1)), 100000000,
IF(ISNUMBER(SEARCH("万", $B$1)), 10000, 1))</f>
        <v>0</v>
      </c>
      <c r="D38" s="87" t="e">
        <f t="shared" si="19"/>
        <v>#DIV/0!</v>
      </c>
      <c r="E38" s="86">
        <f>ROUND(HLOOKUP($E$2,bs!$C$1:$AA$110,MATCH("*"&amp;B38&amp;"*",bs!$B$1:$B$110,),FALSE),0)/IF(ISNUMBER(SEARCH("亿", $B$1)), 100000000,
IF(ISNUMBER(SEARCH("万", $B$1)), 10000, 1))</f>
        <v>0</v>
      </c>
      <c r="F38" s="87" t="e">
        <f t="shared" si="20"/>
        <v>#DIV/0!</v>
      </c>
      <c r="G38" s="88">
        <f>ROUND(HLOOKUP($G$2,bs!$C$1:$AA$110,MATCH("*"&amp;B38&amp;"*",bs!$B$1:$B$110,),FALSE),0)/IF(ISNUMBER(SEARCH("亿", $B$1)), 100000000,
IF(ISNUMBER(SEARCH("万", $B$1)), 10000, 1))</f>
        <v>0</v>
      </c>
      <c r="H38" s="87" t="e">
        <f t="shared" si="21"/>
        <v>#DIV/0!</v>
      </c>
      <c r="I38" s="88">
        <f>ROUND(HLOOKUP($I$2,bs!$C$1:$AA$110,MATCH("*"&amp;B38&amp;"*",bs!$B$1:$B$110,),FALSE),0)/IF(ISNUMBER(SEARCH("亿", $B$1)), 100000000,
IF(ISNUMBER(SEARCH("万", $B$1)), 10000, 1))</f>
        <v>0</v>
      </c>
      <c r="J38" s="87" t="e">
        <f t="shared" si="22"/>
        <v>#DIV/0!</v>
      </c>
      <c r="L38" s="96" t="e">
        <f t="shared" si="4"/>
        <v>#DIV/0!</v>
      </c>
      <c r="M38" s="96" t="str">
        <f t="shared" si="5"/>
        <v>无形资产</v>
      </c>
      <c r="N38" t="e">
        <f>CONCATENATE(M38,":",TEXT($I$2,"YYYY"),"年-",TEXT($E$2,"YYYY"),"年及",TEXT($C$2,"YYYY年MM月"),"，","拟承租人",B38,"分别为",TEXT(I38,"#,##0.00"),"万元、",TEXT(G38,"#,##0.00"),"万元、",TEXT(E38,"#,##0.00"),"万元及",TEXT(C38,"#,##0.00"),"万元，","占总资产的比重分别为",TEXT(J38,"0.00%"),"、",TEXT(H38,"0.00%"),"、",TEXT(F38,"0.00%"),"和",TEXT(D38,"0.00%"),"。")</f>
        <v>#DIV/0!</v>
      </c>
    </row>
    <row r="39" spans="2:15">
      <c r="B39" s="85" t="s">
        <v>576</v>
      </c>
      <c r="C39" s="86">
        <f>ROUND(HLOOKUP($C$2,bs!$C$1:$AA$110,MATCH("*"&amp;B39&amp;"*",bs!$B$1:$B$110,0),FALSE),0)/
IF(ISNUMBER(SEARCH("亿", $B$1)), 100000000,
IF(ISNUMBER(SEARCH("万", $B$1)), 10000, 1))</f>
        <v>0</v>
      </c>
      <c r="D39" s="87" t="e">
        <f t="shared" si="19"/>
        <v>#DIV/0!</v>
      </c>
      <c r="E39" s="86">
        <f>ROUND(HLOOKUP($E$2,bs!$C$1:$AA$110,MATCH("*"&amp;B39&amp;"*",bs!$B$1:$B$110,),FALSE),0)/IF(ISNUMBER(SEARCH("亿", $B$1)), 100000000,
IF(ISNUMBER(SEARCH("万", $B$1)), 10000, 1))</f>
        <v>0</v>
      </c>
      <c r="F39" s="87" t="e">
        <f t="shared" si="20"/>
        <v>#DIV/0!</v>
      </c>
      <c r="G39" s="88">
        <f>ROUND(HLOOKUP($G$2,bs!$C$1:$AA$110,MATCH("*"&amp;B39&amp;"*",bs!$B$1:$B$110,),FALSE),0)/IF(ISNUMBER(SEARCH("亿", $B$1)), 100000000,
IF(ISNUMBER(SEARCH("万", $B$1)), 10000, 1))</f>
        <v>0</v>
      </c>
      <c r="H39" s="87" t="e">
        <f t="shared" si="21"/>
        <v>#DIV/0!</v>
      </c>
      <c r="I39" s="88">
        <f>ROUND(HLOOKUP($I$2,bs!$C$1:$AA$110,MATCH("*"&amp;B39&amp;"*",bs!$B$1:$B$110,),FALSE),0)/IF(ISNUMBER(SEARCH("亿", $B$1)), 100000000,
IF(ISNUMBER(SEARCH("万", $B$1)), 10000, 1))</f>
        <v>0</v>
      </c>
      <c r="J39" s="87" t="e">
        <f t="shared" si="22"/>
        <v>#DIV/0!</v>
      </c>
      <c r="L39" s="96" t="e">
        <f t="shared" si="4"/>
        <v>#DIV/0!</v>
      </c>
      <c r="M39" s="96" t="str">
        <f t="shared" si="5"/>
        <v xml:space="preserve">  开发支出 </v>
      </c>
      <c r="N39" t="e">
        <f t="shared" si="18"/>
        <v>#DIV/0!</v>
      </c>
    </row>
    <row r="40" spans="2:15">
      <c r="B40" s="85" t="s">
        <v>577</v>
      </c>
      <c r="C40" s="86">
        <f>ROUND(HLOOKUP($C$2,bs!$C$1:$AA$110,MATCH("*"&amp;B40&amp;"*",bs!$B$1:$B$110,0),FALSE),0)/
IF(ISNUMBER(SEARCH("亿", $B$1)), 100000000,
IF(ISNUMBER(SEARCH("万", $B$1)), 10000, 1))</f>
        <v>0</v>
      </c>
      <c r="D40" s="87" t="e">
        <f t="shared" si="19"/>
        <v>#DIV/0!</v>
      </c>
      <c r="E40" s="86">
        <f>ROUND(HLOOKUP($E$2,bs!$C$1:$AA$110,MATCH("*"&amp;B40&amp;"*",bs!$B$1:$B$110,),FALSE),0)/IF(ISNUMBER(SEARCH("亿", $B$1)), 100000000,
IF(ISNUMBER(SEARCH("万", $B$1)), 10000, 1))</f>
        <v>0</v>
      </c>
      <c r="F40" s="87" t="e">
        <f t="shared" si="20"/>
        <v>#DIV/0!</v>
      </c>
      <c r="G40" s="88">
        <f>ROUND(HLOOKUP($G$2,bs!$C$1:$AA$110,MATCH("*"&amp;B40&amp;"*",bs!$B$1:$B$110,),FALSE),0)/IF(ISNUMBER(SEARCH("亿", $B$1)), 100000000,
IF(ISNUMBER(SEARCH("万", $B$1)), 10000, 1))</f>
        <v>0</v>
      </c>
      <c r="H40" s="87" t="e">
        <f t="shared" si="21"/>
        <v>#DIV/0!</v>
      </c>
      <c r="I40" s="88">
        <f>ROUND(HLOOKUP($I$2,bs!$C$1:$AA$110,MATCH("*"&amp;B40&amp;"*",bs!$B$1:$B$110,),FALSE),0)/IF(ISNUMBER(SEARCH("亿", $B$1)), 100000000,
IF(ISNUMBER(SEARCH("万", $B$1)), 10000, 1))</f>
        <v>0</v>
      </c>
      <c r="J40" s="87" t="e">
        <f t="shared" si="22"/>
        <v>#DIV/0!</v>
      </c>
      <c r="L40" s="96" t="e">
        <f t="shared" si="4"/>
        <v>#DIV/0!</v>
      </c>
      <c r="M40" s="96" t="str">
        <f t="shared" si="5"/>
        <v xml:space="preserve">  商誉 </v>
      </c>
      <c r="N40" t="e">
        <f t="shared" si="18"/>
        <v>#DIV/0!</v>
      </c>
    </row>
    <row r="41" spans="2:15">
      <c r="B41" s="85" t="s">
        <v>828</v>
      </c>
      <c r="C41" s="86">
        <f>ROUND(HLOOKUP($C$2,bs!$C$1:$AA$110,MATCH("*"&amp;B41&amp;"*",bs!$B$1:$B$110,0),FALSE),0)/
IF(ISNUMBER(SEARCH("亿", $B$1)), 100000000,
IF(ISNUMBER(SEARCH("万", $B$1)), 10000, 1))</f>
        <v>0</v>
      </c>
      <c r="D41" s="87" t="e">
        <f t="shared" si="19"/>
        <v>#DIV/0!</v>
      </c>
      <c r="E41" s="86">
        <f>ROUND(HLOOKUP($E$2,bs!$C$1:$AA$110,MATCH("*"&amp;B41&amp;"*",bs!$B$1:$B$110,),FALSE),0)/IF(ISNUMBER(SEARCH("亿", $B$1)), 100000000,
IF(ISNUMBER(SEARCH("万", $B$1)), 10000, 1))</f>
        <v>0</v>
      </c>
      <c r="F41" s="87" t="e">
        <f t="shared" si="20"/>
        <v>#DIV/0!</v>
      </c>
      <c r="G41" s="88">
        <f>ROUND(HLOOKUP($G$2,bs!$C$1:$AA$110,MATCH("*"&amp;B41&amp;"*",bs!$B$1:$B$110,),FALSE),0)/IF(ISNUMBER(SEARCH("亿", $B$1)), 100000000,
IF(ISNUMBER(SEARCH("万", $B$1)), 10000, 1))</f>
        <v>0</v>
      </c>
      <c r="H41" s="87" t="e">
        <f t="shared" si="21"/>
        <v>#DIV/0!</v>
      </c>
      <c r="I41" s="88">
        <f>ROUND(HLOOKUP($I$2,bs!$C$1:$AA$110,MATCH("*"&amp;B41&amp;"*",bs!$B$1:$B$110,),FALSE),0)/IF(ISNUMBER(SEARCH("亿", $B$1)), 100000000,
IF(ISNUMBER(SEARCH("万", $B$1)), 10000, 1))</f>
        <v>0</v>
      </c>
      <c r="J41" s="87" t="e">
        <f t="shared" si="22"/>
        <v>#DIV/0!</v>
      </c>
      <c r="L41" s="96" t="e">
        <f t="shared" si="4"/>
        <v>#DIV/0!</v>
      </c>
      <c r="M41" s="96" t="str">
        <f t="shared" si="5"/>
        <v>长期待摊费用</v>
      </c>
      <c r="N41" t="e">
        <f t="shared" ref="N41:N43" si="23">CONCATENATE(M41,":",TEXT($I$2,"YYYY"),"年-",TEXT($E$2,"YYYY"),"年及",TEXT($C$2,"YYYY年MM月"),"，","拟承租人",B41,"分别为",TEXT(I41,"#,##0.00"),"万元、",TEXT(G41,"#,##0.00"),"万元、",TEXT(E41,"#,##0.00"),"万元及",TEXT(C41,"#,##0.00"),"万元，","占总资产的比重分别为",TEXT(J41,"0.00%"),"、",TEXT(H41,"0.00%"),"、",TEXT(F41,"0.00%"),"和",TEXT(D41,"0.00%"),"。")</f>
        <v>#DIV/0!</v>
      </c>
    </row>
    <row r="42" spans="2:15">
      <c r="B42" s="85" t="s">
        <v>829</v>
      </c>
      <c r="C42" s="86">
        <f>ROUND(HLOOKUP($C$2,bs!$C$1:$AA$110,MATCH("*"&amp;B42&amp;"*",bs!$B$1:$B$110,0),FALSE),0)/
IF(ISNUMBER(SEARCH("亿", $B$1)), 100000000,
IF(ISNUMBER(SEARCH("万", $B$1)), 10000, 1))</f>
        <v>0</v>
      </c>
      <c r="D42" s="87" t="e">
        <f t="shared" si="19"/>
        <v>#DIV/0!</v>
      </c>
      <c r="E42" s="86">
        <f>ROUND(HLOOKUP($E$2,bs!$C$1:$AA$110,MATCH("*"&amp;B42&amp;"*",bs!$B$1:$B$110,),FALSE),0)/IF(ISNUMBER(SEARCH("亿", $B$1)), 100000000,
IF(ISNUMBER(SEARCH("万", $B$1)), 10000, 1))</f>
        <v>0</v>
      </c>
      <c r="F42" s="87" t="e">
        <f t="shared" si="20"/>
        <v>#DIV/0!</v>
      </c>
      <c r="G42" s="88">
        <f>ROUND(HLOOKUP($G$2,bs!$C$1:$AA$110,MATCH("*"&amp;B42&amp;"*",bs!$B$1:$B$110,),FALSE),0)/IF(ISNUMBER(SEARCH("亿", $B$1)), 100000000,
IF(ISNUMBER(SEARCH("万", $B$1)), 10000, 1))</f>
        <v>0</v>
      </c>
      <c r="H42" s="87" t="e">
        <f t="shared" si="21"/>
        <v>#DIV/0!</v>
      </c>
      <c r="I42" s="88">
        <f>ROUND(HLOOKUP($I$2,bs!$C$1:$AA$110,MATCH("*"&amp;B42&amp;"*",bs!$B$1:$B$110,),FALSE),0)/IF(ISNUMBER(SEARCH("亿", $B$1)), 100000000,
IF(ISNUMBER(SEARCH("万", $B$1)), 10000, 1))</f>
        <v>0</v>
      </c>
      <c r="J42" s="87" t="e">
        <f t="shared" si="22"/>
        <v>#DIV/0!</v>
      </c>
      <c r="L42" s="96" t="e">
        <f t="shared" si="4"/>
        <v>#DIV/0!</v>
      </c>
      <c r="M42" s="96" t="str">
        <f t="shared" si="5"/>
        <v>递延所得税资产</v>
      </c>
      <c r="N42" t="e">
        <f t="shared" si="23"/>
        <v>#DIV/0!</v>
      </c>
    </row>
    <row r="43" spans="2:15">
      <c r="B43" s="85" t="s">
        <v>830</v>
      </c>
      <c r="C43" s="86">
        <f>ROUND(HLOOKUP($C$2,bs!$C$1:$AA$110,MATCH("*"&amp;B43&amp;"*",bs!$B$1:$B$110,0),FALSE),0)/
IF(ISNUMBER(SEARCH("亿", $B$1)), 100000000,
IF(ISNUMBER(SEARCH("万", $B$1)), 10000, 1))</f>
        <v>0</v>
      </c>
      <c r="D43" s="87" t="e">
        <f t="shared" si="19"/>
        <v>#DIV/0!</v>
      </c>
      <c r="E43" s="86">
        <f>ROUND(HLOOKUP($E$2,bs!$C$1:$AA$110,MATCH("*"&amp;B43&amp;"*",bs!$B$1:$B$110,),FALSE),0)/IF(ISNUMBER(SEARCH("亿", $B$1)), 100000000,
IF(ISNUMBER(SEARCH("万", $B$1)), 10000, 1))</f>
        <v>0</v>
      </c>
      <c r="F43" s="87" t="e">
        <f t="shared" si="20"/>
        <v>#DIV/0!</v>
      </c>
      <c r="G43" s="88">
        <f>ROUND(HLOOKUP($G$2,bs!$C$1:$AA$110,MATCH("*"&amp;B43&amp;"*",bs!$B$1:$B$110,),FALSE),0)/IF(ISNUMBER(SEARCH("亿", $B$1)), 100000000,
IF(ISNUMBER(SEARCH("万", $B$1)), 10000, 1))</f>
        <v>0</v>
      </c>
      <c r="H43" s="87" t="e">
        <f t="shared" si="21"/>
        <v>#DIV/0!</v>
      </c>
      <c r="I43" s="88">
        <f>ROUND(HLOOKUP($I$2,bs!$C$1:$AA$110,MATCH("*"&amp;B43&amp;"*",bs!$B$1:$B$110,),FALSE),0)/IF(ISNUMBER(SEARCH("亿", $B$1)), 100000000,
IF(ISNUMBER(SEARCH("万", $B$1)), 10000, 1))</f>
        <v>0</v>
      </c>
      <c r="J43" s="87" t="e">
        <f t="shared" si="22"/>
        <v>#DIV/0!</v>
      </c>
      <c r="L43" s="96" t="e">
        <f t="shared" si="4"/>
        <v>#DIV/0!</v>
      </c>
      <c r="M43" s="96" t="str">
        <f t="shared" si="5"/>
        <v>其他非流动资产</v>
      </c>
      <c r="N43" t="e">
        <f t="shared" si="23"/>
        <v>#DIV/0!</v>
      </c>
    </row>
    <row r="44" spans="2:15">
      <c r="B44" s="89" t="s">
        <v>581</v>
      </c>
      <c r="C44" s="86">
        <f>ROUND(HLOOKUP($C$2,bs!$C$1:$AA$110,MATCH("*"&amp;B44&amp;"*",bs!$B$1:$B$110,0),FALSE),0)/
IF(ISNUMBER(SEARCH("亿", $B$1)), 100000000,
IF(ISNUMBER(SEARCH("万", $B$1)), 10000, 1))</f>
        <v>0</v>
      </c>
      <c r="D44" s="90" t="e">
        <f t="shared" si="19"/>
        <v>#DIV/0!</v>
      </c>
      <c r="E44" s="86">
        <f>ROUND(HLOOKUP($E$2,bs!$C$1:$AA$110,MATCH("*"&amp;B44&amp;"*",bs!$B$1:$B$110,),FALSE),0)/IF(ISNUMBER(SEARCH("亿", $B$1)), 100000000,
IF(ISNUMBER(SEARCH("万", $B$1)), 10000, 1))</f>
        <v>0</v>
      </c>
      <c r="F44" s="90" t="e">
        <f t="shared" si="20"/>
        <v>#DIV/0!</v>
      </c>
      <c r="G44" s="88">
        <f>ROUND(HLOOKUP($G$2,bs!$C$1:$AA$110,MATCH("*"&amp;B44&amp;"*",bs!$B$1:$B$110,),FALSE),0)/IF(ISNUMBER(SEARCH("亿", $B$1)), 100000000,
IF(ISNUMBER(SEARCH("万", $B$1)), 10000, 1))</f>
        <v>0</v>
      </c>
      <c r="H44" s="90" t="e">
        <f t="shared" si="21"/>
        <v>#DIV/0!</v>
      </c>
      <c r="I44" s="88">
        <f>ROUND(HLOOKUP($I$2,bs!$C$1:$AA$110,MATCH("*"&amp;B44&amp;"*",bs!$B$1:$B$110,),FALSE),0)/IF(ISNUMBER(SEARCH("亿", $B$1)), 100000000,
IF(ISNUMBER(SEARCH("万", $B$1)), 10000, 1))</f>
        <v>0</v>
      </c>
      <c r="J44" s="90" t="e">
        <f t="shared" si="22"/>
        <v>#DIV/0!</v>
      </c>
      <c r="L44" s="96" t="e">
        <f t="shared" si="4"/>
        <v>#DIV/0!</v>
      </c>
      <c r="M44" s="96" t="str">
        <f t="shared" si="5"/>
        <v>非流动资产合计</v>
      </c>
      <c r="O44" t="e">
        <f>CONCATENATE(TEXT($I$2,"YYYY"),"年-",TEXT($E$2,"YYYY"),"年及",TEXT($C$2,"YYYY年MM月"),"，","拟承租人"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#DIV/0!</v>
      </c>
    </row>
    <row r="45" spans="2:15">
      <c r="B45" s="89" t="s">
        <v>63</v>
      </c>
      <c r="C45" s="86">
        <f>ROUND(HLOOKUP($C$2,bs!$C$1:$AA$110,MATCH("*"&amp;B45&amp;"*",bs!$B$1:$B$110,0),FALSE),0)/
IF(ISNUMBER(SEARCH("亿", $B$1)), 100000000,
IF(ISNUMBER(SEARCH("万", $B$1)), 10000, 1))</f>
        <v>0</v>
      </c>
      <c r="D45" s="90" t="e">
        <f t="shared" si="19"/>
        <v>#DIV/0!</v>
      </c>
      <c r="E45" s="86">
        <f>ROUND(HLOOKUP($E$2,bs!$C$1:$AA$110,MATCH("*"&amp;B45&amp;"*",bs!$B$1:$B$110,),FALSE),0)/IF(ISNUMBER(SEARCH("亿", $B$1)), 100000000,
IF(ISNUMBER(SEARCH("万", $B$1)), 10000, 1))</f>
        <v>0</v>
      </c>
      <c r="F45" s="90" t="e">
        <f t="shared" si="20"/>
        <v>#DIV/0!</v>
      </c>
      <c r="G45" s="88">
        <f>ROUND(HLOOKUP($G$2,bs!$C$1:$AA$110,MATCH("*"&amp;B45&amp;"*",bs!$B$1:$B$110,),FALSE),0)/IF(ISNUMBER(SEARCH("亿", $B$1)), 100000000,
IF(ISNUMBER(SEARCH("万", $B$1)), 10000, 1))</f>
        <v>0</v>
      </c>
      <c r="H45" s="90" t="e">
        <f t="shared" si="21"/>
        <v>#DIV/0!</v>
      </c>
      <c r="I45" s="88">
        <f>ROUND(HLOOKUP($I$2,bs!$C$1:$AA$110,MATCH("*"&amp;B45&amp;"*",bs!$B$1:$B$110,),FALSE),0)/IF(ISNUMBER(SEARCH("亿", $B$1)), 100000000,
IF(ISNUMBER(SEARCH("万", $B$1)), 10000, 1))</f>
        <v>0</v>
      </c>
      <c r="J45" s="90" t="e">
        <f t="shared" si="22"/>
        <v>#DIV/0!</v>
      </c>
      <c r="L45" s="96" t="e">
        <f t="shared" si="4"/>
        <v>#DIV/0!</v>
      </c>
      <c r="M45" s="96" t="str">
        <f t="shared" si="5"/>
        <v>资产总计</v>
      </c>
      <c r="O45" t="e">
        <f>CONCATENATE(TEXT($I$2,"YYYY"),"年-",TEXT($E$2,"YYYY"),"年及",TEXT($C$2,"YYYY年MM月"),"，","拟承租人"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#DIV/0!</v>
      </c>
    </row>
    <row r="46" spans="2:15">
      <c r="B46" s="91"/>
      <c r="C46" s="92"/>
      <c r="D46" s="93"/>
      <c r="E46" s="92"/>
      <c r="F46" s="93"/>
      <c r="G46" s="94"/>
      <c r="H46" s="93"/>
      <c r="I46" s="94" t="str">
        <f>B1</f>
        <v>单位：万元</v>
      </c>
      <c r="J46" s="93"/>
      <c r="L46" s="96"/>
      <c r="M46" s="96"/>
    </row>
    <row r="47" spans="2:15">
      <c r="B47" s="191" t="s">
        <v>527</v>
      </c>
      <c r="C47" s="189">
        <f>C2</f>
        <v>45657</v>
      </c>
      <c r="D47" s="190"/>
      <c r="E47" s="189">
        <f>E2</f>
        <v>45291</v>
      </c>
      <c r="F47" s="190"/>
      <c r="G47" s="189">
        <f>G2</f>
        <v>44926</v>
      </c>
      <c r="H47" s="190"/>
      <c r="I47" s="189">
        <f>I2</f>
        <v>44561</v>
      </c>
      <c r="J47" s="190"/>
      <c r="L47" s="96"/>
      <c r="M47" s="96"/>
    </row>
    <row r="48" spans="2:15">
      <c r="B48" s="191"/>
      <c r="C48" s="84" t="s">
        <v>715</v>
      </c>
      <c r="D48" s="84" t="s">
        <v>716</v>
      </c>
      <c r="E48" s="84" t="s">
        <v>715</v>
      </c>
      <c r="F48" s="84" t="s">
        <v>716</v>
      </c>
      <c r="G48" s="84" t="s">
        <v>715</v>
      </c>
      <c r="H48" s="84" t="s">
        <v>716</v>
      </c>
      <c r="I48" s="84" t="s">
        <v>715</v>
      </c>
      <c r="J48" s="84" t="s">
        <v>716</v>
      </c>
      <c r="L48" s="96"/>
      <c r="M48" s="96"/>
    </row>
    <row r="49" spans="2:14">
      <c r="B49" s="85" t="s">
        <v>688</v>
      </c>
      <c r="C49" s="86">
        <f>ROUND(HLOOKUP($C$2,bs!$C$1:$AA$110,MATCH("*"&amp;B49&amp;"*",bs!$B$1:$B$110,),FALSE),0)/IF(ISNUMBER(SEARCH("亿", $B$1)), 100000000,
IF(ISNUMBER(SEARCH("万", $B$1)), 10000, 1))</f>
        <v>0</v>
      </c>
      <c r="D49" s="87" t="e">
        <f>C49/$C$80</f>
        <v>#DIV/0!</v>
      </c>
      <c r="E49" s="86">
        <f>ROUND(HLOOKUP($E$2,bs!$C$1:$AA$110,MATCH("*"&amp;B49&amp;"*",bs!$B$1:$B$110,),FALSE),0)/IF(ISNUMBER(SEARCH("亿", $B$1)), 100000000,
IF(ISNUMBER(SEARCH("万", $B$1)), 10000, 1))</f>
        <v>0</v>
      </c>
      <c r="F49" s="87" t="e">
        <f>E49/$E$80</f>
        <v>#DIV/0!</v>
      </c>
      <c r="G49" s="88">
        <f>ROUND(HLOOKUP($G$2,bs!$C$1:$AA$110,MATCH("*"&amp;B49&amp;"*",bs!$B$1:$B$110,),FALSE),0)/IF(ISNUMBER(SEARCH("亿", $B$1)), 100000000,
IF(ISNUMBER(SEARCH("万", $B$1)), 10000, 1))</f>
        <v>0</v>
      </c>
      <c r="H49" s="87" t="e">
        <f>G49/$G$80</f>
        <v>#DIV/0!</v>
      </c>
      <c r="I49" s="88">
        <f>ROUND(HLOOKUP($I$2,bs!$C$1:$AA$110,MATCH("*"&amp;B49&amp;"*",bs!$B$1:$B$110,),FALSE),0)/IF(ISNUMBER(SEARCH("亿", $B$1)), 100000000,
IF(ISNUMBER(SEARCH("万", $B$1)), 10000, 1))</f>
        <v>0</v>
      </c>
      <c r="J49" s="87" t="e">
        <f>I49/$I$80</f>
        <v>#DIV/0!</v>
      </c>
      <c r="L49" s="96" t="e">
        <f t="shared" si="4"/>
        <v>#DIV/0!</v>
      </c>
      <c r="M49" s="96" t="str">
        <f t="shared" si="5"/>
        <v>短期借款</v>
      </c>
      <c r="N49" t="e">
        <f>CONCATENATE(M49,":",TEXT($I$2,"YYYY"),"年-",TEXT($E$2,"YYYY"),"年及",TEXT($C$2,"YYYY年MM月"),"，","拟承租人"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>#DIV/0!</v>
      </c>
    </row>
    <row r="50" spans="2:14">
      <c r="B50" s="85" t="s">
        <v>739</v>
      </c>
      <c r="C50" s="86">
        <f>ROUND(HLOOKUP($C$2,bs!$C$1:$AA$110,MATCH("*"&amp;B50&amp;"*",bs!$B$1:$B$110,),FALSE),0)/IF(ISNUMBER(SEARCH("亿", $B$1)), 100000000,
IF(ISNUMBER(SEARCH("万", $B$1)), 10000, 1))</f>
        <v>0</v>
      </c>
      <c r="D50" s="87" t="e">
        <f t="shared" ref="D50:D67" si="24">C50/$C$80</f>
        <v>#DIV/0!</v>
      </c>
      <c r="E50" s="86">
        <f>ROUND(HLOOKUP($E$2,bs!$C$1:$AA$110,MATCH("*"&amp;B50&amp;"*",bs!$B$1:$B$110,),FALSE),0)/IF(ISNUMBER(SEARCH("亿", $B$1)), 100000000,
IF(ISNUMBER(SEARCH("万", $B$1)), 10000, 1))</f>
        <v>0</v>
      </c>
      <c r="F50" s="87" t="e">
        <f t="shared" ref="F50:F67" si="25">E50/$E$80</f>
        <v>#DIV/0!</v>
      </c>
      <c r="G50" s="88">
        <f>ROUND(HLOOKUP($G$2,bs!$C$1:$AA$110,MATCH("*"&amp;B50&amp;"*",bs!$B$1:$B$110,),FALSE),0)/IF(ISNUMBER(SEARCH("亿", $B$1)), 100000000,
IF(ISNUMBER(SEARCH("万", $B$1)), 10000, 1))</f>
        <v>0</v>
      </c>
      <c r="H50" s="87" t="e">
        <f t="shared" ref="H50:H67" si="26">G50/$G$80</f>
        <v>#DIV/0!</v>
      </c>
      <c r="I50" s="88">
        <f>ROUND(HLOOKUP($I$2,bs!$C$1:$AA$110,MATCH("*"&amp;B50&amp;"*",bs!$B$1:$B$110,),FALSE),0)/IF(ISNUMBER(SEARCH("亿", $B$1)), 100000000,
IF(ISNUMBER(SEARCH("万", $B$1)), 10000, 1))</f>
        <v>0</v>
      </c>
      <c r="J50" s="87" t="e">
        <f t="shared" ref="J50:J67" si="27">I50/$I$80</f>
        <v>#DIV/0!</v>
      </c>
      <c r="L50" s="96" t="e">
        <f t="shared" si="4"/>
        <v>#DIV/0!</v>
      </c>
      <c r="M50" s="96" t="str">
        <f t="shared" si="5"/>
        <v>交易性金融负债</v>
      </c>
      <c r="N50" t="e">
        <f>CONCATENATE(TEXT($I$2,"YYYY"),"年-",TEXT($E$2,"YYYY"),"年及",TEXT($C$2,"YYYY年MM月"),"，","拟承租人",B50,"分别为",TEXT(I50,"#,##0.00"),"万元、",TEXT(G50,"#,##0.00"),"万元、",TEXT(E50,"#,##0.00"),"万元及",TEXT(C50,"#,##0.00"),"万元，","占总负债的比重分别为",TEXT(J50,"0.00%"),"、",TEXT(H50,"0.00%"),"、",TEXT(F50,"0.00%"),"和",TEXT(D50,"0.00%"),"。")</f>
        <v>#DIV/0!</v>
      </c>
    </row>
    <row r="51" spans="2:14">
      <c r="B51" s="85" t="s">
        <v>586</v>
      </c>
      <c r="C51" s="86">
        <f>ROUND(HLOOKUP($C$2,bs!$C$1:$AA$110,MATCH("*"&amp;B51&amp;"*",bs!$B$1:$B$110,),FALSE),0)/IF(ISNUMBER(SEARCH("亿", $B$1)), 100000000,
IF(ISNUMBER(SEARCH("万", $B$1)), 10000, 1))</f>
        <v>0</v>
      </c>
      <c r="D51" s="87" t="e">
        <f t="shared" si="24"/>
        <v>#DIV/0!</v>
      </c>
      <c r="E51" s="86">
        <f>ROUND(HLOOKUP($E$2,bs!$C$1:$AA$110,MATCH("*"&amp;B51&amp;"*",bs!$B$1:$B$110,),FALSE),0)/IF(ISNUMBER(SEARCH("亿", $B$1)), 100000000,
IF(ISNUMBER(SEARCH("万", $B$1)), 10000, 1))</f>
        <v>0</v>
      </c>
      <c r="F51" s="87" t="e">
        <f t="shared" si="25"/>
        <v>#DIV/0!</v>
      </c>
      <c r="G51" s="88">
        <f>ROUND(HLOOKUP($G$2,bs!$C$1:$AA$110,MATCH("*"&amp;B51&amp;"*",bs!$B$1:$B$110,),FALSE),0)/IF(ISNUMBER(SEARCH("亿", $B$1)), 100000000,
IF(ISNUMBER(SEARCH("万", $B$1)), 10000, 1))</f>
        <v>0</v>
      </c>
      <c r="H51" s="87" t="e">
        <f t="shared" si="26"/>
        <v>#DIV/0!</v>
      </c>
      <c r="I51" s="88">
        <f>ROUND(HLOOKUP($I$2,bs!$C$1:$AA$110,MATCH("*"&amp;B51&amp;"*",bs!$B$1:$B$110,),FALSE),0)/IF(ISNUMBER(SEARCH("亿", $B$1)), 100000000,
IF(ISNUMBER(SEARCH("万", $B$1)), 10000, 1))</f>
        <v>0</v>
      </c>
      <c r="J51" s="87" t="e">
        <f t="shared" si="27"/>
        <v>#DIV/0!</v>
      </c>
      <c r="L51" s="96" t="e">
        <f t="shared" si="4"/>
        <v>#DIV/0!</v>
      </c>
      <c r="M51" s="96" t="str">
        <f t="shared" si="5"/>
        <v xml:space="preserve">  衍生金融负债 </v>
      </c>
      <c r="N51" t="e">
        <f>CONCATENATE(TEXT($I$2,"YYYY"),"年-",TEXT($E$2,"YYYY"),"年及",TEXT($C$2,"YYYY年MM月"),"，","拟承租人",B51,"分别为",TEXT(I51,"#,##0.00"),"万元、",TEXT(G51,"#,##0.00"),"万元、",TEXT(E51,"#,##0.00"),"万元及",TEXT(C51,"#,##0.00"),"万元，","占总负债的比重分别为",TEXT(J51,"0.00%"),"、",TEXT(H51,"0.00%"),"、",TEXT(F51,"0.00%"),"和",TEXT(D51,"0.00%"),"。")</f>
        <v>#DIV/0!</v>
      </c>
    </row>
    <row r="52" spans="2:14">
      <c r="B52" s="85" t="s">
        <v>787</v>
      </c>
      <c r="C52" s="86">
        <f>ROUND(HLOOKUP($C$2,bs!$C$1:$AA$110,MATCH("*"&amp;B52&amp;"*",bs!$B$1:$B$110,),FALSE),0)/IF(ISNUMBER(SEARCH("亿", $B$1)), 100000000,
IF(ISNUMBER(SEARCH("万", $B$1)), 10000, 1))</f>
        <v>0</v>
      </c>
      <c r="D52" s="87" t="e">
        <f t="shared" si="24"/>
        <v>#DIV/0!</v>
      </c>
      <c r="E52" s="86">
        <f>ROUND(HLOOKUP($E$2,bs!$C$1:$AA$110,MATCH("*"&amp;B52&amp;"*",bs!$B$1:$B$110,),FALSE),0)/IF(ISNUMBER(SEARCH("亿", $B$1)), 100000000,
IF(ISNUMBER(SEARCH("万", $B$1)), 10000, 1))</f>
        <v>0</v>
      </c>
      <c r="F52" s="87" t="e">
        <f t="shared" si="25"/>
        <v>#DIV/0!</v>
      </c>
      <c r="G52" s="88">
        <f>ROUND(HLOOKUP($G$2,bs!$C$1:$AA$110,MATCH("*"&amp;B52&amp;"*",bs!$B$1:$B$110,),FALSE),0)/IF(ISNUMBER(SEARCH("亿", $B$1)), 100000000,
IF(ISNUMBER(SEARCH("万", $B$1)), 10000, 1))</f>
        <v>0</v>
      </c>
      <c r="H52" s="87" t="e">
        <f t="shared" si="26"/>
        <v>#DIV/0!</v>
      </c>
      <c r="I52" s="88">
        <f>ROUND(HLOOKUP($I$2,bs!$C$1:$AA$110,MATCH("*"&amp;B52&amp;"*",bs!$B$1:$B$110,),FALSE),0)/IF(ISNUMBER(SEARCH("亿", $B$1)), 100000000,
IF(ISNUMBER(SEARCH("万", $B$1)), 10000, 1))</f>
        <v>0</v>
      </c>
      <c r="J52" s="87" t="e">
        <f t="shared" si="27"/>
        <v>#DIV/0!</v>
      </c>
      <c r="L52" s="96" t="e">
        <f t="shared" si="4"/>
        <v>#DIV/0!</v>
      </c>
      <c r="M52" s="96" t="str">
        <f t="shared" si="5"/>
        <v>应付票据</v>
      </c>
      <c r="N52" t="e">
        <f>CONCATENATE(M52,":",TEXT($I$2,"YYYY"),"年-",TEXT($E$2,"YYYY"),"年及",TEXT($C$2,"YYYY年MM月"),"，","拟承租人",B52,"分别为",TEXT(I52,"#,##0.00"),"万元、",TEXT(G52,"#,##0.00"),"万元、",TEXT(E52,"#,##0.00"),"万元及",TEXT(C52,"#,##0.00"),"万元，","占总负债的比重分别为",TEXT(J52,"0.00%"),"、",TEXT(H52,"0.00%"),"、",TEXT(F52,"0.00%"),"和",TEXT(D52,"0.00%"),"。")</f>
        <v>#DIV/0!</v>
      </c>
    </row>
    <row r="53" spans="2:14">
      <c r="B53" s="85" t="s">
        <v>831</v>
      </c>
      <c r="C53" s="86">
        <f>ROUND(HLOOKUP($C$2,bs!$C$1:$AA$110,MATCH("*"&amp;B53&amp;"*",bs!$B$1:$B$110,),FALSE),0)/IF(ISNUMBER(SEARCH("亿", $B$1)), 100000000,
IF(ISNUMBER(SEARCH("万", $B$1)), 10000, 1))</f>
        <v>0</v>
      </c>
      <c r="D53" s="87" t="e">
        <f t="shared" si="24"/>
        <v>#DIV/0!</v>
      </c>
      <c r="E53" s="86">
        <f>ROUND(HLOOKUP($E$2,bs!$C$1:$AA$110,MATCH("*"&amp;B53&amp;"*",bs!$B$1:$B$110,),FALSE),0)/IF(ISNUMBER(SEARCH("亿", $B$1)), 100000000,
IF(ISNUMBER(SEARCH("万", $B$1)), 10000, 1))</f>
        <v>0</v>
      </c>
      <c r="F53" s="87" t="e">
        <f t="shared" si="25"/>
        <v>#DIV/0!</v>
      </c>
      <c r="G53" s="88">
        <f>ROUND(HLOOKUP($G$2,bs!$C$1:$AA$110,MATCH("*"&amp;B53&amp;"*",bs!$B$1:$B$110,),FALSE),0)/IF(ISNUMBER(SEARCH("亿", $B$1)), 100000000,
IF(ISNUMBER(SEARCH("万", $B$1)), 10000, 1))</f>
        <v>0</v>
      </c>
      <c r="H53" s="87" t="e">
        <f t="shared" si="26"/>
        <v>#DIV/0!</v>
      </c>
      <c r="I53" s="88">
        <f>ROUND(HLOOKUP($I$2,bs!$C$1:$AA$110,MATCH("*"&amp;B53&amp;"*",bs!$B$1:$B$110,),FALSE),0)/IF(ISNUMBER(SEARCH("亿", $B$1)), 100000000,
IF(ISNUMBER(SEARCH("万", $B$1)), 10000, 1))</f>
        <v>0</v>
      </c>
      <c r="J53" s="87" t="e">
        <f t="shared" si="27"/>
        <v>#DIV/0!</v>
      </c>
      <c r="L53" s="96" t="e">
        <f t="shared" si="4"/>
        <v>#DIV/0!</v>
      </c>
      <c r="M53" s="96" t="str">
        <f t="shared" si="5"/>
        <v>应付账款</v>
      </c>
      <c r="N53" t="e">
        <f>CONCATENATE(M53,":",TEXT($I$2,"YYYY"),"年-",TEXT($E$2,"YYYY"),"年及",TEXT($C$2,"YYYY年MM月"),"，","拟承租人",B53,"分别为",TEXT(I53,"#,##0.00"),"万元、",TEXT(G53,"#,##0.00"),"万元、",TEXT(E53,"#,##0.00"),"万元及",TEXT(C53,"#,##0.00"),"万元，","占总负债的比重分别为",TEXT(J53,"0.00%"),"、",TEXT(H53,"0.00%"),"、",TEXT(F53,"0.00%"),"和",TEXT(D53,"0.00%"),"。")</f>
        <v>#DIV/0!</v>
      </c>
    </row>
    <row r="54" spans="2:14">
      <c r="B54" s="85" t="s">
        <v>589</v>
      </c>
      <c r="C54" s="86">
        <f>ROUND(HLOOKUP($C$2,bs!$C$1:$AA$110,MATCH("*"&amp;B54&amp;"*",bs!$B$1:$B$110,),FALSE),0)/IF(ISNUMBER(SEARCH("亿", $B$1)), 100000000,
IF(ISNUMBER(SEARCH("万", $B$1)), 10000, 1))</f>
        <v>0</v>
      </c>
      <c r="D54" s="87" t="e">
        <f t="shared" si="24"/>
        <v>#DIV/0!</v>
      </c>
      <c r="E54" s="86">
        <f>ROUND(HLOOKUP($E$2,bs!$C$1:$AA$110,MATCH("*"&amp;B54&amp;"*",bs!$B$1:$B$110,),FALSE),0)/IF(ISNUMBER(SEARCH("亿", $B$1)), 100000000,
IF(ISNUMBER(SEARCH("万", $B$1)), 10000, 1))</f>
        <v>0</v>
      </c>
      <c r="F54" s="87" t="e">
        <f t="shared" si="25"/>
        <v>#DIV/0!</v>
      </c>
      <c r="G54" s="88">
        <f>ROUND(HLOOKUP($G$2,bs!$C$1:$AA$110,MATCH("*"&amp;B54&amp;"*",bs!$B$1:$B$110,),FALSE),0)/IF(ISNUMBER(SEARCH("亿", $B$1)), 100000000,
IF(ISNUMBER(SEARCH("万", $B$1)), 10000, 1))</f>
        <v>0</v>
      </c>
      <c r="H54" s="87" t="e">
        <f t="shared" si="26"/>
        <v>#DIV/0!</v>
      </c>
      <c r="I54" s="88">
        <f>ROUND(HLOOKUP($I$2,bs!$C$1:$AA$110,MATCH("*"&amp;B54&amp;"*",bs!$B$1:$B$110,),FALSE),0)/IF(ISNUMBER(SEARCH("亿", $B$1)), 100000000,
IF(ISNUMBER(SEARCH("万", $B$1)), 10000, 1))</f>
        <v>0</v>
      </c>
      <c r="J54" s="87" t="e">
        <f t="shared" si="27"/>
        <v>#DIV/0!</v>
      </c>
      <c r="L54" s="96" t="e">
        <f t="shared" si="4"/>
        <v>#DIV/0!</v>
      </c>
      <c r="M54" s="96" t="str">
        <f t="shared" si="5"/>
        <v xml:space="preserve">  预收款项 </v>
      </c>
      <c r="N54" t="e">
        <f>CONCATENATE(TEXT($I$2,"YYYY"),"年-",TEXT($E$2,"YYYY"),"年及",TEXT($C$2,"YYYY年MM月"),"，","拟承租人",B54,"分别为",TEXT(I54,"#,##0.00"),"万元、",TEXT(G54,"#,##0.00"),"万元、",TEXT(E54,"#,##0.00"),"万元及",TEXT(C54,"#,##0.00"),"万元，","占总负债的比重分别为",TEXT(J54,"0.00%"),"、",TEXT(H54,"0.00%"),"、",TEXT(F54,"0.00%"),"和",TEXT(D54,"0.00%"),"。")</f>
        <v>#DIV/0!</v>
      </c>
    </row>
    <row r="55" spans="2:14">
      <c r="B55" s="85" t="s">
        <v>832</v>
      </c>
      <c r="C55" s="86">
        <f>ROUND(HLOOKUP($C$2,bs!$C$1:$AA$110,MATCH("*"&amp;B55&amp;"*",bs!$B$1:$B$110,),FALSE),0)/IF(ISNUMBER(SEARCH("亿", $B$1)), 100000000,
IF(ISNUMBER(SEARCH("万", $B$1)), 10000, 1))</f>
        <v>0</v>
      </c>
      <c r="D55" s="87" t="e">
        <f t="shared" si="24"/>
        <v>#DIV/0!</v>
      </c>
      <c r="E55" s="86">
        <f>ROUND(HLOOKUP($E$2,bs!$C$1:$AA$110,MATCH("*"&amp;B55&amp;"*",bs!$B$1:$B$110,),FALSE),0)/IF(ISNUMBER(SEARCH("亿", $B$1)), 100000000,
IF(ISNUMBER(SEARCH("万", $B$1)), 10000, 1))</f>
        <v>0</v>
      </c>
      <c r="F55" s="87" t="e">
        <f t="shared" si="25"/>
        <v>#DIV/0!</v>
      </c>
      <c r="G55" s="88">
        <f>ROUND(HLOOKUP($G$2,bs!$C$1:$AA$110,MATCH("*"&amp;B55&amp;"*",bs!$B$1:$B$110,),FALSE),0)/IF(ISNUMBER(SEARCH("亿", $B$1)), 100000000,
IF(ISNUMBER(SEARCH("万", $B$1)), 10000, 1))</f>
        <v>0</v>
      </c>
      <c r="H55" s="87" t="e">
        <f t="shared" si="26"/>
        <v>#DIV/0!</v>
      </c>
      <c r="I55" s="88">
        <f>ROUND(HLOOKUP($I$2,bs!$C$1:$AA$110,MATCH("*"&amp;B55&amp;"*",bs!$B$1:$B$110,),FALSE),0)/IF(ISNUMBER(SEARCH("亿", $B$1)), 100000000,
IF(ISNUMBER(SEARCH("万", $B$1)), 10000, 1))</f>
        <v>0</v>
      </c>
      <c r="J55" s="87" t="e">
        <f t="shared" si="27"/>
        <v>#DIV/0!</v>
      </c>
      <c r="L55" s="96" t="e">
        <f t="shared" si="4"/>
        <v>#DIV/0!</v>
      </c>
      <c r="M55" s="96" t="str">
        <f t="shared" si="5"/>
        <v>合同负债</v>
      </c>
      <c r="N55" t="e">
        <f>CONCATENATE(M55,":",TEXT($I$2,"YYYY"),"年-",TEXT($E$2,"YYYY"),"年及",TEXT($C$2,"YYYY年MM月"),"，","拟承租人",B55,"分别为",TEXT(I55,"#,##0.00"),"万元、",TEXT(G55,"#,##0.00"),"万元、",TEXT(E55,"#,##0.00"),"万元及",TEXT(C55,"#,##0.00"),"万元，","占总负债的比重分别为",TEXT(J55,"0.00%"),"、",TEXT(H55,"0.00%"),"、",TEXT(F55,"0.00%"),"和",TEXT(D55,"0.00%"),"。")</f>
        <v>#DIV/0!</v>
      </c>
    </row>
    <row r="56" spans="2:14">
      <c r="B56" s="85" t="s">
        <v>833</v>
      </c>
      <c r="C56" s="86">
        <f>ROUND(HLOOKUP($C$2,bs!$C$1:$AA$110,MATCH("*"&amp;B56&amp;"*",bs!$B$1:$B$110,),FALSE),0)/IF(ISNUMBER(SEARCH("亿", $B$1)), 100000000,
IF(ISNUMBER(SEARCH("万", $B$1)), 10000, 1))</f>
        <v>0</v>
      </c>
      <c r="D56" s="87" t="e">
        <f t="shared" si="24"/>
        <v>#DIV/0!</v>
      </c>
      <c r="E56" s="86">
        <f>ROUND(HLOOKUP($E$2,bs!$C$1:$AA$110,MATCH("*"&amp;B56&amp;"*",bs!$B$1:$B$110,),FALSE),0)/IF(ISNUMBER(SEARCH("亿", $B$1)), 100000000,
IF(ISNUMBER(SEARCH("万", $B$1)), 10000, 1))</f>
        <v>0</v>
      </c>
      <c r="F56" s="87" t="e">
        <f t="shared" si="25"/>
        <v>#DIV/0!</v>
      </c>
      <c r="G56" s="88">
        <f>ROUND(HLOOKUP($G$2,bs!$C$1:$AA$110,MATCH("*"&amp;B56&amp;"*",bs!$B$1:$B$110,),FALSE),0)/IF(ISNUMBER(SEARCH("亿", $B$1)), 100000000,
IF(ISNUMBER(SEARCH("万", $B$1)), 10000, 1))</f>
        <v>0</v>
      </c>
      <c r="H56" s="87" t="e">
        <f t="shared" si="26"/>
        <v>#DIV/0!</v>
      </c>
      <c r="I56" s="88">
        <f>ROUND(HLOOKUP($I$2,bs!$C$1:$AA$110,MATCH("*"&amp;B56&amp;"*",bs!$B$1:$B$110,),FALSE),0)/IF(ISNUMBER(SEARCH("亿", $B$1)), 100000000,
IF(ISNUMBER(SEARCH("万", $B$1)), 10000, 1))</f>
        <v>0</v>
      </c>
      <c r="J56" s="87" t="e">
        <f t="shared" si="27"/>
        <v>#DIV/0!</v>
      </c>
      <c r="L56" s="96" t="e">
        <f t="shared" si="4"/>
        <v>#DIV/0!</v>
      </c>
      <c r="M56" s="96" t="str">
        <f t="shared" si="5"/>
        <v>应付职工薪酬</v>
      </c>
      <c r="N56" t="e">
        <f>CONCATENATE(M56,":",TEXT($I$2,"YYYY"),"年-",TEXT($E$2,"YYYY"),"年及",TEXT($C$2,"YYYY年MM月"),"，","拟承租人",B56,"分别为",TEXT(I56,"#,##0.00"),"万元、",TEXT(G56,"#,##0.00"),"万元、",TEXT(E56,"#,##0.00"),"万元及",TEXT(C56,"#,##0.00"),"万元，","占总负债的比重分别为",TEXT(J56,"0.00%"),"、",TEXT(H56,"0.00%"),"、",TEXT(F56,"0.00%"),"和",TEXT(D56,"0.00%"),"。")</f>
        <v>#DIV/0!</v>
      </c>
    </row>
    <row r="57" spans="2:14">
      <c r="B57" s="85" t="s">
        <v>596</v>
      </c>
      <c r="C57" s="86">
        <f>ROUND(HLOOKUP($C$2,bs!$C$1:$AA$110,MATCH("*"&amp;B57&amp;"*",bs!$B$1:$B$110,),FALSE),0)/IF(ISNUMBER(SEARCH("亿", $B$1)), 100000000,
IF(ISNUMBER(SEARCH("万", $B$1)), 10000, 1))</f>
        <v>0</v>
      </c>
      <c r="D57" s="87" t="e">
        <f t="shared" si="24"/>
        <v>#DIV/0!</v>
      </c>
      <c r="E57" s="86">
        <f>ROUND(HLOOKUP($E$2,bs!$C$1:$AA$110,MATCH("*"&amp;B57&amp;"*",bs!$B$1:$B$110,),FALSE),0)/IF(ISNUMBER(SEARCH("亿", $B$1)), 100000000,
IF(ISNUMBER(SEARCH("万", $B$1)), 10000, 1))</f>
        <v>0</v>
      </c>
      <c r="F57" s="87" t="e">
        <f t="shared" si="25"/>
        <v>#DIV/0!</v>
      </c>
      <c r="G57" s="88">
        <f>ROUND(HLOOKUP($G$2,bs!$C$1:$AA$110,MATCH("*"&amp;B57&amp;"*",bs!$B$1:$B$110,),FALSE),0)/IF(ISNUMBER(SEARCH("亿", $B$1)), 100000000,
IF(ISNUMBER(SEARCH("万", $B$1)), 10000, 1))</f>
        <v>0</v>
      </c>
      <c r="H57" s="87" t="e">
        <f t="shared" si="26"/>
        <v>#DIV/0!</v>
      </c>
      <c r="I57" s="88">
        <f>ROUND(HLOOKUP($I$2,bs!$C$1:$AA$110,MATCH("*"&amp;B57&amp;"*",bs!$B$1:$B$110,),FALSE),0)/IF(ISNUMBER(SEARCH("亿", $B$1)), 100000000,
IF(ISNUMBER(SEARCH("万", $B$1)), 10000, 1))</f>
        <v>0</v>
      </c>
      <c r="J57" s="87" t="e">
        <f t="shared" si="27"/>
        <v>#DIV/0!</v>
      </c>
      <c r="L57" s="96" t="e">
        <f t="shared" si="4"/>
        <v>#DIV/0!</v>
      </c>
      <c r="M57" s="96" t="str">
        <f t="shared" si="5"/>
        <v xml:space="preserve">  应交税费 </v>
      </c>
      <c r="N57" t="e">
        <f>CONCATENATE(M57,":",TEXT($I$2,"YYYY"),"年-",TEXT($E$2,"YYYY"),"年及",TEXT($C$2,"YYYY年MM月"),"，","拟承租人",B57,"分别为",TEXT(I57,"#,##0.00"),"万元、",TEXT(G57,"#,##0.00"),"万元、",TEXT(E57,"#,##0.00"),"万元及",TEXT(C57,"#,##0.00"),"万元，","占总负债的比重分别为",TEXT(J57,"0.00%"),"、",TEXT(H57,"0.00%"),"、",TEXT(F57,"0.00%"),"和",TEXT(D57,"0.00%"),"。")</f>
        <v>#DIV/0!</v>
      </c>
    </row>
    <row r="58" spans="2:14">
      <c r="B58" s="85" t="s">
        <v>689</v>
      </c>
      <c r="C58" s="86">
        <f>ROUND(HLOOKUP($C$2,bs!$C$1:$AA$110,MATCH("*"&amp;B58&amp;"*",bs!$B$1:$B$110,),FALSE),0)/IF(ISNUMBER(SEARCH("亿", $B$1)), 100000000,
IF(ISNUMBER(SEARCH("万", $B$1)), 10000, 1))</f>
        <v>0</v>
      </c>
      <c r="D58" s="87" t="e">
        <f t="shared" si="24"/>
        <v>#DIV/0!</v>
      </c>
      <c r="E58" s="86">
        <f>ROUND(HLOOKUP($E$2,bs!$C$1:$AA$110,MATCH("*"&amp;B58&amp;"*",bs!$B$1:$B$110,),FALSE),0)/IF(ISNUMBER(SEARCH("亿", $B$1)), 100000000,
IF(ISNUMBER(SEARCH("万", $B$1)), 10000, 1))</f>
        <v>0</v>
      </c>
      <c r="F58" s="87" t="e">
        <f t="shared" si="25"/>
        <v>#DIV/0!</v>
      </c>
      <c r="G58" s="88">
        <f>ROUND(HLOOKUP($G$2,bs!$C$1:$AA$110,MATCH("*"&amp;B58&amp;"*",bs!$B$1:$B$110,),FALSE),0)/IF(ISNUMBER(SEARCH("亿", $B$1)), 100000000,
IF(ISNUMBER(SEARCH("万", $B$1)), 10000, 1))</f>
        <v>0</v>
      </c>
      <c r="H58" s="87" t="e">
        <f t="shared" si="26"/>
        <v>#DIV/0!</v>
      </c>
      <c r="I58" s="88">
        <f>ROUND(HLOOKUP($I$2,bs!$C$1:$AA$110,MATCH("*"&amp;B58&amp;"*",bs!$B$1:$B$110,),FALSE),0)/IF(ISNUMBER(SEARCH("亿", $B$1)), 100000000,
IF(ISNUMBER(SEARCH("万", $B$1)), 10000, 1))</f>
        <v>0</v>
      </c>
      <c r="J58" s="87" t="e">
        <f t="shared" si="27"/>
        <v>#DIV/0!</v>
      </c>
      <c r="L58" s="96" t="e">
        <f t="shared" si="4"/>
        <v>#DIV/0!</v>
      </c>
      <c r="M58" s="96" t="str">
        <f t="shared" si="5"/>
        <v>其他应付款</v>
      </c>
      <c r="N58" t="e">
        <f>CONCATENATE(M58,":",TEXT($I$2,"YYYY"),"年-",TEXT($E$2,"YYYY"),"年及",TEXT($C$2,"YYYY年MM月"),"，","拟承租人",B58,"分别为",TEXT(I58,"#,##0.00"),"万元、",TEXT(G58,"#,##0.00"),"万元、",TEXT(E58,"#,##0.00"),"万元及",TEXT(C58,"#,##0.00"),"万元，","占总负债的比重分别为",TEXT(J58,"0.00%"),"、",TEXT(H58,"0.00%"),"、",TEXT(F58,"0.00%"),"和",TEXT(D58,"0.00%"),"。")</f>
        <v>#DIV/0!</v>
      </c>
    </row>
    <row r="59" spans="2:14">
      <c r="B59" s="85" t="s">
        <v>598</v>
      </c>
      <c r="C59" s="86">
        <f>ROUND(HLOOKUP($C$2,bs!$C$1:$AA$110,MATCH("*"&amp;B59&amp;"*",bs!$B$1:$B$110,),FALSE),0)/IF(ISNUMBER(SEARCH("亿", $B$1)), 100000000,
IF(ISNUMBER(SEARCH("万", $B$1)), 10000, 1))</f>
        <v>0</v>
      </c>
      <c r="D59" s="87" t="e">
        <f t="shared" si="24"/>
        <v>#DIV/0!</v>
      </c>
      <c r="E59" s="86">
        <f>ROUND(HLOOKUP($E$2,bs!$C$1:$AA$110,MATCH("*"&amp;B59&amp;"*",bs!$B$1:$B$110,),FALSE),0)/IF(ISNUMBER(SEARCH("亿", $B$1)), 100000000,
IF(ISNUMBER(SEARCH("万", $B$1)), 10000, 1))</f>
        <v>0</v>
      </c>
      <c r="F59" s="87" t="e">
        <f t="shared" si="25"/>
        <v>#DIV/0!</v>
      </c>
      <c r="G59" s="88">
        <f>ROUND(HLOOKUP($G$2,bs!$C$1:$AA$110,MATCH("*"&amp;B59&amp;"*",bs!$B$1:$B$110,),FALSE),0)/IF(ISNUMBER(SEARCH("亿", $B$1)), 100000000,
IF(ISNUMBER(SEARCH("万", $B$1)), 10000, 1))</f>
        <v>0</v>
      </c>
      <c r="H59" s="87" t="e">
        <f t="shared" si="26"/>
        <v>#DIV/0!</v>
      </c>
      <c r="I59" s="88">
        <f>ROUND(HLOOKUP($I$2,bs!$C$1:$AA$110,MATCH("*"&amp;B59&amp;"*",bs!$B$1:$B$110,),FALSE),0)/IF(ISNUMBER(SEARCH("亿", $B$1)), 100000000,
IF(ISNUMBER(SEARCH("万", $B$1)), 10000, 1))</f>
        <v>0</v>
      </c>
      <c r="J59" s="87" t="e">
        <f t="shared" si="27"/>
        <v>#DIV/0!</v>
      </c>
      <c r="L59" s="96" t="e">
        <f t="shared" si="4"/>
        <v>#DIV/0!</v>
      </c>
      <c r="M59" s="96" t="str">
        <f t="shared" si="5"/>
        <v xml:space="preserve">   其中：应付利息</v>
      </c>
      <c r="N59" t="e">
        <f>CONCATENATE(TEXT($I$2,"YYYY"),"年-",TEXT($E$2,"YYYY"),"年及",TEXT($C$2,"YYYY年MM月"),"，","拟承租人",B59,"分别为",TEXT(I59,"#,##0.00"),"万元、",TEXT(G59,"#,##0.00"),"万元、",TEXT(E59,"#,##0.00"),"万元及",TEXT(C59,"#,##0.00"),"万元，","占总负债的比重分别为",TEXT(J59,"0.00%"),"、",TEXT(H59,"0.00%"),"、",TEXT(F59,"0.00%"),"和",TEXT(D59,"0.00%"),"。")</f>
        <v>#DIV/0!</v>
      </c>
    </row>
    <row r="60" spans="2:14">
      <c r="B60" s="85" t="s">
        <v>599</v>
      </c>
      <c r="C60" s="86">
        <f>ROUND(HLOOKUP($C$2,bs!$C$1:$AA$110,MATCH("*"&amp;B60&amp;"*",bs!$B$1:$B$110,),FALSE),0)/IF(ISNUMBER(SEARCH("亿", $B$1)), 100000000,
IF(ISNUMBER(SEARCH("万", $B$1)), 10000, 1))</f>
        <v>0</v>
      </c>
      <c r="D60" s="87" t="e">
        <f t="shared" si="24"/>
        <v>#DIV/0!</v>
      </c>
      <c r="E60" s="86">
        <f>ROUND(HLOOKUP($E$2,bs!$C$1:$AA$110,MATCH("*"&amp;B60&amp;"*",bs!$B$1:$B$110,),FALSE),0)/IF(ISNUMBER(SEARCH("亿", $B$1)), 100000000,
IF(ISNUMBER(SEARCH("万", $B$1)), 10000, 1))</f>
        <v>0</v>
      </c>
      <c r="F60" s="87" t="e">
        <f t="shared" si="25"/>
        <v>#DIV/0!</v>
      </c>
      <c r="G60" s="88">
        <f>ROUND(HLOOKUP($G$2,bs!$C$1:$AA$110,MATCH("*"&amp;B60&amp;"*",bs!$B$1:$B$110,),FALSE),0)/IF(ISNUMBER(SEARCH("亿", $B$1)), 100000000,
IF(ISNUMBER(SEARCH("万", $B$1)), 10000, 1))</f>
        <v>0</v>
      </c>
      <c r="H60" s="87" t="e">
        <f t="shared" si="26"/>
        <v>#DIV/0!</v>
      </c>
      <c r="I60" s="88">
        <f>ROUND(HLOOKUP($I$2,bs!$C$1:$AA$110,MATCH("*"&amp;B60&amp;"*",bs!$B$1:$B$110,),FALSE),0)/IF(ISNUMBER(SEARCH("亿", $B$1)), 100000000,
IF(ISNUMBER(SEARCH("万", $B$1)), 10000, 1))</f>
        <v>0</v>
      </c>
      <c r="J60" s="87" t="e">
        <f t="shared" si="27"/>
        <v>#DIV/0!</v>
      </c>
      <c r="L60" s="96" t="e">
        <f t="shared" si="4"/>
        <v>#DIV/0!</v>
      </c>
      <c r="M60" s="96" t="str">
        <f t="shared" si="5"/>
        <v xml:space="preserve">         应付股利</v>
      </c>
      <c r="N60" t="e">
        <f>CONCATENATE(TEXT($I$2,"YYYY"),"年-",TEXT($E$2,"YYYY"),"年及",TEXT($C$2,"YYYY年MM月"),"，","拟承租人",B60,"分别为",TEXT(I60,"#,##0.00"),"万元、",TEXT(G60,"#,##0.00"),"万元、",TEXT(E60,"#,##0.00"),"万元及",TEXT(C60,"#,##0.00"),"万元，","占总负债的比重分别为",TEXT(J60,"0.00%"),"、",TEXT(H60,"0.00%"),"、",TEXT(F60,"0.00%"),"和",TEXT(D60,"0.00%"),"。")</f>
        <v>#DIV/0!</v>
      </c>
    </row>
    <row r="61" spans="2:14">
      <c r="B61" s="85" t="s">
        <v>600</v>
      </c>
      <c r="C61" s="86">
        <f>ROUND(HLOOKUP($C$2,bs!$C$1:$AA$110,MATCH("*"&amp;B61&amp;"*",bs!$B$1:$B$110,),FALSE),0)/IF(ISNUMBER(SEARCH("亿", $B$1)), 100000000,
IF(ISNUMBER(SEARCH("万", $B$1)), 10000, 1))</f>
        <v>0</v>
      </c>
      <c r="D61" s="87" t="e">
        <f t="shared" si="24"/>
        <v>#DIV/0!</v>
      </c>
      <c r="E61" s="86">
        <f>ROUND(HLOOKUP($E$2,bs!$C$1:$AA$110,MATCH("*"&amp;B61&amp;"*",bs!$B$1:$B$110,),FALSE),0)/IF(ISNUMBER(SEARCH("亿", $B$1)), 100000000,
IF(ISNUMBER(SEARCH("万", $B$1)), 10000, 1))</f>
        <v>0</v>
      </c>
      <c r="F61" s="87" t="e">
        <f t="shared" si="25"/>
        <v>#DIV/0!</v>
      </c>
      <c r="G61" s="88">
        <f>ROUND(HLOOKUP($G$2,bs!$C$1:$AA$110,MATCH("*"&amp;B61&amp;"*",bs!$B$1:$B$110,),FALSE),0)/IF(ISNUMBER(SEARCH("亿", $B$1)), 100000000,
IF(ISNUMBER(SEARCH("万", $B$1)), 10000, 1))</f>
        <v>0</v>
      </c>
      <c r="H61" s="87" t="e">
        <f t="shared" si="26"/>
        <v>#DIV/0!</v>
      </c>
      <c r="I61" s="88">
        <f>ROUND(HLOOKUP($I$2,bs!$C$1:$AA$110,MATCH("*"&amp;B61&amp;"*",bs!$B$1:$B$110,),FALSE),0)/IF(ISNUMBER(SEARCH("亿", $B$1)), 100000000,
IF(ISNUMBER(SEARCH("万", $B$1)), 10000, 1))</f>
        <v>0</v>
      </c>
      <c r="J61" s="87" t="e">
        <f t="shared" si="27"/>
        <v>#DIV/0!</v>
      </c>
      <c r="L61" s="96" t="e">
        <f t="shared" si="4"/>
        <v>#DIV/0!</v>
      </c>
      <c r="M61" s="96" t="str">
        <f t="shared" si="5"/>
        <v xml:space="preserve">  应付手续费及佣金* </v>
      </c>
      <c r="N61" t="e">
        <f>CONCATENATE(TEXT($I$2,"YYYY"),"年-",TEXT($E$2,"YYYY"),"年及",TEXT($C$2,"YYYY年MM月"),"，","拟承租人",B61,"分别为",TEXT(I61,"#,##0.00"),"万元、",TEXT(G61,"#,##0.00"),"万元、",TEXT(E61,"#,##0.00"),"万元及",TEXT(C61,"#,##0.00"),"万元，","占总负债的比重分别为",TEXT(J61,"0.00%"),"、",TEXT(H61,"0.00%"),"、",TEXT(F61,"0.00%"),"和",TEXT(D61,"0.00%"),"。")</f>
        <v>#DIV/0!</v>
      </c>
    </row>
    <row r="62" spans="2:14">
      <c r="B62" s="85" t="s">
        <v>601</v>
      </c>
      <c r="C62" s="86">
        <f>ROUND(HLOOKUP($C$2,bs!$C$1:$AA$110,MATCH("*"&amp;B62&amp;"*",bs!$B$1:$B$110,),FALSE),0)/IF(ISNUMBER(SEARCH("亿", $B$1)), 100000000,
IF(ISNUMBER(SEARCH("万", $B$1)), 10000, 1))</f>
        <v>0</v>
      </c>
      <c r="D62" s="87" t="e">
        <f t="shared" si="24"/>
        <v>#DIV/0!</v>
      </c>
      <c r="E62" s="86">
        <f>ROUND(HLOOKUP($E$2,bs!$C$1:$AA$110,MATCH("*"&amp;B62&amp;"*",bs!$B$1:$B$110,),FALSE),0)/IF(ISNUMBER(SEARCH("亿", $B$1)), 100000000,
IF(ISNUMBER(SEARCH("万", $B$1)), 10000, 1))</f>
        <v>0</v>
      </c>
      <c r="F62" s="87" t="e">
        <f t="shared" si="25"/>
        <v>#DIV/0!</v>
      </c>
      <c r="G62" s="88">
        <f>ROUND(HLOOKUP($G$2,bs!$C$1:$AA$110,MATCH("*"&amp;B62&amp;"*",bs!$B$1:$B$110,),FALSE),0)/IF(ISNUMBER(SEARCH("亿", $B$1)), 100000000,
IF(ISNUMBER(SEARCH("万", $B$1)), 10000, 1))</f>
        <v>0</v>
      </c>
      <c r="H62" s="87" t="e">
        <f t="shared" si="26"/>
        <v>#DIV/0!</v>
      </c>
      <c r="I62" s="88">
        <f>ROUND(HLOOKUP($I$2,bs!$C$1:$AA$110,MATCH("*"&amp;B62&amp;"*",bs!$B$1:$B$110,),FALSE),0)/IF(ISNUMBER(SEARCH("亿", $B$1)), 100000000,
IF(ISNUMBER(SEARCH("万", $B$1)), 10000, 1))</f>
        <v>0</v>
      </c>
      <c r="J62" s="87" t="e">
        <f t="shared" si="27"/>
        <v>#DIV/0!</v>
      </c>
      <c r="L62" s="96" t="e">
        <f t="shared" si="4"/>
        <v>#DIV/0!</v>
      </c>
      <c r="M62" s="96" t="str">
        <f t="shared" si="5"/>
        <v xml:space="preserve">  应付分保账款* </v>
      </c>
      <c r="N62" t="e">
        <f>CONCATENATE(TEXT($I$2,"YYYY"),"年-",TEXT($E$2,"YYYY"),"年及",TEXT($C$2,"YYYY年MM月"),"，","拟承租人",B62,"分别为",TEXT(I62,"#,##0.00"),"万元、",TEXT(G62,"#,##0.00"),"万元、",TEXT(E62,"#,##0.00"),"万元及",TEXT(C62,"#,##0.00"),"万元，","占总负债的比重分别为",TEXT(J62,"0.00%"),"、",TEXT(H62,"0.00%"),"、",TEXT(F62,"0.00%"),"和",TEXT(D62,"0.00%"),"。")</f>
        <v>#DIV/0!</v>
      </c>
    </row>
    <row r="63" spans="2:14">
      <c r="B63" s="85" t="s">
        <v>602</v>
      </c>
      <c r="C63" s="86">
        <f>ROUND(HLOOKUP($C$2,bs!$C$1:$AA$110,MATCH("*"&amp;B63&amp;"*",bs!$B$1:$B$110,),FALSE),0)/IF(ISNUMBER(SEARCH("亿", $B$1)), 100000000,
IF(ISNUMBER(SEARCH("万", $B$1)), 10000, 1))</f>
        <v>0</v>
      </c>
      <c r="D63" s="87" t="e">
        <f t="shared" si="24"/>
        <v>#DIV/0!</v>
      </c>
      <c r="E63" s="86">
        <f>ROUND(HLOOKUP($E$2,bs!$C$1:$AA$110,MATCH("*"&amp;B63&amp;"*",bs!$B$1:$B$110,),FALSE),0)/IF(ISNUMBER(SEARCH("亿", $B$1)), 100000000,
IF(ISNUMBER(SEARCH("万", $B$1)), 10000, 1))</f>
        <v>0</v>
      </c>
      <c r="F63" s="87" t="e">
        <f t="shared" si="25"/>
        <v>#DIV/0!</v>
      </c>
      <c r="G63" s="88">
        <f>ROUND(HLOOKUP($G$2,bs!$C$1:$AA$110,MATCH("*"&amp;B63&amp;"*",bs!$B$1:$B$110,),FALSE),0)/IF(ISNUMBER(SEARCH("亿", $B$1)), 100000000,
IF(ISNUMBER(SEARCH("万", $B$1)), 10000, 1))</f>
        <v>0</v>
      </c>
      <c r="H63" s="87" t="e">
        <f t="shared" si="26"/>
        <v>#DIV/0!</v>
      </c>
      <c r="I63" s="88">
        <f>ROUND(HLOOKUP($I$2,bs!$C$1:$AA$110,MATCH("*"&amp;B63&amp;"*",bs!$B$1:$B$110,),FALSE),0)/IF(ISNUMBER(SEARCH("亿", $B$1)), 100000000,
IF(ISNUMBER(SEARCH("万", $B$1)), 10000, 1))</f>
        <v>0</v>
      </c>
      <c r="J63" s="87" t="e">
        <f t="shared" si="27"/>
        <v>#DIV/0!</v>
      </c>
      <c r="L63" s="96" t="e">
        <f t="shared" si="4"/>
        <v>#DIV/0!</v>
      </c>
      <c r="M63" s="96" t="str">
        <f t="shared" si="5"/>
        <v xml:space="preserve">  持有待售负债 </v>
      </c>
      <c r="N63" t="e">
        <f>CONCATENATE(TEXT($I$2,"YYYY"),"年-",TEXT($E$2,"YYYY"),"年及",TEXT($C$2,"YYYY年MM月"),"，","拟承租人",B63,"分别为",TEXT(I63,"#,##0.00"),"万元、",TEXT(G63,"#,##0.00"),"万元、",TEXT(E63,"#,##0.00"),"万元及",TEXT(C63,"#,##0.00"),"万元，","占总负债的比重分别为",TEXT(J63,"0.00%"),"、",TEXT(H63,"0.00%"),"、",TEXT(F63,"0.00%"),"和",TEXT(D63,"0.00%"),"。")</f>
        <v>#DIV/0!</v>
      </c>
    </row>
    <row r="64" spans="2:14" ht="22.7">
      <c r="B64" s="85" t="s">
        <v>834</v>
      </c>
      <c r="C64" s="86">
        <f>ROUND(HLOOKUP($C$2,bs!$C$1:$AA$110,MATCH("*"&amp;B64&amp;"*",bs!$B$1:$B$110,),FALSE),0)/IF(ISNUMBER(SEARCH("亿", $B$1)), 100000000,
IF(ISNUMBER(SEARCH("万", $B$1)), 10000, 1))</f>
        <v>0</v>
      </c>
      <c r="D64" s="87" t="e">
        <f t="shared" si="24"/>
        <v>#DIV/0!</v>
      </c>
      <c r="E64" s="86">
        <f>ROUND(HLOOKUP($E$2,bs!$C$1:$AA$110,MATCH("*"&amp;B64&amp;"*",bs!$B$1:$B$110,),FALSE),0)/IF(ISNUMBER(SEARCH("亿", $B$1)), 100000000,
IF(ISNUMBER(SEARCH("万", $B$1)), 10000, 1))</f>
        <v>0</v>
      </c>
      <c r="F64" s="87" t="e">
        <f t="shared" si="25"/>
        <v>#DIV/0!</v>
      </c>
      <c r="G64" s="88">
        <f>ROUND(HLOOKUP($G$2,bs!$C$1:$AA$110,MATCH("*"&amp;B64&amp;"*",bs!$B$1:$B$110,),FALSE),0)/IF(ISNUMBER(SEARCH("亿", $B$1)), 100000000,
IF(ISNUMBER(SEARCH("万", $B$1)), 10000, 1))</f>
        <v>0</v>
      </c>
      <c r="H64" s="87" t="e">
        <f t="shared" si="26"/>
        <v>#DIV/0!</v>
      </c>
      <c r="I64" s="88">
        <f>ROUND(HLOOKUP($I$2,bs!$C$1:$AA$110,MATCH("*"&amp;B64&amp;"*",bs!$B$1:$B$110,),FALSE),0)/IF(ISNUMBER(SEARCH("亿", $B$1)), 100000000,
IF(ISNUMBER(SEARCH("万", $B$1)), 10000, 1))</f>
        <v>0</v>
      </c>
      <c r="J64" s="87" t="e">
        <f t="shared" si="27"/>
        <v>#DIV/0!</v>
      </c>
      <c r="L64" s="96" t="e">
        <f t="shared" si="4"/>
        <v>#DIV/0!</v>
      </c>
      <c r="M64" s="96" t="str">
        <f t="shared" si="5"/>
        <v>一年内到期的非流动负债</v>
      </c>
      <c r="N64" t="e">
        <f>CONCATENATE(M64,":",TEXT($I$2,"YYYY"),"年-",TEXT($E$2,"YYYY"),"年及",TEXT($C$2,"YYYY年MM月"),"，","拟承租人",B64,"分别为",TEXT(I64,"#,##0.00"),"万元、",TEXT(G64,"#,##0.00"),"万元、",TEXT(E64,"#,##0.00"),"万元及",TEXT(C64,"#,##0.00"),"万元，","占总负债的比重分别为",TEXT(J64,"0.00%"),"、",TEXT(H64,"0.00%"),"、",TEXT(F64,"0.00%"),"和",TEXT(D64,"0.00%"),"。")</f>
        <v>#DIV/0!</v>
      </c>
    </row>
    <row r="65" spans="2:15">
      <c r="B65" s="85" t="s">
        <v>604</v>
      </c>
      <c r="C65" s="86">
        <f>ROUND(HLOOKUP($C$2,bs!$C$1:$AA$110,MATCH("*"&amp;B65&amp;"*",bs!$B$1:$B$110,),FALSE),0)/IF(ISNUMBER(SEARCH("亿", $B$1)), 100000000,
IF(ISNUMBER(SEARCH("万", $B$1)), 10000, 1))</f>
        <v>0</v>
      </c>
      <c r="D65" s="87" t="e">
        <f t="shared" si="24"/>
        <v>#DIV/0!</v>
      </c>
      <c r="E65" s="86">
        <f>ROUND(HLOOKUP($E$2,bs!$C$1:$AA$110,MATCH("*"&amp;B65&amp;"*",bs!$B$1:$B$110,),FALSE),0)/IF(ISNUMBER(SEARCH("亿", $B$1)), 100000000,
IF(ISNUMBER(SEARCH("万", $B$1)), 10000, 1))</f>
        <v>0</v>
      </c>
      <c r="F65" s="87" t="e">
        <f t="shared" si="25"/>
        <v>#DIV/0!</v>
      </c>
      <c r="G65" s="88">
        <f>ROUND(HLOOKUP($G$2,bs!$C$1:$AA$110,MATCH("*"&amp;B65&amp;"*",bs!$B$1:$B$110,),FALSE),0)/IF(ISNUMBER(SEARCH("亿", $B$1)), 100000000,
IF(ISNUMBER(SEARCH("万", $B$1)), 10000, 1))</f>
        <v>0</v>
      </c>
      <c r="H65" s="87" t="e">
        <f t="shared" si="26"/>
        <v>#DIV/0!</v>
      </c>
      <c r="I65" s="88">
        <f>ROUND(HLOOKUP($I$2,bs!$C$1:$AA$110,MATCH("*"&amp;B65&amp;"*",bs!$B$1:$B$110,),FALSE),0)/IF(ISNUMBER(SEARCH("亿", $B$1)), 100000000,
IF(ISNUMBER(SEARCH("万", $B$1)), 10000, 1))</f>
        <v>0</v>
      </c>
      <c r="J65" s="87" t="e">
        <f t="shared" si="27"/>
        <v>#DIV/0!</v>
      </c>
      <c r="L65" s="96" t="e">
        <f t="shared" si="4"/>
        <v>#DIV/0!</v>
      </c>
      <c r="M65" s="96" t="str">
        <f t="shared" si="5"/>
        <v xml:space="preserve">  其他流动负债 </v>
      </c>
      <c r="N65" t="e">
        <f>CONCATENATE(TEXT($I$2,"YYYY"),"年-",TEXT($E$2,"YYYY"),"年及",TEXT($C$2,"YYYY年MM月"),"，","拟承租人",B65,"分别为",TEXT(I65,"#,##0.00"),"万元、",TEXT(G65,"#,##0.00"),"万元、",TEXT(E65,"#,##0.00"),"万元及",TEXT(C65,"#,##0.00"),"万元，","占总负债的比重分别为",TEXT(J65,"0.00%"),"、",TEXT(H65,"0.00%"),"、",TEXT(F65,"0.00%"),"和",TEXT(D65,"0.00%"),"。")</f>
        <v>#DIV/0!</v>
      </c>
    </row>
    <row r="66" spans="2:15">
      <c r="B66" s="89" t="s">
        <v>605</v>
      </c>
      <c r="C66" s="86">
        <f>ROUND(HLOOKUP($C$2,bs!$C$1:$AA$110,MATCH("*"&amp;B66&amp;"*",bs!$B$1:$B$110,),FALSE),0)/IF(ISNUMBER(SEARCH("亿", $B$1)), 100000000,
IF(ISNUMBER(SEARCH("万", $B$1)), 10000, 1))</f>
        <v>0</v>
      </c>
      <c r="D66" s="90" t="e">
        <f t="shared" si="24"/>
        <v>#DIV/0!</v>
      </c>
      <c r="E66" s="86">
        <f>ROUND(HLOOKUP($E$2,bs!$C$1:$AA$110,MATCH("*"&amp;B66&amp;"*",bs!$B$1:$B$110,),FALSE),0)/IF(ISNUMBER(SEARCH("亿", $B$1)), 100000000,
IF(ISNUMBER(SEARCH("万", $B$1)), 10000, 1))</f>
        <v>0</v>
      </c>
      <c r="F66" s="90" t="e">
        <f t="shared" si="25"/>
        <v>#DIV/0!</v>
      </c>
      <c r="G66" s="88">
        <f>ROUND(HLOOKUP($G$2,bs!$C$1:$AA$110,MATCH("*"&amp;B66&amp;"*",bs!$B$1:$B$110,),FALSE),0)/IF(ISNUMBER(SEARCH("亿", $B$1)), 100000000,
IF(ISNUMBER(SEARCH("万", $B$1)), 10000, 1))</f>
        <v>0</v>
      </c>
      <c r="H66" s="90" t="e">
        <f t="shared" si="26"/>
        <v>#DIV/0!</v>
      </c>
      <c r="I66" s="88">
        <f>ROUND(HLOOKUP($I$2,bs!$C$1:$AA$110,MATCH("*"&amp;B66&amp;"*",bs!$B$1:$B$110,),FALSE),0)/IF(ISNUMBER(SEARCH("亿", $B$1)), 100000000,
IF(ISNUMBER(SEARCH("万", $B$1)), 10000, 1))</f>
        <v>0</v>
      </c>
      <c r="J66" s="90" t="e">
        <f t="shared" si="27"/>
        <v>#DIV/0!</v>
      </c>
      <c r="L66" s="96" t="e">
        <f t="shared" si="4"/>
        <v>#DIV/0!</v>
      </c>
      <c r="M66" s="96" t="str">
        <f t="shared" si="5"/>
        <v>流动负债合计</v>
      </c>
      <c r="O66" t="str">
        <f>CONCATENATE(TEXT($I$2,"YYYY"),"年-",TEXT($E$2,"YYYY"),"年及",TEXT($C$2,"YYYY年MM月"),"，","拟承租人",B66,"分别为",TEXT(I66,"#,##0.00"),"万元、",TEXT(G66,"#,##0.00"),"万元、",TEXT(E66,"#,##0.00"),"万元及",TEXT(C66,"#,##0.00"),"万元。")</f>
        <v>2021年-2023年及2024年12月，拟承租人流动负债合计分别为0.00万元、0.00万元、0.00万元及0.00万元。</v>
      </c>
    </row>
    <row r="67" spans="2:15">
      <c r="B67" s="85" t="s">
        <v>691</v>
      </c>
      <c r="C67" s="86">
        <f>ROUND(HLOOKUP($C$2,bs!$C$1:$AA$110,MATCH("*"&amp;B67&amp;"*",bs!$B$1:$B$110,),FALSE),0)/IF(ISNUMBER(SEARCH("亿", $B$1)), 100000000,
IF(ISNUMBER(SEARCH("万", $B$1)), 10000, 1))</f>
        <v>0</v>
      </c>
      <c r="D67" s="87" t="e">
        <f t="shared" si="24"/>
        <v>#DIV/0!</v>
      </c>
      <c r="E67" s="86">
        <f>ROUND(HLOOKUP($E$2,bs!$C$1:$AA$110,MATCH("*"&amp;B67&amp;"*",bs!$B$1:$B$110,),FALSE),0)/IF(ISNUMBER(SEARCH("亿", $B$1)), 100000000,
IF(ISNUMBER(SEARCH("万", $B$1)), 10000, 1))</f>
        <v>0</v>
      </c>
      <c r="F67" s="87" t="e">
        <f t="shared" si="25"/>
        <v>#DIV/0!</v>
      </c>
      <c r="G67" s="88">
        <f>ROUND(HLOOKUP($G$2,bs!$C$1:$AA$110,MATCH("*"&amp;B67&amp;"*",bs!$B$1:$B$110,),FALSE),0)/IF(ISNUMBER(SEARCH("亿", $B$1)), 100000000,
IF(ISNUMBER(SEARCH("万", $B$1)), 10000, 1))</f>
        <v>0</v>
      </c>
      <c r="H67" s="87" t="e">
        <f t="shared" si="26"/>
        <v>#DIV/0!</v>
      </c>
      <c r="I67" s="88">
        <f>ROUND(HLOOKUP($I$2,bs!$C$1:$AA$110,MATCH("*"&amp;B67&amp;"*",bs!$B$1:$B$110,),FALSE),0)/IF(ISNUMBER(SEARCH("亿", $B$1)), 100000000,
IF(ISNUMBER(SEARCH("万", $B$1)), 10000, 1))</f>
        <v>0</v>
      </c>
      <c r="J67" s="87" t="e">
        <f t="shared" si="27"/>
        <v>#DIV/0!</v>
      </c>
      <c r="L67" s="96" t="e">
        <f t="shared" si="4"/>
        <v>#DIV/0!</v>
      </c>
      <c r="M67" s="96" t="str">
        <f t="shared" si="5"/>
        <v>长期借款</v>
      </c>
      <c r="N67" t="e">
        <f>CONCATENATE(M67,":",TEXT($I$2,"YYYY"),"年-",TEXT($E$2,"YYYY"),"年及",TEXT($C$2,"YYYY年MM月"),"，","拟承租人",B67,"分别为",TEXT(I67,"#,##0.00"),"万元、",TEXT(G67,"#,##0.00"),"万元、",TEXT(E67,"#,##0.00"),"万元及",TEXT(C67,"#,##0.00"),"万元，","占总负债的比重分别为",TEXT(J67,"0.00%"),"、",TEXT(H67,"0.00%"),"、",TEXT(F67,"0.00%"),"和",TEXT(D67,"0.00%"),"。")</f>
        <v>#DIV/0!</v>
      </c>
    </row>
    <row r="68" spans="2:15">
      <c r="B68" s="85" t="s">
        <v>608</v>
      </c>
      <c r="C68" s="86">
        <f>ROUND(HLOOKUP($C$2,bs!$C$1:$AA$110,MATCH("*"&amp;B68&amp;"*",bs!$B$1:$B$110,),FALSE),0)/IF(ISNUMBER(SEARCH("亿", $B$1)), 100000000,
IF(ISNUMBER(SEARCH("万", $B$1)), 10000, 1))</f>
        <v>0</v>
      </c>
      <c r="D68" s="87" t="e">
        <f t="shared" ref="D68:D80" si="28">C68/$C$80</f>
        <v>#DIV/0!</v>
      </c>
      <c r="E68" s="86">
        <f>ROUND(HLOOKUP($E$2,bs!$C$1:$AA$110,MATCH("*"&amp;B68&amp;"*",bs!$B$1:$B$110,),FALSE),0)/IF(ISNUMBER(SEARCH("亿", $B$1)), 100000000,
IF(ISNUMBER(SEARCH("万", $B$1)), 10000, 1))</f>
        <v>0</v>
      </c>
      <c r="F68" s="87" t="e">
        <f t="shared" ref="F68:F80" si="29">E68/$E$80</f>
        <v>#DIV/0!</v>
      </c>
      <c r="G68" s="88">
        <f>ROUND(HLOOKUP($G$2,bs!$C$1:$AA$110,MATCH("*"&amp;B68&amp;"*",bs!$B$1:$B$110,),FALSE),0)/IF(ISNUMBER(SEARCH("亿", $B$1)), 100000000,
IF(ISNUMBER(SEARCH("万", $B$1)), 10000, 1))</f>
        <v>0</v>
      </c>
      <c r="H68" s="87" t="e">
        <f t="shared" ref="H68:H80" si="30">G68/$G$80</f>
        <v>#DIV/0!</v>
      </c>
      <c r="I68" s="88">
        <f>ROUND(HLOOKUP($I$2,bs!$C$1:$AA$110,MATCH("*"&amp;B68&amp;"*",bs!$B$1:$B$110,),FALSE),0)/IF(ISNUMBER(SEARCH("亿", $B$1)), 100000000,
IF(ISNUMBER(SEARCH("万", $B$1)), 10000, 1))</f>
        <v>0</v>
      </c>
      <c r="J68" s="87" t="e">
        <f t="shared" ref="J68:J80" si="31">I68/$I$80</f>
        <v>#DIV/0!</v>
      </c>
      <c r="L68" s="96" t="e">
        <f t="shared" si="4"/>
        <v>#DIV/0!</v>
      </c>
      <c r="M68" s="96" t="str">
        <f t="shared" si="5"/>
        <v xml:space="preserve">  应付债券 </v>
      </c>
      <c r="N68" t="e">
        <f>CONCATENATE(TEXT($I$2,"YYYY"),"年-",TEXT($E$2,"YYYY"),"年及",TEXT($C$2,"YYYY年MM月"),"，","拟承租人",B68,"分别为",TEXT(I68,"#,##0.00"),"万元、",TEXT(G68,"#,##0.00"),"万元、",TEXT(E68,"#,##0.00"),"万元及",TEXT(C68,"#,##0.00"),"万元，","占总负债的比重分别为",TEXT(J68,"0.00%"),"、",TEXT(H68,"0.00%"),"、",TEXT(F68,"0.00%"),"和",TEXT(D68,"0.00%"),"。")</f>
        <v>#DIV/0!</v>
      </c>
    </row>
    <row r="69" spans="2:15">
      <c r="B69" s="85" t="s">
        <v>389</v>
      </c>
      <c r="C69" s="86">
        <f>ROUND(HLOOKUP($C$2,bs!$C$1:$AA$110,MATCH("*"&amp;B69&amp;"*",bs!$B$1:$B$110,),FALSE),0)/IF(ISNUMBER(SEARCH("亿", $B$1)), 100000000,
IF(ISNUMBER(SEARCH("万", $B$1)), 10000, 1))</f>
        <v>0</v>
      </c>
      <c r="D69" s="87" t="e">
        <f t="shared" si="28"/>
        <v>#DIV/0!</v>
      </c>
      <c r="E69" s="86">
        <f>ROUND(HLOOKUP($E$2,bs!$C$1:$AA$110,MATCH("*"&amp;B69&amp;"*",bs!$B$1:$B$110,),FALSE),0)/IF(ISNUMBER(SEARCH("亿", $B$1)), 100000000,
IF(ISNUMBER(SEARCH("万", $B$1)), 10000, 1))</f>
        <v>0</v>
      </c>
      <c r="F69" s="87" t="e">
        <f t="shared" si="29"/>
        <v>#DIV/0!</v>
      </c>
      <c r="G69" s="88">
        <f>ROUND(HLOOKUP($G$2,bs!$C$1:$AA$110,MATCH("*"&amp;B69&amp;"*",bs!$B$1:$B$110,),FALSE),0)/IF(ISNUMBER(SEARCH("亿", $B$1)), 100000000,
IF(ISNUMBER(SEARCH("万", $B$1)), 10000, 1))</f>
        <v>0</v>
      </c>
      <c r="H69" s="87" t="e">
        <f t="shared" si="30"/>
        <v>#DIV/0!</v>
      </c>
      <c r="I69" s="88">
        <f>ROUND(HLOOKUP($I$2,bs!$C$1:$AA$110,MATCH("*"&amp;B69&amp;"*",bs!$B$1:$B$110,),FALSE),0)/IF(ISNUMBER(SEARCH("亿", $B$1)), 100000000,
IF(ISNUMBER(SEARCH("万", $B$1)), 10000, 1))</f>
        <v>0</v>
      </c>
      <c r="J69" s="87" t="e">
        <f t="shared" si="31"/>
        <v>#DIV/0!</v>
      </c>
      <c r="L69" s="96" t="e">
        <f t="shared" ref="L69:L92" si="32">D69+F69+H69+J69</f>
        <v>#DIV/0!</v>
      </c>
      <c r="M69" s="96" t="str">
        <f t="shared" ref="M69:M91" si="33">B69</f>
        <v xml:space="preserve">    其中：优先股 </v>
      </c>
      <c r="N69" t="e">
        <f>CONCATENATE(TEXT($I$2,"YYYY"),"年-",TEXT($E$2,"YYYY"),"年及",TEXT($C$2,"YYYY年MM月"),"，","拟承租人",B69,"分别为",TEXT(I69,"#,##0.00"),"万元、",TEXT(G69,"#,##0.00"),"万元、",TEXT(E69,"#,##0.00"),"万元及",TEXT(C69,"#,##0.00"),"万元，","占总负债的比重分别为",TEXT(J69,"0.00%"),"、",TEXT(H69,"0.00%"),"、",TEXT(F69,"0.00%"),"和",TEXT(D69,"0.00%"),"。")</f>
        <v>#DIV/0!</v>
      </c>
    </row>
    <row r="70" spans="2:15">
      <c r="B70" s="85" t="s">
        <v>609</v>
      </c>
      <c r="C70" s="86">
        <f>ROUND(HLOOKUP($C$2,bs!$C$1:$AA$110,MATCH("*"&amp;B70&amp;"*",bs!$B$1:$B$110,),FALSE),0)/IF(ISNUMBER(SEARCH("亿", $B$1)), 100000000,
IF(ISNUMBER(SEARCH("万", $B$1)), 10000, 1))</f>
        <v>0</v>
      </c>
      <c r="D70" s="87" t="e">
        <f t="shared" si="28"/>
        <v>#DIV/0!</v>
      </c>
      <c r="E70" s="86">
        <f>ROUND(HLOOKUP($E$2,bs!$C$1:$AA$110,MATCH("*"&amp;B70&amp;"*",bs!$B$1:$B$110,),FALSE),0)/IF(ISNUMBER(SEARCH("亿", $B$1)), 100000000,
IF(ISNUMBER(SEARCH("万", $B$1)), 10000, 1))</f>
        <v>0</v>
      </c>
      <c r="F70" s="87" t="e">
        <f t="shared" si="29"/>
        <v>#DIV/0!</v>
      </c>
      <c r="G70" s="88">
        <f>ROUND(HLOOKUP($G$2,bs!$C$1:$AA$110,MATCH("*"&amp;B70&amp;"*",bs!$B$1:$B$110,),FALSE),0)/IF(ISNUMBER(SEARCH("亿", $B$1)), 100000000,
IF(ISNUMBER(SEARCH("万", $B$1)), 10000, 1))</f>
        <v>0</v>
      </c>
      <c r="H70" s="87" t="e">
        <f t="shared" si="30"/>
        <v>#DIV/0!</v>
      </c>
      <c r="I70" s="88">
        <f>ROUND(HLOOKUP($I$2,bs!$C$1:$AA$110,MATCH("*"&amp;B70&amp;"*",bs!$B$1:$B$110,),FALSE),0)/IF(ISNUMBER(SEARCH("亿", $B$1)), 100000000,
IF(ISNUMBER(SEARCH("万", $B$1)), 10000, 1))</f>
        <v>0</v>
      </c>
      <c r="J70" s="87" t="e">
        <f t="shared" si="31"/>
        <v>#DIV/0!</v>
      </c>
      <c r="L70" s="96" t="e">
        <f t="shared" si="32"/>
        <v>#DIV/0!</v>
      </c>
      <c r="M70" s="96" t="str">
        <f t="shared" si="33"/>
        <v xml:space="preserve">          永续债 </v>
      </c>
      <c r="N70" t="e">
        <f>CONCATENATE(TEXT($I$2,"YYYY"),"年-",TEXT($E$2,"YYYY"),"年及",TEXT($C$2,"YYYY年MM月"),"，","拟承租人",B70,"分别为",TEXT(I70,"#,##0.00"),"万元、",TEXT(G70,"#,##0.00"),"万元、",TEXT(E70,"#,##0.00"),"万元及",TEXT(C70,"#,##0.00"),"万元，","占总负债的比重分别为",TEXT(J70,"0.00%"),"、",TEXT(H70,"0.00%"),"、",TEXT(F70,"0.00%"),"和",TEXT(D70,"0.00%"),"。")</f>
        <v>#DIV/0!</v>
      </c>
    </row>
    <row r="71" spans="2:15">
      <c r="B71" s="85" t="s">
        <v>610</v>
      </c>
      <c r="C71" s="86">
        <f>ROUND(HLOOKUP($C$2,bs!$C$1:$AA$110,MATCH("*"&amp;B71&amp;"*",bs!$B$1:$B$110,),FALSE),0)/IF(ISNUMBER(SEARCH("亿", $B$1)), 100000000,
IF(ISNUMBER(SEARCH("万", $B$1)), 10000, 1))</f>
        <v>0</v>
      </c>
      <c r="D71" s="87" t="e">
        <f t="shared" si="28"/>
        <v>#DIV/0!</v>
      </c>
      <c r="E71" s="86">
        <f>ROUND(HLOOKUP($E$2,bs!$C$1:$AA$110,MATCH("*"&amp;B71&amp;"*",bs!$B$1:$B$110,),FALSE),0)/IF(ISNUMBER(SEARCH("亿", $B$1)), 100000000,
IF(ISNUMBER(SEARCH("万", $B$1)), 10000, 1))</f>
        <v>0</v>
      </c>
      <c r="F71" s="87" t="e">
        <f t="shared" si="29"/>
        <v>#DIV/0!</v>
      </c>
      <c r="G71" s="88">
        <f>ROUND(HLOOKUP($G$2,bs!$C$1:$AA$110,MATCH("*"&amp;B71&amp;"*",bs!$B$1:$B$110,),FALSE),0)/IF(ISNUMBER(SEARCH("亿", $B$1)), 100000000,
IF(ISNUMBER(SEARCH("万", $B$1)), 10000, 1))</f>
        <v>0</v>
      </c>
      <c r="H71" s="87" t="e">
        <f t="shared" si="30"/>
        <v>#DIV/0!</v>
      </c>
      <c r="I71" s="88">
        <f>ROUND(HLOOKUP($I$2,bs!$C$1:$AA$110,MATCH("*"&amp;B71&amp;"*",bs!$B$1:$B$110,),FALSE),0)/IF(ISNUMBER(SEARCH("亿", $B$1)), 100000000,
IF(ISNUMBER(SEARCH("万", $B$1)), 10000, 1))</f>
        <v>0</v>
      </c>
      <c r="J71" s="87" t="e">
        <f t="shared" si="31"/>
        <v>#DIV/0!</v>
      </c>
      <c r="L71" s="96" t="e">
        <f t="shared" si="32"/>
        <v>#DIV/0!</v>
      </c>
      <c r="M71" s="96" t="str">
        <f t="shared" si="33"/>
        <v xml:space="preserve">  租赁负债 </v>
      </c>
      <c r="N71" t="e">
        <f>CONCATENATE(TEXT($I$2,"YYYY"),"年-",TEXT($E$2,"YYYY"),"年及",TEXT($C$2,"YYYY年MM月"),"，","拟承租人",B71,"分别为",TEXT(I71,"#,##0.00"),"万元、",TEXT(G71,"#,##0.00"),"万元、",TEXT(E71,"#,##0.00"),"万元及",TEXT(C71,"#,##0.00"),"万元，","占总负债的比重分别为",TEXT(J71,"0.00%"),"、",TEXT(H71,"0.00%"),"、",TEXT(F71,"0.00%"),"和",TEXT(D71,"0.00%"),"。")</f>
        <v>#DIV/0!</v>
      </c>
    </row>
    <row r="72" spans="2:15">
      <c r="B72" s="85" t="s">
        <v>611</v>
      </c>
      <c r="C72" s="86">
        <f>ROUND(HLOOKUP($C$2,bs!$C$1:$AA$110,MATCH("*"&amp;B72&amp;"*",bs!$B$1:$B$110,),FALSE),0)/IF(ISNUMBER(SEARCH("亿", $B$1)), 100000000,
IF(ISNUMBER(SEARCH("万", $B$1)), 10000, 1))</f>
        <v>0</v>
      </c>
      <c r="D72" s="87" t="e">
        <f t="shared" si="28"/>
        <v>#DIV/0!</v>
      </c>
      <c r="E72" s="86">
        <f>ROUND(HLOOKUP($E$2,bs!$C$1:$AA$110,MATCH("*"&amp;B72&amp;"*",bs!$B$1:$B$110,),FALSE),0)/IF(ISNUMBER(SEARCH("亿", $B$1)), 100000000,
IF(ISNUMBER(SEARCH("万", $B$1)), 10000, 1))</f>
        <v>0</v>
      </c>
      <c r="F72" s="87" t="e">
        <f t="shared" si="29"/>
        <v>#DIV/0!</v>
      </c>
      <c r="G72" s="88">
        <f>ROUND(HLOOKUP($G$2,bs!$C$1:$AA$110,MATCH("*"&amp;B72&amp;"*",bs!$B$1:$B$110,),FALSE),0)/IF(ISNUMBER(SEARCH("亿", $B$1)), 100000000,
IF(ISNUMBER(SEARCH("万", $B$1)), 10000, 1))</f>
        <v>0</v>
      </c>
      <c r="H72" s="87" t="e">
        <f t="shared" si="30"/>
        <v>#DIV/0!</v>
      </c>
      <c r="I72" s="88">
        <f>ROUND(HLOOKUP($I$2,bs!$C$1:$AA$110,MATCH("*"&amp;B72&amp;"*",bs!$B$1:$B$110,),FALSE),0)/IF(ISNUMBER(SEARCH("亿", $B$1)), 100000000,
IF(ISNUMBER(SEARCH("万", $B$1)), 10000, 1))</f>
        <v>0</v>
      </c>
      <c r="J72" s="87" t="e">
        <f t="shared" si="31"/>
        <v>#DIV/0!</v>
      </c>
      <c r="L72" s="96" t="e">
        <f t="shared" si="32"/>
        <v>#DIV/0!</v>
      </c>
      <c r="M72" s="96" t="str">
        <f t="shared" si="33"/>
        <v xml:space="preserve">  专项应付款 </v>
      </c>
      <c r="N72" t="e">
        <f>CONCATENATE(TEXT($I$2,"YYYY"),"年-",TEXT($E$2,"YYYY"),"年及",TEXT($C$2,"YYYY年MM月"),"，","拟承租人",B72,"分别为",TEXT(I72,"#,##0.00"),"万元、",TEXT(G72,"#,##0.00"),"万元、",TEXT(E72,"#,##0.00"),"万元及",TEXT(C72,"#,##0.00"),"万元，","占总负债的比重分别为",TEXT(J72,"0.00%"),"、",TEXT(H72,"0.00%"),"、",TEXT(F72,"0.00%"),"和",TEXT(D72,"0.00%"),"。")</f>
        <v>#DIV/0!</v>
      </c>
    </row>
    <row r="73" spans="2:15">
      <c r="B73" s="85" t="s">
        <v>692</v>
      </c>
      <c r="C73" s="86">
        <f>ROUND(HLOOKUP($C$2,bs!$C$1:$AA$110,MATCH("*"&amp;B73&amp;"*",bs!$B$1:$B$110,),FALSE),0)/IF(ISNUMBER(SEARCH("亿", $B$1)), 100000000,
IF(ISNUMBER(SEARCH("万", $B$1)), 10000, 1))</f>
        <v>0</v>
      </c>
      <c r="D73" s="87" t="e">
        <f t="shared" si="28"/>
        <v>#DIV/0!</v>
      </c>
      <c r="E73" s="86">
        <f>ROUND(HLOOKUP($E$2,bs!$C$1:$AA$110,MATCH("*"&amp;B73&amp;"*",bs!$B$1:$B$110,),FALSE),0)/IF(ISNUMBER(SEARCH("亿", $B$1)), 100000000,
IF(ISNUMBER(SEARCH("万", $B$1)), 10000, 1))</f>
        <v>0</v>
      </c>
      <c r="F73" s="87" t="e">
        <f t="shared" si="29"/>
        <v>#DIV/0!</v>
      </c>
      <c r="G73" s="88">
        <f>ROUND(HLOOKUP($G$2,bs!$C$1:$AA$110,MATCH("*"&amp;B73&amp;"*",bs!$B$1:$B$110,),FALSE),0)/IF(ISNUMBER(SEARCH("亿", $B$1)), 100000000,
IF(ISNUMBER(SEARCH("万", $B$1)), 10000, 1))</f>
        <v>0</v>
      </c>
      <c r="H73" s="87" t="e">
        <f t="shared" si="30"/>
        <v>#DIV/0!</v>
      </c>
      <c r="I73" s="88">
        <f>ROUND(HLOOKUP($I$2,bs!$C$1:$AA$110,MATCH("*"&amp;B73&amp;"*",bs!$B$1:$B$110,),FALSE),0)/IF(ISNUMBER(SEARCH("亿", $B$1)), 100000000,
IF(ISNUMBER(SEARCH("万", $B$1)), 10000, 1))</f>
        <v>0</v>
      </c>
      <c r="J73" s="87" t="e">
        <f t="shared" si="31"/>
        <v>#DIV/0!</v>
      </c>
      <c r="L73" s="96" t="e">
        <f t="shared" si="32"/>
        <v>#DIV/0!</v>
      </c>
      <c r="M73" s="96" t="str">
        <f t="shared" si="33"/>
        <v>长期应付款</v>
      </c>
      <c r="N73" t="e">
        <f>CONCATENATE(M73,":",TEXT($I$2,"YYYY"),"年-",TEXT($E$2,"YYYY"),"年及",TEXT($C$2,"YYYY年MM月"),"，","拟承租人",B73,"分别为",TEXT(I73,"#,##0.00"),"万元、",TEXT(G73,"#,##0.00"),"万元、",TEXT(E73,"#,##0.00"),"万元及",TEXT(C73,"#,##0.00"),"万元，","占总负债的比重分别为",TEXT(J73,"0.00%"),"、",TEXT(H73,"0.00%"),"、",TEXT(F73,"0.00%"),"和",TEXT(D73,"0.00%"),"。")</f>
        <v>#DIV/0!</v>
      </c>
    </row>
    <row r="74" spans="2:15">
      <c r="B74" s="85" t="s">
        <v>613</v>
      </c>
      <c r="C74" s="86">
        <f>ROUND(HLOOKUP($C$2,bs!$C$1:$AA$110,MATCH("*"&amp;B74&amp;"*",bs!$B$1:$B$110,),FALSE),0)/IF(ISNUMBER(SEARCH("亿", $B$1)), 100000000,
IF(ISNUMBER(SEARCH("万", $B$1)), 10000, 1))</f>
        <v>0</v>
      </c>
      <c r="D74" s="87" t="e">
        <f t="shared" si="28"/>
        <v>#DIV/0!</v>
      </c>
      <c r="E74" s="86">
        <f>ROUND(HLOOKUP($E$2,bs!$C$1:$AA$110,MATCH("*"&amp;B74&amp;"*",bs!$B$1:$B$110,),FALSE),0)/IF(ISNUMBER(SEARCH("亿", $B$1)), 100000000,
IF(ISNUMBER(SEARCH("万", $B$1)), 10000, 1))</f>
        <v>0</v>
      </c>
      <c r="F74" s="87" t="e">
        <f t="shared" si="29"/>
        <v>#DIV/0!</v>
      </c>
      <c r="G74" s="88">
        <f>ROUND(HLOOKUP($G$2,bs!$C$1:$AA$110,MATCH("*"&amp;B74&amp;"*",bs!$B$1:$B$110,),FALSE),0)/IF(ISNUMBER(SEARCH("亿", $B$1)), 100000000,
IF(ISNUMBER(SEARCH("万", $B$1)), 10000, 1))</f>
        <v>0</v>
      </c>
      <c r="H74" s="87" t="e">
        <f t="shared" si="30"/>
        <v>#DIV/0!</v>
      </c>
      <c r="I74" s="88">
        <f>ROUND(HLOOKUP($I$2,bs!$C$1:$AA$110,MATCH("*"&amp;B74&amp;"*",bs!$B$1:$B$110,),FALSE),0)/IF(ISNUMBER(SEARCH("亿", $B$1)), 100000000,
IF(ISNUMBER(SEARCH("万", $B$1)), 10000, 1))</f>
        <v>0</v>
      </c>
      <c r="J74" s="87" t="e">
        <f t="shared" si="31"/>
        <v>#DIV/0!</v>
      </c>
      <c r="L74" s="96" t="e">
        <f t="shared" si="32"/>
        <v>#DIV/0!</v>
      </c>
      <c r="M74" s="96" t="str">
        <f t="shared" si="33"/>
        <v xml:space="preserve">  长期应付职工薪酬</v>
      </c>
      <c r="N74" t="e">
        <f>CONCATENATE(TEXT($I$2,"YYYY"),"年-",TEXT($E$2,"YYYY"),"年及",TEXT($C$2,"YYYY年MM月"),"，","拟承租人",B74,"分别为",TEXT(I74,"#,##0.00"),"万元、",TEXT(G74,"#,##0.00"),"万元、",TEXT(E74,"#,##0.00"),"万元及",TEXT(C74,"#,##0.00"),"万元，","占总负债的比重分别为",TEXT(J74,"0.00%"),"、",TEXT(H74,"0.00%"),"、",TEXT(F74,"0.00%"),"和",TEXT(D74,"0.00%"),"。")</f>
        <v>#DIV/0!</v>
      </c>
    </row>
    <row r="75" spans="2:15">
      <c r="B75" s="85" t="s">
        <v>835</v>
      </c>
      <c r="C75" s="86">
        <f>ROUND(HLOOKUP($C$2,bs!$C$1:$AA$110,MATCH("*"&amp;B75&amp;"*",bs!$B$1:$B$110,),FALSE),0)/IF(ISNUMBER(SEARCH("亿", $B$1)), 100000000,
IF(ISNUMBER(SEARCH("万", $B$1)), 10000, 1))</f>
        <v>0</v>
      </c>
      <c r="D75" s="87" t="e">
        <f t="shared" si="28"/>
        <v>#DIV/0!</v>
      </c>
      <c r="E75" s="86">
        <f>ROUND(HLOOKUP($E$2,bs!$C$1:$AA$110,MATCH("*"&amp;B75&amp;"*",bs!$B$1:$B$110,),FALSE),0)/IF(ISNUMBER(SEARCH("亿", $B$1)), 100000000,
IF(ISNUMBER(SEARCH("万", $B$1)), 10000, 1))</f>
        <v>0</v>
      </c>
      <c r="F75" s="87" t="e">
        <f t="shared" si="29"/>
        <v>#DIV/0!</v>
      </c>
      <c r="G75" s="88">
        <f>ROUND(HLOOKUP($G$2,bs!$C$1:$AA$110,MATCH("*"&amp;B75&amp;"*",bs!$B$1:$B$110,),FALSE),0)/IF(ISNUMBER(SEARCH("亿", $B$1)), 100000000,
IF(ISNUMBER(SEARCH("万", $B$1)), 10000, 1))</f>
        <v>0</v>
      </c>
      <c r="H75" s="87" t="e">
        <f t="shared" si="30"/>
        <v>#DIV/0!</v>
      </c>
      <c r="I75" s="88">
        <f>ROUND(HLOOKUP($I$2,bs!$C$1:$AA$110,MATCH("*"&amp;B75&amp;"*",bs!$B$1:$B$110,),FALSE),0)/IF(ISNUMBER(SEARCH("亿", $B$1)), 100000000,
IF(ISNUMBER(SEARCH("万", $B$1)), 10000, 1))</f>
        <v>0</v>
      </c>
      <c r="J75" s="87" t="e">
        <f t="shared" si="31"/>
        <v>#DIV/0!</v>
      </c>
      <c r="L75" s="96" t="e">
        <f t="shared" si="32"/>
        <v>#DIV/0!</v>
      </c>
      <c r="M75" s="96" t="str">
        <f t="shared" si="33"/>
        <v>预计负债</v>
      </c>
      <c r="N75" t="e">
        <f>CONCATENATE(M75,":",TEXT($I$2,"YYYY"),"年-",TEXT($E$2,"YYYY"),"年及",TEXT($C$2,"YYYY年MM月"),"，","拟承租人",B75,"分别为",TEXT(I75,"#,##0.00"),"万元、",TEXT(G75,"#,##0.00"),"万元、",TEXT(E75,"#,##0.00"),"万元及",TEXT(C75,"#,##0.00"),"万元，","占总负债的比重分别为",TEXT(J75,"0.00%"),"、",TEXT(H75,"0.00%"),"、",TEXT(F75,"0.00%"),"和",TEXT(D75,"0.00%"),"。")</f>
        <v>#DIV/0!</v>
      </c>
    </row>
    <row r="76" spans="2:15">
      <c r="B76" s="85" t="s">
        <v>836</v>
      </c>
      <c r="C76" s="86">
        <f>ROUND(HLOOKUP($C$2,bs!$C$1:$AA$110,MATCH("*"&amp;B76&amp;"*",bs!$B$1:$B$110,),FALSE),0)/IF(ISNUMBER(SEARCH("亿", $B$1)), 100000000,
IF(ISNUMBER(SEARCH("万", $B$1)), 10000, 1))</f>
        <v>0</v>
      </c>
      <c r="D76" s="87" t="e">
        <f t="shared" si="28"/>
        <v>#DIV/0!</v>
      </c>
      <c r="E76" s="86">
        <f>ROUND(HLOOKUP($E$2,bs!$C$1:$AA$110,MATCH("*"&amp;B76&amp;"*",bs!$B$1:$B$110,),FALSE),0)/IF(ISNUMBER(SEARCH("亿", $B$1)), 100000000,
IF(ISNUMBER(SEARCH("万", $B$1)), 10000, 1))</f>
        <v>0</v>
      </c>
      <c r="F76" s="87" t="e">
        <f t="shared" si="29"/>
        <v>#DIV/0!</v>
      </c>
      <c r="G76" s="88">
        <f>ROUND(HLOOKUP($G$2,bs!$C$1:$AA$110,MATCH("*"&amp;B76&amp;"*",bs!$B$1:$B$110,),FALSE),0)/IF(ISNUMBER(SEARCH("亿", $B$1)), 100000000,
IF(ISNUMBER(SEARCH("万", $B$1)), 10000, 1))</f>
        <v>0</v>
      </c>
      <c r="H76" s="87" t="e">
        <f t="shared" si="30"/>
        <v>#DIV/0!</v>
      </c>
      <c r="I76" s="88">
        <f>ROUND(HLOOKUP($I$2,bs!$C$1:$AA$110,MATCH("*"&amp;B76&amp;"*",bs!$B$1:$B$110,),FALSE),0)/IF(ISNUMBER(SEARCH("亿", $B$1)), 100000000,
IF(ISNUMBER(SEARCH("万", $B$1)), 10000, 1))</f>
        <v>0</v>
      </c>
      <c r="J76" s="87" t="e">
        <f t="shared" si="31"/>
        <v>#DIV/0!</v>
      </c>
      <c r="L76" s="96" t="e">
        <f t="shared" si="32"/>
        <v>#DIV/0!</v>
      </c>
      <c r="M76" s="96" t="str">
        <f t="shared" si="33"/>
        <v>递延收益</v>
      </c>
      <c r="N76" t="e">
        <f>CONCATENATE(M76,":",TEXT($I$2,"YYYY"),"年-",TEXT($E$2,"YYYY"),"年及",TEXT($C$2,"YYYY年MM月"),"，","拟承租人",B76,"分别为",TEXT(I76,"#,##0.00"),"万元、",TEXT(G76,"#,##0.00"),"万元、",TEXT(E76,"#,##0.00"),"万元及",TEXT(C76,"#,##0.00"),"万元，","占总负债的比重分别为",TEXT(J76,"0.00%"),"、",TEXT(H76,"0.00%"),"、",TEXT(F76,"0.00%"),"和",TEXT(D76,"0.00%"),"。")</f>
        <v>#DIV/0!</v>
      </c>
    </row>
    <row r="77" spans="2:15">
      <c r="B77" s="85" t="s">
        <v>616</v>
      </c>
      <c r="C77" s="86">
        <f>ROUND(HLOOKUP($C$2,bs!$C$1:$AA$110,MATCH("*"&amp;B77&amp;"*",bs!$B$1:$B$110,),FALSE),0)/IF(ISNUMBER(SEARCH("亿", $B$1)), 100000000,
IF(ISNUMBER(SEARCH("万", $B$1)), 10000, 1))</f>
        <v>0</v>
      </c>
      <c r="D77" s="87" t="e">
        <f t="shared" si="28"/>
        <v>#DIV/0!</v>
      </c>
      <c r="E77" s="86">
        <f>ROUND(HLOOKUP($E$2,bs!$C$1:$AA$110,MATCH("*"&amp;B77&amp;"*",bs!$B$1:$B$110,),FALSE),0)/IF(ISNUMBER(SEARCH("亿", $B$1)), 100000000,
IF(ISNUMBER(SEARCH("万", $B$1)), 10000, 1))</f>
        <v>0</v>
      </c>
      <c r="F77" s="87" t="e">
        <f t="shared" si="29"/>
        <v>#DIV/0!</v>
      </c>
      <c r="G77" s="88">
        <f>ROUND(HLOOKUP($G$2,bs!$C$1:$AA$110,MATCH("*"&amp;B77&amp;"*",bs!$B$1:$B$110,),FALSE),0)/IF(ISNUMBER(SEARCH("亿", $B$1)), 100000000,
IF(ISNUMBER(SEARCH("万", $B$1)), 10000, 1))</f>
        <v>0</v>
      </c>
      <c r="H77" s="87" t="e">
        <f t="shared" si="30"/>
        <v>#DIV/0!</v>
      </c>
      <c r="I77" s="88">
        <f>ROUND(HLOOKUP($I$2,bs!$C$1:$AA$110,MATCH("*"&amp;B77&amp;"*",bs!$B$1:$B$110,),FALSE),0)/IF(ISNUMBER(SEARCH("亿", $B$1)), 100000000,
IF(ISNUMBER(SEARCH("万", $B$1)), 10000, 1))</f>
        <v>0</v>
      </c>
      <c r="J77" s="87" t="e">
        <f t="shared" si="31"/>
        <v>#DIV/0!</v>
      </c>
      <c r="L77" s="96" t="e">
        <f t="shared" si="32"/>
        <v>#DIV/0!</v>
      </c>
      <c r="M77" s="96" t="str">
        <f t="shared" si="33"/>
        <v xml:space="preserve">  递延所得税负债 </v>
      </c>
      <c r="N77" t="e">
        <f>CONCATENATE(TEXT($I$2,"YYYY"),"年-",TEXT($E$2,"YYYY"),"年及",TEXT($C$2,"YYYY年MM月"),"，","拟承租人",B77,"分别为",TEXT(I77,"#,##0.00"),"万元、",TEXT(G77,"#,##0.00"),"万元、",TEXT(E77,"#,##0.00"),"万元及",TEXT(C77,"#,##0.00"),"万元，","占总负债的比重分别为",TEXT(J77,"0.00%"),"、",TEXT(H77,"0.00%"),"、",TEXT(F77,"0.00%"),"和",TEXT(D77,"0.00%"),"。")</f>
        <v>#DIV/0!</v>
      </c>
    </row>
    <row r="78" spans="2:15">
      <c r="B78" s="85" t="s">
        <v>617</v>
      </c>
      <c r="C78" s="86">
        <f>ROUND(HLOOKUP($C$2,bs!$C$1:$AA$110,MATCH("*"&amp;B78&amp;"*",bs!$B$1:$B$110,),FALSE),0)/IF(ISNUMBER(SEARCH("亿", $B$1)), 100000000,
IF(ISNUMBER(SEARCH("万", $B$1)), 10000, 1))</f>
        <v>0</v>
      </c>
      <c r="D78" s="87" t="e">
        <f t="shared" si="28"/>
        <v>#DIV/0!</v>
      </c>
      <c r="E78" s="86">
        <f>ROUND(HLOOKUP($E$2,bs!$C$1:$AA$110,MATCH("*"&amp;B78&amp;"*",bs!$B$1:$B$110,),FALSE),0)/IF(ISNUMBER(SEARCH("亿", $B$1)), 100000000,
IF(ISNUMBER(SEARCH("万", $B$1)), 10000, 1))</f>
        <v>0</v>
      </c>
      <c r="F78" s="87" t="e">
        <f t="shared" si="29"/>
        <v>#DIV/0!</v>
      </c>
      <c r="G78" s="88">
        <f>ROUND(HLOOKUP($G$2,bs!$C$1:$AA$110,MATCH("*"&amp;B78&amp;"*",bs!$B$1:$B$110,),FALSE),0)/IF(ISNUMBER(SEARCH("亿", $B$1)), 100000000,
IF(ISNUMBER(SEARCH("万", $B$1)), 10000, 1))</f>
        <v>0</v>
      </c>
      <c r="H78" s="87" t="e">
        <f t="shared" si="30"/>
        <v>#DIV/0!</v>
      </c>
      <c r="I78" s="88">
        <f>ROUND(HLOOKUP($I$2,bs!$C$1:$AA$110,MATCH("*"&amp;B78&amp;"*",bs!$B$1:$B$110,),FALSE),0)/IF(ISNUMBER(SEARCH("亿", $B$1)), 100000000,
IF(ISNUMBER(SEARCH("万", $B$1)), 10000, 1))</f>
        <v>0</v>
      </c>
      <c r="J78" s="87" t="e">
        <f t="shared" si="31"/>
        <v>#DIV/0!</v>
      </c>
      <c r="L78" s="96" t="e">
        <f t="shared" si="32"/>
        <v>#DIV/0!</v>
      </c>
      <c r="M78" s="96" t="str">
        <f t="shared" si="33"/>
        <v xml:space="preserve">  其他非流动负债 </v>
      </c>
      <c r="N78" t="e">
        <f>CONCATENATE(TEXT($I$2,"YYYY"),"年-",TEXT($E$2,"YYYY"),"年及",TEXT($C$2,"YYYY年MM月"),"，","拟承租人",B78,"分别为",TEXT(I78,"#,##0.00"),"万元、",TEXT(G78,"#,##0.00"),"万元、",TEXT(E78,"#,##0.00"),"万元及",TEXT(C78,"#,##0.00"),"万元，","占总负债的比重分别为",TEXT(J78,"0.00%"),"、",TEXT(H78,"0.00%"),"、",TEXT(F78,"0.00%"),"和",TEXT(D78,"0.00%"),"。")</f>
        <v>#DIV/0!</v>
      </c>
    </row>
    <row r="79" spans="2:15">
      <c r="B79" s="89" t="s">
        <v>618</v>
      </c>
      <c r="C79" s="86">
        <f>ROUND(HLOOKUP($C$2,bs!$C$1:$AA$110,MATCH("*"&amp;B79&amp;"*",bs!$B$1:$B$110,),FALSE),0)/IF(ISNUMBER(SEARCH("亿", $B$1)), 100000000,
IF(ISNUMBER(SEARCH("万", $B$1)), 10000, 1))</f>
        <v>0</v>
      </c>
      <c r="D79" s="90" t="e">
        <f t="shared" si="28"/>
        <v>#DIV/0!</v>
      </c>
      <c r="E79" s="86">
        <f>ROUND(HLOOKUP($E$2,bs!$C$1:$AA$110,MATCH("*"&amp;B79&amp;"*",bs!$B$1:$B$110,),FALSE),0)/IF(ISNUMBER(SEARCH("亿", $B$1)), 100000000,
IF(ISNUMBER(SEARCH("万", $B$1)), 10000, 1))</f>
        <v>0</v>
      </c>
      <c r="F79" s="90" t="e">
        <f t="shared" si="29"/>
        <v>#DIV/0!</v>
      </c>
      <c r="G79" s="88">
        <f>ROUND(HLOOKUP($G$2,bs!$C$1:$AA$110,MATCH("*"&amp;B79&amp;"*",bs!$B$1:$B$110,),FALSE),0)/IF(ISNUMBER(SEARCH("亿", $B$1)), 100000000,
IF(ISNUMBER(SEARCH("万", $B$1)), 10000, 1))</f>
        <v>0</v>
      </c>
      <c r="H79" s="90" t="e">
        <f t="shared" si="30"/>
        <v>#DIV/0!</v>
      </c>
      <c r="I79" s="88">
        <f>ROUND(HLOOKUP($I$2,bs!$C$1:$AA$110,MATCH("*"&amp;B79&amp;"*",bs!$B$1:$B$110,),FALSE),0)/IF(ISNUMBER(SEARCH("亿", $B$1)), 100000000,
IF(ISNUMBER(SEARCH("万", $B$1)), 10000, 1))</f>
        <v>0</v>
      </c>
      <c r="J79" s="90" t="e">
        <f t="shared" si="31"/>
        <v>#DIV/0!</v>
      </c>
      <c r="L79" s="96" t="e">
        <f t="shared" si="32"/>
        <v>#DIV/0!</v>
      </c>
      <c r="M79" s="96" t="str">
        <f t="shared" si="33"/>
        <v>非流动负债合计</v>
      </c>
      <c r="O79" t="e">
        <f>CONCATENATE(M79,":",TEXT($I$2,"YYYY"),"年-",TEXT($E$2,"YYYY"),"年及",TEXT($C$2,"YYYY年MM月"),"，","拟承租人"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>#DIV/0!</v>
      </c>
    </row>
    <row r="80" spans="2:15">
      <c r="B80" s="89" t="s">
        <v>619</v>
      </c>
      <c r="C80" s="86">
        <f>ROUND(HLOOKUP($C$2,bs!$C$1:$AA$110,MATCH("*"&amp;B80&amp;"*",bs!$B$1:$B$110,),FALSE),0)/IF(ISNUMBER(SEARCH("亿", $B$1)), 100000000,
IF(ISNUMBER(SEARCH("万", $B$1)), 10000, 1))</f>
        <v>0</v>
      </c>
      <c r="D80" s="90" t="e">
        <f t="shared" si="28"/>
        <v>#DIV/0!</v>
      </c>
      <c r="E80" s="86">
        <f>ROUND(HLOOKUP($E$2,bs!$C$1:$AA$110,MATCH("*"&amp;B80&amp;"*",bs!$B$1:$B$110,),FALSE),0)/IF(ISNUMBER(SEARCH("亿", $B$1)), 100000000,
IF(ISNUMBER(SEARCH("万", $B$1)), 10000, 1))</f>
        <v>0</v>
      </c>
      <c r="F80" s="90" t="e">
        <f t="shared" si="29"/>
        <v>#DIV/0!</v>
      </c>
      <c r="G80" s="88">
        <f>ROUND(HLOOKUP($G$2,bs!$C$1:$AA$110,MATCH("*"&amp;B80&amp;"*",bs!$B$1:$B$110,),FALSE),0)/IF(ISNUMBER(SEARCH("亿", $B$1)), 100000000,
IF(ISNUMBER(SEARCH("万", $B$1)), 10000, 1))</f>
        <v>0</v>
      </c>
      <c r="H80" s="90" t="e">
        <f t="shared" si="30"/>
        <v>#DIV/0!</v>
      </c>
      <c r="I80" s="88">
        <f>ROUND(HLOOKUP($I$2,bs!$C$1:$AA$110,MATCH("*"&amp;B80&amp;"*",bs!$B$1:$B$110,),FALSE),0)/IF(ISNUMBER(SEARCH("亿", $B$1)), 100000000,
IF(ISNUMBER(SEARCH("万", $B$1)), 10000, 1))</f>
        <v>0</v>
      </c>
      <c r="J80" s="90" t="e">
        <f t="shared" si="31"/>
        <v>#DIV/0!</v>
      </c>
      <c r="L80" s="96" t="e">
        <f t="shared" si="32"/>
        <v>#DIV/0!</v>
      </c>
      <c r="M80" s="168" t="s">
        <v>824</v>
      </c>
      <c r="N80" t="str">
        <f>CONCATENATE(TEXT($I$2,"YYYY"),"年-",TEXT($E$2,"YYYY"),"年及",TEXT($C$2,"YYYY年MM月"),"，","拟承租人",B80,"分别为",TEXT(I80,"#,##0.00"),"万元、",TEXT(G80,"#,##0.00"),"万元、",TEXT(E80,"#,##0.00"),"万元及",TEXT(C80,"#,##0.00"),"万元。")</f>
        <v>2021年-2023年及2024年12月，拟承租人负债合计分别为0.00万元、0.00万元、0.00万元及0.00万元。</v>
      </c>
      <c r="O80" t="str">
        <f>CONCATENATE(TEXT($I$2,"YYYY"),"年-",TEXT($E$2,"YYYY"),"年及",TEXT($C$2,"YYYY年MM月"),"，","拟承租人",M80,"分别为",TEXT(I80,"#,##0.00"),"万元、",TEXT(G80,"#,##0.00"),"万元、",TEXT(E80,"#,##0.00"),"万元及",TEXT(C80,"#,##0.00"),"万元。")</f>
        <v>2021年-2023年及2024年12月，拟承租人总负债分别为0.00万元、0.00万元、0.00万元及0.00万元。</v>
      </c>
    </row>
    <row r="81" spans="2:15">
      <c r="B81" s="91"/>
      <c r="C81" s="92"/>
      <c r="D81" s="93"/>
      <c r="E81" s="92"/>
      <c r="F81" s="93"/>
      <c r="G81" s="94"/>
      <c r="H81" s="93"/>
      <c r="I81" s="94" t="str">
        <f>B1</f>
        <v>单位：万元</v>
      </c>
      <c r="J81" s="93"/>
      <c r="L81" s="96"/>
      <c r="M81" s="96"/>
    </row>
    <row r="82" spans="2:15">
      <c r="B82" s="191" t="s">
        <v>527</v>
      </c>
      <c r="C82" s="189">
        <f>C2</f>
        <v>45657</v>
      </c>
      <c r="D82" s="190"/>
      <c r="E82" s="189">
        <f>E2</f>
        <v>45291</v>
      </c>
      <c r="F82" s="190"/>
      <c r="G82" s="189">
        <f>G2</f>
        <v>44926</v>
      </c>
      <c r="H82" s="190"/>
      <c r="I82" s="189">
        <f>I2</f>
        <v>44561</v>
      </c>
      <c r="J82" s="190"/>
      <c r="L82" s="96"/>
      <c r="M82" s="96"/>
    </row>
    <row r="83" spans="2:15">
      <c r="B83" s="191"/>
      <c r="C83" s="84" t="s">
        <v>715</v>
      </c>
      <c r="D83" s="84" t="s">
        <v>716</v>
      </c>
      <c r="E83" s="84" t="s">
        <v>715</v>
      </c>
      <c r="F83" s="84" t="s">
        <v>716</v>
      </c>
      <c r="G83" s="84" t="s">
        <v>715</v>
      </c>
      <c r="H83" s="84" t="s">
        <v>716</v>
      </c>
      <c r="I83" s="84" t="s">
        <v>715</v>
      </c>
      <c r="J83" s="84" t="s">
        <v>716</v>
      </c>
      <c r="L83" s="96"/>
      <c r="M83" s="96"/>
    </row>
    <row r="84" spans="2:15">
      <c r="B84" s="85" t="s">
        <v>740</v>
      </c>
      <c r="C84" s="86">
        <f>ROUND(HLOOKUP($C$2,bs!$C$1:$AA$110,MATCH("*"&amp;B84&amp;"*",bs!$B$1:$B$110,),FALSE),0)/IF(ISNUMBER(SEARCH("亿", $B$1)), 100000000,
IF(ISNUMBER(SEARCH("万", $B$1)), 10000, 1))</f>
        <v>0</v>
      </c>
      <c r="D84" s="87" t="e">
        <f t="shared" ref="D84:D92" si="34">C84/$C$92</f>
        <v>#DIV/0!</v>
      </c>
      <c r="E84" s="86">
        <f>ROUND(HLOOKUP($E$2,bs!$C$1:$AA$110,MATCH("*"&amp;B84&amp;"*",bs!$B$1:$B$110,),FALSE),0)/IF(ISNUMBER(SEARCH("亿", $B$1)), 100000000,
IF(ISNUMBER(SEARCH("万", $B$1)), 10000, 1))</f>
        <v>0</v>
      </c>
      <c r="F84" s="87" t="e">
        <f t="shared" ref="F84:F92" si="35">E84/$E$92</f>
        <v>#DIV/0!</v>
      </c>
      <c r="G84" s="88">
        <f>ROUND(HLOOKUP($G$2,bs!$C$1:$AA$110,MATCH("*"&amp;B84&amp;"*",bs!$B$1:$B$110,),FALSE),0)/IF(ISNUMBER(SEARCH("亿", $B$1)), 100000000,
IF(ISNUMBER(SEARCH("万", $B$1)), 10000, 1))</f>
        <v>0</v>
      </c>
      <c r="H84" s="87" t="e">
        <f t="shared" ref="H84:H92" si="36">G84/$G$92</f>
        <v>#DIV/0!</v>
      </c>
      <c r="I84" s="88">
        <f>ROUND(HLOOKUP($I$2,bs!$C$1:$AA$110,MATCH("*"&amp;B84&amp;"*",bs!$B$1:$B$110,),FALSE),0)/IF(ISNUMBER(SEARCH("亿", $B$1)), 100000000,
IF(ISNUMBER(SEARCH("万", $B$1)), 10000, 1))</f>
        <v>0</v>
      </c>
      <c r="J84" s="87" t="e">
        <f t="shared" ref="J84:J92" si="37">I84/$I$92</f>
        <v>#DIV/0!</v>
      </c>
      <c r="L84" s="96" t="e">
        <f t="shared" si="32"/>
        <v>#DIV/0!</v>
      </c>
      <c r="M84" s="96" t="str">
        <f t="shared" si="33"/>
        <v>实收资本（或股本）</v>
      </c>
      <c r="N84" t="e">
        <f>CONCATENATE(M84,":",TEXT($I$2,"YYYY"),"年-",TEXT($E$2,"YYYY"),"年及",TEXT($C$2,"YYYY年MM月"),"，","拟承租人"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>#DIV/0!</v>
      </c>
    </row>
    <row r="85" spans="2:15">
      <c r="B85" s="85" t="s">
        <v>741</v>
      </c>
      <c r="C85" s="86">
        <f>ROUND(HLOOKUP($C$2,bs!$C$1:$AA$110,MATCH("*"&amp;B85&amp;"*",bs!$B$1:$B$110,),FALSE),0)/IF(ISNUMBER(SEARCH("亿", $B$1)), 100000000,
IF(ISNUMBER(SEARCH("万", $B$1)), 10000, 1))</f>
        <v>0</v>
      </c>
      <c r="D85" s="87" t="e">
        <f t="shared" si="34"/>
        <v>#DIV/0!</v>
      </c>
      <c r="E85" s="86">
        <f>ROUND(HLOOKUP($E$2,bs!$C$1:$AA$110,MATCH("*"&amp;B85&amp;"*",bs!$B$1:$B$110,),FALSE),0)/IF(ISNUMBER(SEARCH("亿", $B$1)), 100000000,
IF(ISNUMBER(SEARCH("万", $B$1)), 10000, 1))</f>
        <v>0</v>
      </c>
      <c r="F85" s="87" t="e">
        <f t="shared" si="35"/>
        <v>#DIV/0!</v>
      </c>
      <c r="G85" s="88">
        <f>ROUND(HLOOKUP($G$2,bs!$C$1:$AA$110,MATCH("*"&amp;B85&amp;"*",bs!$B$1:$B$110,),FALSE),0)/IF(ISNUMBER(SEARCH("亿", $B$1)), 100000000,
IF(ISNUMBER(SEARCH("万", $B$1)), 10000, 1))</f>
        <v>0</v>
      </c>
      <c r="H85" s="87" t="e">
        <f t="shared" si="36"/>
        <v>#DIV/0!</v>
      </c>
      <c r="I85" s="88">
        <f>ROUND(HLOOKUP($I$2,bs!$C$1:$AA$110,MATCH("*"&amp;B85&amp;"*",bs!$B$1:$B$110,),FALSE),0)/IF(ISNUMBER(SEARCH("亿", $B$1)), 100000000,
IF(ISNUMBER(SEARCH("万", $B$1)), 10000, 1))</f>
        <v>0</v>
      </c>
      <c r="J85" s="87" t="e">
        <f t="shared" si="37"/>
        <v>#DIV/0!</v>
      </c>
      <c r="L85" s="96" t="e">
        <f t="shared" si="32"/>
        <v>#DIV/0!</v>
      </c>
      <c r="M85" s="96" t="str">
        <f t="shared" si="33"/>
        <v>其他权益工具</v>
      </c>
    </row>
    <row r="86" spans="2:15">
      <c r="B86" s="85" t="s">
        <v>742</v>
      </c>
      <c r="C86" s="86">
        <f>ROUND(HLOOKUP($C$2,bs!$C$1:$AA$110,MATCH("*"&amp;B86&amp;"*",bs!$B$1:$B$110,),FALSE),0)/IF(ISNUMBER(SEARCH("亿", $B$1)), 100000000,
IF(ISNUMBER(SEARCH("万", $B$1)), 10000, 1))</f>
        <v>0</v>
      </c>
      <c r="D86" s="87" t="e">
        <f t="shared" si="34"/>
        <v>#DIV/0!</v>
      </c>
      <c r="E86" s="86">
        <f>ROUND(HLOOKUP($E$2,bs!$C$1:$AA$110,MATCH("*"&amp;B86&amp;"*",bs!$B$1:$B$110,),FALSE),0)/IF(ISNUMBER(SEARCH("亿", $B$1)), 100000000,
IF(ISNUMBER(SEARCH("万", $B$1)), 10000, 1))</f>
        <v>0</v>
      </c>
      <c r="F86" s="87" t="e">
        <f t="shared" si="35"/>
        <v>#DIV/0!</v>
      </c>
      <c r="G86" s="88">
        <f>ROUND(HLOOKUP($G$2,bs!$C$1:$AA$110,MATCH("*"&amp;B86&amp;"*",bs!$B$1:$B$110,),FALSE),0)/IF(ISNUMBER(SEARCH("亿", $B$1)), 100000000,
IF(ISNUMBER(SEARCH("万", $B$1)), 10000, 1))</f>
        <v>0</v>
      </c>
      <c r="H86" s="87" t="e">
        <f t="shared" si="36"/>
        <v>#DIV/0!</v>
      </c>
      <c r="I86" s="88">
        <f>ROUND(HLOOKUP($I$2,bs!$C$1:$AA$110,MATCH("*"&amp;B86&amp;"*",bs!$B$1:$B$110,),FALSE),0)/IF(ISNUMBER(SEARCH("亿", $B$1)), 100000000,
IF(ISNUMBER(SEARCH("万", $B$1)), 10000, 1))</f>
        <v>0</v>
      </c>
      <c r="J86" s="87" t="e">
        <f t="shared" si="37"/>
        <v>#DIV/0!</v>
      </c>
      <c r="L86" s="96" t="e">
        <f t="shared" si="32"/>
        <v>#DIV/0!</v>
      </c>
      <c r="M86" s="96" t="str">
        <f t="shared" si="33"/>
        <v>资本公积</v>
      </c>
      <c r="N86" t="e">
        <f>CONCATENATE(M86,":",TEXT($I$2,"YYYY"),"年-",TEXT($E$2,"YYYY"),"年及",TEXT($C$2,"YYYY年MM月"),"，","拟承租人",B86,"分别为",TEXT(I86,"#,##0.00"),"万元、",TEXT(G86,"#,##0.00"),"万元、",TEXT(E86,"#,##0.00"),"万元及",TEXT(C86,"#,##0.00"),"万元，","占净资产的比重分别为",TEXT(J86,"0.00%"),"、",TEXT(H86,"0.00%"),"、",TEXT(F86,"0.00%"),"和",TEXT(D86,"0.00%"),"。")</f>
        <v>#DIV/0!</v>
      </c>
    </row>
    <row r="87" spans="2:15">
      <c r="B87" s="85" t="s">
        <v>392</v>
      </c>
      <c r="C87" s="86">
        <f>ROUND(HLOOKUP($C$2,bs!$C$1:$AA$110,MATCH("*"&amp;B87&amp;"*",bs!$B$1:$B$110,),FALSE),0)/IF(ISNUMBER(SEARCH("亿", $B$1)), 100000000,
IF(ISNUMBER(SEARCH("万", $B$1)), 10000, 1))</f>
        <v>0</v>
      </c>
      <c r="D87" s="87" t="e">
        <f t="shared" si="34"/>
        <v>#DIV/0!</v>
      </c>
      <c r="E87" s="86">
        <f>ROUND(HLOOKUP($E$2,bs!$C$1:$AA$110,MATCH("*"&amp;B87&amp;"*",bs!$B$1:$B$110,),FALSE),0)/IF(ISNUMBER(SEARCH("亿", $B$1)), 100000000,
IF(ISNUMBER(SEARCH("万", $B$1)), 10000, 1))</f>
        <v>0</v>
      </c>
      <c r="F87" s="87" t="e">
        <f t="shared" si="35"/>
        <v>#DIV/0!</v>
      </c>
      <c r="G87" s="88">
        <f>ROUND(HLOOKUP($G$2,bs!$C$1:$AA$110,MATCH("*"&amp;B87&amp;"*",bs!$B$1:$B$110,),FALSE),0)/IF(ISNUMBER(SEARCH("亿", $B$1)), 100000000,
IF(ISNUMBER(SEARCH("万", $B$1)), 10000, 1))</f>
        <v>0</v>
      </c>
      <c r="H87" s="87" t="e">
        <f t="shared" si="36"/>
        <v>#DIV/0!</v>
      </c>
      <c r="I87" s="88">
        <f>ROUND(HLOOKUP($I$2,bs!$C$1:$AA$110,MATCH("*"&amp;B87&amp;"*",bs!$B$1:$B$110,),FALSE),0)/IF(ISNUMBER(SEARCH("亿", $B$1)), 100000000,
IF(ISNUMBER(SEARCH("万", $B$1)), 10000, 1))</f>
        <v>0</v>
      </c>
      <c r="J87" s="87" t="e">
        <f t="shared" si="37"/>
        <v>#DIV/0!</v>
      </c>
      <c r="L87" s="96" t="e">
        <f t="shared" si="32"/>
        <v>#DIV/0!</v>
      </c>
      <c r="M87" s="96" t="str">
        <f t="shared" si="33"/>
        <v xml:space="preserve">  其他综合收益 </v>
      </c>
    </row>
    <row r="88" spans="2:15">
      <c r="B88" s="85" t="s">
        <v>743</v>
      </c>
      <c r="C88" s="86">
        <f>ROUND(HLOOKUP($C$2,bs!$C$1:$AA$110,MATCH("*"&amp;B88&amp;"*",bs!$B$1:$B$110,),FALSE),0)/IF(ISNUMBER(SEARCH("亿", $B$1)), 100000000,
IF(ISNUMBER(SEARCH("万", $B$1)), 10000, 1))</f>
        <v>0</v>
      </c>
      <c r="D88" s="87" t="e">
        <f t="shared" si="34"/>
        <v>#DIV/0!</v>
      </c>
      <c r="E88" s="86">
        <f>ROUND(HLOOKUP($E$2,bs!$C$1:$AA$110,MATCH("*"&amp;B88&amp;"*",bs!$B$1:$B$110,),FALSE),0)/IF(ISNUMBER(SEARCH("亿", $B$1)), 100000000,
IF(ISNUMBER(SEARCH("万", $B$1)), 10000, 1))</f>
        <v>0</v>
      </c>
      <c r="F88" s="87" t="e">
        <f t="shared" si="35"/>
        <v>#DIV/0!</v>
      </c>
      <c r="G88" s="88">
        <f>ROUND(HLOOKUP($G$2,bs!$C$1:$AA$110,MATCH("*"&amp;B88&amp;"*",bs!$B$1:$B$110,),FALSE),0)/IF(ISNUMBER(SEARCH("亿", $B$1)), 100000000,
IF(ISNUMBER(SEARCH("万", $B$1)), 10000, 1))</f>
        <v>0</v>
      </c>
      <c r="H88" s="87" t="e">
        <f t="shared" si="36"/>
        <v>#DIV/0!</v>
      </c>
      <c r="I88" s="88">
        <f>ROUND(HLOOKUP($I$2,bs!$C$1:$AA$110,MATCH("*"&amp;B88&amp;"*",bs!$B$1:$B$110,),FALSE),0)/IF(ISNUMBER(SEARCH("亿", $B$1)), 100000000,
IF(ISNUMBER(SEARCH("万", $B$1)), 10000, 1))</f>
        <v>0</v>
      </c>
      <c r="J88" s="87" t="e">
        <f t="shared" si="37"/>
        <v>#DIV/0!</v>
      </c>
      <c r="L88" s="96" t="e">
        <f t="shared" si="32"/>
        <v>#DIV/0!</v>
      </c>
      <c r="M88" s="96" t="str">
        <f t="shared" si="33"/>
        <v>盈余公积</v>
      </c>
      <c r="N88" t="e">
        <f>CONCATENATE(TEXT($I$2,"YYYY"),"年-",TEXT($E$2,"YYYY"),"年及",TEXT($C$2,"YYYY年MM月"),"，","拟承租人",B88,"分别为",TEXT(I88,"#,##0.00"),"万元、",TEXT(G88,"#,##0.00"),"万元、",TEXT(E88,"#,##0.00"),"万元及",TEXT(C88,"#,##0.00"),"万元，","占净资产的比重分别为",TEXT(J88,"0.00%"),"、",TEXT(H88,"0.00%"),"、",TEXT(F88,"0.00%"),"和",TEXT(D88,"0.00%"),"。")</f>
        <v>#DIV/0!</v>
      </c>
    </row>
    <row r="89" spans="2:15">
      <c r="B89" s="85" t="s">
        <v>744</v>
      </c>
      <c r="C89" s="86">
        <f>ROUND(HLOOKUP($C$2,bs!$C$1:$AA$110,MATCH("*"&amp;B89&amp;"*",bs!$B$1:$B$110,),FALSE),0)/IF(ISNUMBER(SEARCH("亿", $B$1)), 100000000,
IF(ISNUMBER(SEARCH("万", $B$1)), 10000, 1))</f>
        <v>0</v>
      </c>
      <c r="D89" s="87" t="e">
        <f t="shared" si="34"/>
        <v>#DIV/0!</v>
      </c>
      <c r="E89" s="86">
        <f>ROUND(HLOOKUP($E$2,bs!$C$1:$AA$110,MATCH("*"&amp;B89&amp;"*",bs!$B$1:$B$110,),FALSE),0)/IF(ISNUMBER(SEARCH("亿", $B$1)), 100000000,
IF(ISNUMBER(SEARCH("万", $B$1)), 10000, 1))</f>
        <v>0</v>
      </c>
      <c r="F89" s="87" t="e">
        <f t="shared" si="35"/>
        <v>#DIV/0!</v>
      </c>
      <c r="G89" s="88">
        <f>ROUND(HLOOKUP($G$2,bs!$C$1:$AA$110,MATCH("*"&amp;B89&amp;"*",bs!$B$1:$B$110,),FALSE),0)/IF(ISNUMBER(SEARCH("亿", $B$1)), 100000000,
IF(ISNUMBER(SEARCH("万", $B$1)), 10000, 1))</f>
        <v>0</v>
      </c>
      <c r="H89" s="87" t="e">
        <f t="shared" si="36"/>
        <v>#DIV/0!</v>
      </c>
      <c r="I89" s="88">
        <f>ROUND(HLOOKUP($I$2,bs!$C$1:$AA$110,MATCH("*"&amp;B89&amp;"*",bs!$B$1:$B$110,),FALSE),0)/IF(ISNUMBER(SEARCH("亿", $B$1)), 100000000,
IF(ISNUMBER(SEARCH("万", $B$1)), 10000, 1))</f>
        <v>0</v>
      </c>
      <c r="J89" s="87" t="e">
        <f t="shared" si="37"/>
        <v>#DIV/0!</v>
      </c>
      <c r="L89" s="96" t="e">
        <f t="shared" si="32"/>
        <v>#DIV/0!</v>
      </c>
      <c r="M89" s="96" t="str">
        <f t="shared" si="33"/>
        <v>未分配利润</v>
      </c>
      <c r="N89" t="e">
        <f>CONCATENATE(M89,":",TEXT($I$2,"YYYY"),"年-",TEXT($E$2,"YYYY"),"年及",TEXT($C$2,"YYYY年MM月"),"，","拟承租人",B89,"分别为",TEXT(I89,"#,##0.00"),"万元、",TEXT(G89,"#,##0.00"),"万元、",TEXT(E89,"#,##0.00"),"万元及",TEXT(C89,"#,##0.00"),"万元，","占净资产的比重分别为",TEXT(J89,"0.00%"),"、",TEXT(H89,"0.00%"),"、",TEXT(F89,"0.00%"),"和",TEXT(D89,"0.00%"),"。")</f>
        <v>#DIV/0!</v>
      </c>
    </row>
    <row r="90" spans="2:15" ht="34">
      <c r="B90" s="89" t="s">
        <v>397</v>
      </c>
      <c r="C90" s="86">
        <f>ROUND(HLOOKUP($C$2,bs!$C$1:$AA$110,MATCH("*"&amp;B90&amp;"*",bs!$B$1:$B$110,),FALSE),0)/IF(ISNUMBER(SEARCH("亿", $B$1)), 100000000,
IF(ISNUMBER(SEARCH("万", $B$1)), 10000, 1))</f>
        <v>0</v>
      </c>
      <c r="D90" s="90" t="e">
        <f t="shared" si="34"/>
        <v>#DIV/0!</v>
      </c>
      <c r="E90" s="86">
        <f>ROUND(HLOOKUP($E$2,bs!$C$1:$AA$110,MATCH("*"&amp;B90&amp;"*",bs!$B$1:$B$110,),FALSE),0)/IF(ISNUMBER(SEARCH("亿", $B$1)), 100000000,
IF(ISNUMBER(SEARCH("万", $B$1)), 10000, 1))</f>
        <v>0</v>
      </c>
      <c r="F90" s="90" t="e">
        <f t="shared" si="35"/>
        <v>#DIV/0!</v>
      </c>
      <c r="G90" s="88">
        <f>ROUND(HLOOKUP($G$2,bs!$C$1:$AA$110,MATCH("*"&amp;B90&amp;"*",bs!$B$1:$B$110,),FALSE),0)/IF(ISNUMBER(SEARCH("亿", $B$1)), 100000000,
IF(ISNUMBER(SEARCH("万", $B$1)), 10000, 1))</f>
        <v>0</v>
      </c>
      <c r="H90" s="90" t="e">
        <f t="shared" si="36"/>
        <v>#DIV/0!</v>
      </c>
      <c r="I90" s="88">
        <f>ROUND(HLOOKUP($I$2,bs!$C$1:$AA$110,MATCH("*"&amp;B90&amp;"*",bs!$B$1:$B$110,),FALSE),0)/IF(ISNUMBER(SEARCH("亿", $B$1)), 100000000,
IF(ISNUMBER(SEARCH("万", $B$1)), 10000, 1))</f>
        <v>0</v>
      </c>
      <c r="J90" s="90" t="e">
        <f t="shared" si="37"/>
        <v>#DIV/0!</v>
      </c>
      <c r="L90" s="96" t="e">
        <f t="shared" si="32"/>
        <v>#DIV/0!</v>
      </c>
      <c r="M90" s="96" t="str">
        <f t="shared" si="33"/>
        <v>归属于母公司所有者权益（或股东权益）合计</v>
      </c>
      <c r="N90" t="e">
        <f>CONCATENATE(M90,":",TEXT($I$2,"YYYY"),"年-",TEXT($E$2,"YYYY"),"年及",TEXT($C$2,"YYYY年MM月"),"，","拟承租人",B90,"分别为",TEXT(I90,"#,##0.00"),"万元、",TEXT(G90,"#,##0.00"),"万元、",TEXT(E90,"#,##0.00"),"万元及",TEXT(C90,"#,##0.00"),"万元，","占净资产的比重分别为",TEXT(J90,"0.00%"),"、",TEXT(H90,"0.00%"),"、",TEXT(F90,"0.00%"),"和",TEXT(D90,"0.00%"),"。")</f>
        <v>#DIV/0!</v>
      </c>
    </row>
    <row r="91" spans="2:15">
      <c r="B91" s="89" t="s">
        <v>745</v>
      </c>
      <c r="C91" s="86">
        <f>ROUND(HLOOKUP($C$2,bs!$C$1:$AA$110,MATCH("*"&amp;B91&amp;"*",bs!$B$1:$B$110,),FALSE),0)/IF(ISNUMBER(SEARCH("亿", $B$1)), 100000000,
IF(ISNUMBER(SEARCH("万", $B$1)), 10000, 1))</f>
        <v>0</v>
      </c>
      <c r="D91" s="87" t="e">
        <f t="shared" si="34"/>
        <v>#DIV/0!</v>
      </c>
      <c r="E91" s="86">
        <f>ROUND(HLOOKUP($E$2,bs!$C$1:$AA$110,MATCH("*"&amp;B91&amp;"*",bs!$B$1:$B$110,),FALSE),0)/IF(ISNUMBER(SEARCH("亿", $B$1)), 100000000,
IF(ISNUMBER(SEARCH("万", $B$1)), 10000, 1))</f>
        <v>0</v>
      </c>
      <c r="F91" s="87" t="e">
        <f t="shared" si="35"/>
        <v>#DIV/0!</v>
      </c>
      <c r="G91" s="88">
        <f>ROUND(HLOOKUP($G$2,bs!$C$1:$AA$110,MATCH("*"&amp;B91&amp;"*",bs!$B$1:$B$110,),FALSE),0)/IF(ISNUMBER(SEARCH("亿", $B$1)), 100000000,
IF(ISNUMBER(SEARCH("万", $B$1)), 10000, 1))</f>
        <v>0</v>
      </c>
      <c r="H91" s="87" t="e">
        <f t="shared" si="36"/>
        <v>#DIV/0!</v>
      </c>
      <c r="I91" s="88">
        <f>ROUND(HLOOKUP($I$2,bs!$C$1:$AA$110,MATCH("*"&amp;B91&amp;"*",bs!$B$1:$B$110,),FALSE),0)/IF(ISNUMBER(SEARCH("亿", $B$1)), 100000000,
IF(ISNUMBER(SEARCH("万", $B$1)), 10000, 1))</f>
        <v>0</v>
      </c>
      <c r="J91" s="87" t="e">
        <f t="shared" si="37"/>
        <v>#DIV/0!</v>
      </c>
      <c r="L91" s="96" t="e">
        <f t="shared" si="32"/>
        <v>#DIV/0!</v>
      </c>
      <c r="M91" s="96" t="str">
        <f t="shared" si="33"/>
        <v>少数股东权益</v>
      </c>
      <c r="N91" t="e">
        <f>CONCATENATE(TEXT($I$2,"YYYY"),"年-",TEXT($E$2,"YYYY"),"年及",TEXT($C$2,"YYYY年MM月"),"，","拟承租人",B91,"分别为",O93,"万元、",O96,"万元、",TEXT(E91,"#,##0.00"),"万元及",TEXT(C91,"#,##0.00"),"万元，","占净资产的比重分别为",TEXT(J91,"0.00%"),"、",TEXT(H91,"0.00%"),"、",TEXT(F91,"0.00%"),"和",TEXT(D91,"0.00%"),"。")</f>
        <v>#DIV/0!</v>
      </c>
    </row>
    <row r="92" spans="2:15" ht="22.7">
      <c r="B92" s="89" t="s">
        <v>837</v>
      </c>
      <c r="C92" s="86">
        <f>ROUND(HLOOKUP($C$2,bs!$C$1:$AA$110,MATCH("*"&amp;B92&amp;"*",bs!$B$1:$B$110,),FALSE),0)/IF(ISNUMBER(SEARCH("亿", $B$1)), 100000000,
IF(ISNUMBER(SEARCH("万", $B$1)), 10000, 1))</f>
        <v>0</v>
      </c>
      <c r="D92" s="90" t="e">
        <f t="shared" si="34"/>
        <v>#DIV/0!</v>
      </c>
      <c r="E92" s="86">
        <f>ROUND(HLOOKUP($E$2,bs!$C$1:$AA$110,MATCH("*"&amp;B92&amp;"*",bs!$B$1:$B$110,),FALSE),0)/IF(ISNUMBER(SEARCH("亿", $B$1)), 100000000,
IF(ISNUMBER(SEARCH("万", $B$1)), 10000, 1))</f>
        <v>0</v>
      </c>
      <c r="F92" s="90" t="e">
        <f t="shared" si="35"/>
        <v>#DIV/0!</v>
      </c>
      <c r="G92" s="88">
        <f>ROUND(HLOOKUP($G$2,bs!$C$1:$AA$110,MATCH("*"&amp;B92&amp;"*",bs!$B$1:$B$110,),FALSE),0)/IF(ISNUMBER(SEARCH("亿", $B$1)), 100000000,
IF(ISNUMBER(SEARCH("万", $B$1)), 10000, 1))</f>
        <v>0</v>
      </c>
      <c r="H92" s="90" t="e">
        <f t="shared" si="36"/>
        <v>#DIV/0!</v>
      </c>
      <c r="I92" s="88">
        <f>ROUND(HLOOKUP($I$2,bs!$C$1:$AA$110,MATCH("*"&amp;B92&amp;"*",bs!$B$1:$B$110,),FALSE),0)/IF(ISNUMBER(SEARCH("亿", $B$1)), 100000000,
IF(ISNUMBER(SEARCH("万", $B$1)), 10000, 1))</f>
        <v>0</v>
      </c>
      <c r="J92" s="90" t="e">
        <f t="shared" si="37"/>
        <v>#DIV/0!</v>
      </c>
      <c r="L92" s="96" t="e">
        <f t="shared" si="32"/>
        <v>#DIV/0!</v>
      </c>
      <c r="M92" s="169" t="s">
        <v>838</v>
      </c>
      <c r="O92" t="str">
        <f>CONCATENATE(TEXT($I$2,"YYYY"),"年-",TEXT($E$2,"YYYY"),"年及",TEXT($C$2,"YYYY年MM月"),"，","拟承租人",B92,"分别为",TEXT(I92,"#,##0.00"),"万元、",TEXT(G92,"#,##0.00"),"万元、",TEXT(E92,"#,##0.00"),"万元及",TEXT(C92,"#,##0.00"),"万元。")</f>
        <v>2021年-2023年及2024年12月，拟承租人所有者权益（或股东权益）合计分别为0.00万元、0.00万元、0.00万元及0.00万元。</v>
      </c>
    </row>
    <row r="95" spans="2:15">
      <c r="B95" s="82" t="s">
        <v>820</v>
      </c>
    </row>
    <row r="96" spans="2:15">
      <c r="B96" s="82" t="s">
        <v>821</v>
      </c>
    </row>
    <row r="97" spans="2:2">
      <c r="B97" s="82" t="s">
        <v>822</v>
      </c>
    </row>
    <row r="98" spans="2:2">
      <c r="B98" s="82" t="s">
        <v>823</v>
      </c>
    </row>
  </sheetData>
  <autoFilter ref="L3:L92" xr:uid="{00000000-0009-0000-0000-000008000000}"/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47:B48"/>
    <mergeCell ref="B82:B83"/>
    <mergeCell ref="C47:D47"/>
    <mergeCell ref="E47:F47"/>
    <mergeCell ref="G47:H47"/>
    <mergeCell ref="I47:J47"/>
    <mergeCell ref="C82:D82"/>
    <mergeCell ref="E82:F82"/>
    <mergeCell ref="G82:H82"/>
    <mergeCell ref="I82:J82"/>
    <mergeCell ref="B1:J1"/>
    <mergeCell ref="C2:D2"/>
    <mergeCell ref="E2:F2"/>
    <mergeCell ref="G2:H2"/>
    <mergeCell ref="I2:J2"/>
    <mergeCell ref="B2:B3"/>
  </mergeCells>
  <phoneticPr fontId="49" type="noConversion"/>
  <conditionalFormatting sqref="D4:D17 D22:D43">
    <cfRule type="top10" priority="6" percent="1" rank="50"/>
    <cfRule type="top10" dxfId="4" priority="5" percent="1" rank="25"/>
  </conditionalFormatting>
  <conditionalFormatting sqref="F4:F17 F22:F43">
    <cfRule type="top10" dxfId="3" priority="4" percent="1" rank="20"/>
  </conditionalFormatting>
  <conditionalFormatting sqref="H19:H43 H4:H17">
    <cfRule type="cellIs" dxfId="2" priority="3" operator="greaterThan">
      <formula>0.05</formula>
    </cfRule>
  </conditionalFormatting>
  <conditionalFormatting sqref="J4:J17 J22:J43">
    <cfRule type="cellIs" dxfId="1" priority="2" operator="greaterThan">
      <formula>0.05</formula>
    </cfRule>
  </conditionalFormatting>
  <conditionalFormatting sqref="D4:D17 D22:D43 F4:F17 F22:F43 H4:H17 H28:H43 J4:J17 J22:J43">
    <cfRule type="cellIs" dxfId="0" priority="1" operator="greaterThan">
      <formula>0.02</formula>
    </cfRule>
  </conditionalFormatting>
  <dataValidations count="1">
    <dataValidation type="list" allowBlank="1" showInputMessage="1" showErrorMessage="1" sqref="B1" xr:uid="{00000000-0002-0000-0800-000000000000}">
      <formula1>"单位：元,单位：万元,单位：亿元"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16"/>
  <sheetViews>
    <sheetView topLeftCell="D1" workbookViewId="0">
      <selection activeCell="H7" sqref="H7:K7"/>
    </sheetView>
  </sheetViews>
  <sheetFormatPr defaultColWidth="9" defaultRowHeight="12.7"/>
  <cols>
    <col min="1" max="1" width="36.29296875" customWidth="1"/>
    <col min="2" max="2" width="19.5859375" customWidth="1"/>
    <col min="3" max="3" width="17.29296875" customWidth="1"/>
    <col min="4" max="4" width="17.703125" customWidth="1"/>
    <col min="5" max="5" width="17.29296875" customWidth="1"/>
    <col min="6" max="6" width="14.29296875" customWidth="1"/>
    <col min="7" max="7" width="26.703125" customWidth="1"/>
    <col min="8" max="8" width="13.29296875" customWidth="1"/>
    <col min="9" max="9" width="13.5859375" customWidth="1"/>
    <col min="10" max="10" width="14.29296875" customWidth="1"/>
    <col min="11" max="11" width="13.5859375" customWidth="1"/>
  </cols>
  <sheetData>
    <row r="1" spans="1:13" ht="15.35">
      <c r="A1" s="70" t="s">
        <v>527</v>
      </c>
      <c r="B1" s="71">
        <f>'财务分析（2022）版'!B3</f>
        <v>45657</v>
      </c>
      <c r="C1" s="71">
        <f>'财务分析（2022）版'!C3</f>
        <v>45291</v>
      </c>
      <c r="D1" s="71">
        <f>'财务分析（2022）版'!D3</f>
        <v>44926</v>
      </c>
      <c r="E1" s="72">
        <f>'财务分析（2022）版'!E3</f>
        <v>44561</v>
      </c>
      <c r="F1" t="s">
        <v>533</v>
      </c>
      <c r="G1" s="74" t="str">
        <f>A1</f>
        <v>项目</v>
      </c>
      <c r="H1" s="170">
        <f>B1</f>
        <v>45657</v>
      </c>
      <c r="I1" s="170">
        <f>C1</f>
        <v>45291</v>
      </c>
      <c r="J1" s="170">
        <f>D1</f>
        <v>44926</v>
      </c>
      <c r="K1" s="171">
        <f>E1</f>
        <v>44561</v>
      </c>
    </row>
    <row r="2" spans="1:13" ht="15.35">
      <c r="A2" s="70" t="s">
        <v>746</v>
      </c>
      <c r="B2" s="73">
        <f>B3-B4</f>
        <v>0</v>
      </c>
      <c r="C2" s="73">
        <f>C3-C4</f>
        <v>0</v>
      </c>
      <c r="D2" s="73">
        <f>D3-D4</f>
        <v>0</v>
      </c>
      <c r="E2" s="73">
        <f>E3-E4</f>
        <v>0</v>
      </c>
      <c r="G2" s="74" t="str">
        <f t="shared" ref="G2:G11" si="0">A2</f>
        <v>经营活动现金流量净额</v>
      </c>
      <c r="H2" s="75">
        <f t="shared" ref="H2:H11" si="1">ROUND(B2,0)/IF(LEN($F$1)&gt;4,10000,1)</f>
        <v>0</v>
      </c>
      <c r="I2" s="75">
        <f t="shared" ref="I2:I11" si="2">ROUND(C2,0)/IF(LEN($F$1)&gt;4,10000,1)</f>
        <v>0</v>
      </c>
      <c r="J2" s="75">
        <f>ROUND(D2,0)/IF(LEN($F$1)&gt;4,10000,1)</f>
        <v>0</v>
      </c>
      <c r="K2" s="75">
        <f t="shared" ref="K2:K11" si="3">ROUND(E2,0)/IF(LEN($F$1)&gt;4,10000,1)</f>
        <v>0</v>
      </c>
      <c r="M2" t="str">
        <f t="shared" ref="M2:M11" si="4"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spans="1:13" ht="15.35">
      <c r="A3" s="76" t="s">
        <v>747</v>
      </c>
      <c r="B3" s="77">
        <f>HLOOKUP(B1,cf!$C$1:$Z$57,MATCH("*"&amp;A3&amp;"*",cf!$B$1:$B$68,),FALSE)</f>
        <v>0</v>
      </c>
      <c r="C3" s="77">
        <f>HLOOKUP(C1,cf!$C$1:$Z$57,MATCH("*"&amp;A3&amp;"*",cf!$B$1:$B$68,),FALSE)</f>
        <v>0</v>
      </c>
      <c r="D3" s="77">
        <f>HLOOKUP(D1,cf!$C$1:$Z$57,MATCH("*"&amp;A3&amp;"*",cf!$B$1:$B$68,),FALSE)</f>
        <v>0</v>
      </c>
      <c r="E3" s="77">
        <f>HLOOKUP(E1,cf!$C$1:$Z$57,MATCH("*"&amp;A3&amp;"*",cf!$B$1:$B$68,),FALSE)</f>
        <v>0</v>
      </c>
      <c r="G3" s="78" t="str">
        <f t="shared" si="0"/>
        <v>经营活动现金流入</v>
      </c>
      <c r="H3" s="79">
        <f t="shared" si="1"/>
        <v>0</v>
      </c>
      <c r="I3" s="79">
        <f t="shared" si="2"/>
        <v>0</v>
      </c>
      <c r="J3" s="79">
        <f t="shared" ref="J3:J11" si="5">ROUND(D3,0)/IF(LEN($F$1)&gt;4,10000,1)</f>
        <v>0</v>
      </c>
      <c r="K3" s="79">
        <f t="shared" si="3"/>
        <v>0</v>
      </c>
      <c r="M3" t="str">
        <f t="shared" si="4"/>
        <v>近三年及一期，拟承租人经营活动现金流入分别为0亿元、0亿元、0亿元和0亿元。</v>
      </c>
    </row>
    <row r="4" spans="1:13" ht="15.35">
      <c r="A4" s="80" t="s">
        <v>748</v>
      </c>
      <c r="B4" s="77">
        <f>HLOOKUP(B1,cf!$C$1:$Z$57,MATCH("*"&amp;A4&amp;"*",cf!$B$1:$B$68,),FALSE)</f>
        <v>0</v>
      </c>
      <c r="C4" s="77">
        <f>HLOOKUP(C1,cf!$C$1:$Z$57,MATCH("*"&amp;A4&amp;"*",cf!$B$1:$B$68,),FALSE)</f>
        <v>0</v>
      </c>
      <c r="D4" s="77">
        <f>HLOOKUP(D1,cf!$C$1:$Z$57,MATCH("*"&amp;A4&amp;"*",cf!$B$1:$B$68,),FALSE)</f>
        <v>0</v>
      </c>
      <c r="E4" s="77">
        <f>HLOOKUP(E1,cf!$C$1:$Z$57,MATCH("*"&amp;A4&amp;"*",cf!$B$1:$B$68,),FALSE)</f>
        <v>0</v>
      </c>
      <c r="G4" s="78" t="str">
        <f t="shared" si="0"/>
        <v>经营活动现金流出</v>
      </c>
      <c r="H4" s="79">
        <f t="shared" si="1"/>
        <v>0</v>
      </c>
      <c r="I4" s="79">
        <f t="shared" si="2"/>
        <v>0</v>
      </c>
      <c r="J4" s="79">
        <f t="shared" si="5"/>
        <v>0</v>
      </c>
      <c r="K4" s="79">
        <f t="shared" si="3"/>
        <v>0</v>
      </c>
      <c r="M4" t="str">
        <f t="shared" si="4"/>
        <v>近三年及一期，拟承租人经营活动现金流出分别为0亿元、0亿元、0亿元和0亿元。</v>
      </c>
    </row>
    <row r="5" spans="1:13" ht="15.35">
      <c r="A5" s="70" t="s">
        <v>749</v>
      </c>
      <c r="B5" s="73">
        <f>B6-B7</f>
        <v>0</v>
      </c>
      <c r="C5" s="73">
        <f>C6-C7</f>
        <v>0</v>
      </c>
      <c r="D5" s="73">
        <f>D6-D7</f>
        <v>0</v>
      </c>
      <c r="E5" s="73">
        <f>E6-E7</f>
        <v>0</v>
      </c>
      <c r="G5" s="74" t="str">
        <f t="shared" si="0"/>
        <v>投资活动现金流量净额</v>
      </c>
      <c r="H5" s="75">
        <f t="shared" si="1"/>
        <v>0</v>
      </c>
      <c r="I5" s="75">
        <f t="shared" si="2"/>
        <v>0</v>
      </c>
      <c r="J5" s="75">
        <f t="shared" si="5"/>
        <v>0</v>
      </c>
      <c r="K5" s="75">
        <f t="shared" si="3"/>
        <v>0</v>
      </c>
      <c r="M5" t="str">
        <f t="shared" si="4"/>
        <v>近三年及一期，拟承租人投资活动现金流量净额分别为0亿元、0亿元、0亿元和0亿元。</v>
      </c>
    </row>
    <row r="6" spans="1:13" ht="15.35">
      <c r="A6" s="80" t="s">
        <v>750</v>
      </c>
      <c r="B6" s="77">
        <f>HLOOKUP(B1,cf!$C$1:$Z$57,MATCH("*"&amp;A6&amp;"*",cf!$B$1:$B$68,),FALSE)</f>
        <v>0</v>
      </c>
      <c r="C6" s="77">
        <f>HLOOKUP(C1,cf!$C$1:$Z$57,MATCH("*"&amp;A6&amp;"*",cf!$B$1:$B$68,),FALSE)</f>
        <v>0</v>
      </c>
      <c r="D6" s="77">
        <f>HLOOKUP(D1,cf!$C$1:$Z$57,MATCH("*"&amp;A6&amp;"*",cf!$B$1:$B$68,),FALSE)</f>
        <v>0</v>
      </c>
      <c r="E6" s="77">
        <f>HLOOKUP(E1,cf!$C$1:$Z$57,MATCH("*"&amp;A6&amp;"*",cf!$B$1:$B$68,),FALSE)</f>
        <v>0</v>
      </c>
      <c r="G6" s="78" t="str">
        <f t="shared" si="0"/>
        <v>投资活动现金流入</v>
      </c>
      <c r="H6" s="79">
        <f t="shared" si="1"/>
        <v>0</v>
      </c>
      <c r="I6" s="79">
        <f t="shared" si="2"/>
        <v>0</v>
      </c>
      <c r="J6" s="79">
        <f t="shared" si="5"/>
        <v>0</v>
      </c>
      <c r="K6" s="79">
        <f t="shared" si="3"/>
        <v>0</v>
      </c>
      <c r="M6" t="str">
        <f t="shared" si="4"/>
        <v>近三年及一期，拟承租人投资活动现金流入分别为0亿元、0亿元、0亿元和0亿元。</v>
      </c>
    </row>
    <row r="7" spans="1:13" ht="15.35">
      <c r="A7" s="80" t="s">
        <v>751</v>
      </c>
      <c r="B7" s="77">
        <f>HLOOKUP(B1,cf!$C$1:$Z$57,MATCH("*"&amp;A7&amp;"*",cf!$B$1:$B$68,),FALSE)</f>
        <v>0</v>
      </c>
      <c r="C7" s="77">
        <f>HLOOKUP(C1,cf!$C$1:$Z$57,MATCH("*"&amp;A7&amp;"*",cf!$B$1:$B$68,),FALSE)</f>
        <v>0</v>
      </c>
      <c r="D7" s="77">
        <f>HLOOKUP(D1,cf!$C$1:$Z$57,MATCH("*"&amp;A7&amp;"*",cf!$B$1:$B$68,),FALSE)</f>
        <v>0</v>
      </c>
      <c r="E7" s="77">
        <f>HLOOKUP(E1,cf!$C$1:$Z$57,MATCH("*"&amp;A7&amp;"*",cf!$B$1:$B$68,),FALSE)</f>
        <v>0</v>
      </c>
      <c r="G7" s="78" t="str">
        <f t="shared" si="0"/>
        <v>投资活动现金流出</v>
      </c>
      <c r="H7" s="79">
        <f t="shared" si="1"/>
        <v>0</v>
      </c>
      <c r="I7" s="79">
        <f t="shared" si="2"/>
        <v>0</v>
      </c>
      <c r="J7" s="79">
        <f t="shared" si="5"/>
        <v>0</v>
      </c>
      <c r="K7" s="79">
        <f t="shared" si="3"/>
        <v>0</v>
      </c>
      <c r="M7" t="str">
        <f t="shared" si="4"/>
        <v>近三年及一期，拟承租人投资活动现金流出分别为0亿元、0亿元、0亿元和0亿元。</v>
      </c>
    </row>
    <row r="8" spans="1:13" ht="15.35">
      <c r="A8" s="70" t="s">
        <v>752</v>
      </c>
      <c r="B8" s="73">
        <f>B9-B10</f>
        <v>0</v>
      </c>
      <c r="C8" s="73">
        <f>C9-C10</f>
        <v>0</v>
      </c>
      <c r="D8" s="73">
        <f>D9-D10</f>
        <v>0</v>
      </c>
      <c r="E8" s="73">
        <f>E9-E10</f>
        <v>0</v>
      </c>
      <c r="G8" s="74" t="str">
        <f t="shared" si="0"/>
        <v>筹资活动现金流量净额</v>
      </c>
      <c r="H8" s="75">
        <f t="shared" si="1"/>
        <v>0</v>
      </c>
      <c r="I8" s="75">
        <f t="shared" si="2"/>
        <v>0</v>
      </c>
      <c r="J8" s="75">
        <f t="shared" si="5"/>
        <v>0</v>
      </c>
      <c r="K8" s="75">
        <f t="shared" si="3"/>
        <v>0</v>
      </c>
      <c r="M8" t="str">
        <f t="shared" si="4"/>
        <v>近三年及一期，拟承租人筹资活动现金流量净额分别为0亿元、0亿元、0亿元和0亿元。</v>
      </c>
    </row>
    <row r="9" spans="1:13" ht="15.35">
      <c r="A9" s="80" t="s">
        <v>753</v>
      </c>
      <c r="B9" s="77">
        <f>HLOOKUP(B1,cf!$C$1:$Z$57,MATCH("*"&amp;A9&amp;"*",cf!$B$1:$B$68,),FALSE)</f>
        <v>0</v>
      </c>
      <c r="C9" s="77">
        <f>HLOOKUP(C1,cf!$C$1:$Z$57,MATCH("*"&amp;A9&amp;"*",cf!$B$1:$B$68,),FALSE)</f>
        <v>0</v>
      </c>
      <c r="D9" s="77">
        <f>HLOOKUP(D1,cf!$C$1:$Z$57,MATCH("*"&amp;A9&amp;"*",cf!$B$1:$B$68,),FALSE)</f>
        <v>0</v>
      </c>
      <c r="E9" s="77">
        <f>HLOOKUP(E1,cf!$C$1:$Z$57,MATCH("*"&amp;A9&amp;"*",cf!$B$1:$B$68,),FALSE)</f>
        <v>0</v>
      </c>
      <c r="G9" s="78" t="str">
        <f t="shared" si="0"/>
        <v>筹资活动现金流入</v>
      </c>
      <c r="H9" s="79">
        <f t="shared" si="1"/>
        <v>0</v>
      </c>
      <c r="I9" s="79">
        <f t="shared" si="2"/>
        <v>0</v>
      </c>
      <c r="J9" s="79">
        <f t="shared" si="5"/>
        <v>0</v>
      </c>
      <c r="K9" s="79">
        <f t="shared" si="3"/>
        <v>0</v>
      </c>
      <c r="M9" t="str">
        <f t="shared" si="4"/>
        <v>近三年及一期，拟承租人筹资活动现金流入分别为0亿元、0亿元、0亿元和0亿元。</v>
      </c>
    </row>
    <row r="10" spans="1:13" ht="15.35">
      <c r="A10" s="80" t="s">
        <v>754</v>
      </c>
      <c r="B10" s="77">
        <f>HLOOKUP(B1,cf!$C$1:$Z$57,MATCH("*"&amp;A10&amp;"*",cf!$B$1:$B$68,),FALSE)</f>
        <v>0</v>
      </c>
      <c r="C10" s="77">
        <f>HLOOKUP(C1,cf!$C$1:$Z$57,MATCH("*"&amp;A10&amp;"*",cf!$B$1:$B$68,),FALSE)</f>
        <v>0</v>
      </c>
      <c r="D10" s="77">
        <f>HLOOKUP(D1,cf!$C$1:$Z$57,MATCH("*"&amp;A10&amp;"*",cf!$B$1:$B$68,),FALSE)</f>
        <v>0</v>
      </c>
      <c r="E10" s="77">
        <f>HLOOKUP(E1,cf!$C$1:$Z$57,MATCH("*"&amp;A10&amp;"*",cf!$B$1:$B$68,),FALSE)</f>
        <v>0</v>
      </c>
      <c r="G10" s="78" t="str">
        <f t="shared" si="0"/>
        <v>筹资活动现金流出</v>
      </c>
      <c r="H10" s="79">
        <f t="shared" si="1"/>
        <v>0</v>
      </c>
      <c r="I10" s="79">
        <f t="shared" si="2"/>
        <v>0</v>
      </c>
      <c r="J10" s="79">
        <f t="shared" si="5"/>
        <v>0</v>
      </c>
      <c r="K10" s="79">
        <f t="shared" si="3"/>
        <v>0</v>
      </c>
      <c r="M10" t="str">
        <f t="shared" si="4"/>
        <v>近三年及一期，拟承租人筹资活动现金流出分别为0亿元、0亿元、0亿元和0亿元。</v>
      </c>
    </row>
    <row r="11" spans="1:13" ht="30.7">
      <c r="A11" s="80" t="s">
        <v>518</v>
      </c>
      <c r="B11" s="77">
        <f>HLOOKUP(B1,cf!$C$1:$Z$57,MATCH("*"&amp;A11&amp;"*",cf!$B$1:$B$68,),FALSE)</f>
        <v>0</v>
      </c>
      <c r="C11" s="77">
        <f>HLOOKUP(C1,cf!$C$1:$Z$57,MATCH("*"&amp;A11&amp;"*",cf!$B$1:$B$68,),FALSE)</f>
        <v>0</v>
      </c>
      <c r="D11" s="77">
        <f>HLOOKUP(D1,cf!$C$1:$Z$57,MATCH("*"&amp;A11&amp;"*",cf!$B$1:$B$68,),FALSE)</f>
        <v>0</v>
      </c>
      <c r="E11" s="77">
        <f>HLOOKUP(E1,cf!$C$1:$Z$57,MATCH("*"&amp;A11&amp;"*",cf!$B$1:$B$68,),FALSE)</f>
        <v>0</v>
      </c>
      <c r="G11" s="81" t="str">
        <f t="shared" si="0"/>
        <v>分配股利、利润或偿付利息支付的现金</v>
      </c>
      <c r="H11" s="79">
        <f t="shared" si="1"/>
        <v>0</v>
      </c>
      <c r="I11" s="79">
        <f t="shared" si="2"/>
        <v>0</v>
      </c>
      <c r="J11" s="79">
        <f t="shared" si="5"/>
        <v>0</v>
      </c>
      <c r="K11" s="79">
        <f t="shared" si="3"/>
        <v>0</v>
      </c>
      <c r="M11" t="str">
        <f t="shared" si="4"/>
        <v>近三年及一期，拟承租人分配股利、利润或偿付利息支付的现金分别为0亿元、0亿元、0亿元和0亿元。</v>
      </c>
    </row>
    <row r="16" spans="1:13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49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workbookViewId="0">
      <selection activeCell="H30" sqref="H30"/>
    </sheetView>
  </sheetViews>
  <sheetFormatPr defaultColWidth="9" defaultRowHeight="12.7"/>
  <cols>
    <col min="1" max="1" width="28.703125" customWidth="1"/>
    <col min="2" max="2" width="23.703125" customWidth="1"/>
    <col min="3" max="3" width="18.29296875" customWidth="1"/>
    <col min="4" max="4" width="17.703125" customWidth="1"/>
    <col min="5" max="5" width="19.41015625" customWidth="1"/>
    <col min="7" max="7" width="27.5859375" customWidth="1"/>
    <col min="8" max="11" width="17.29296875" customWidth="1"/>
  </cols>
  <sheetData>
    <row r="1" spans="1:11" ht="14.35">
      <c r="A1" s="192" t="s">
        <v>527</v>
      </c>
      <c r="B1" s="47">
        <f>'财务分析（2022）版'!B3</f>
        <v>45657</v>
      </c>
      <c r="C1" s="48">
        <f>'财务分析（2022）版'!C3</f>
        <v>45291</v>
      </c>
      <c r="D1" s="48">
        <f>'财务分析（2022）版'!D3</f>
        <v>44926</v>
      </c>
      <c r="E1" s="48">
        <f>'财务分析（2022）版'!E3</f>
        <v>44561</v>
      </c>
      <c r="F1" s="49"/>
      <c r="G1" s="193" t="s">
        <v>527</v>
      </c>
      <c r="H1" s="50">
        <f>B1</f>
        <v>45657</v>
      </c>
      <c r="I1" s="50">
        <f>C1</f>
        <v>45291</v>
      </c>
      <c r="J1" s="50">
        <f>D1</f>
        <v>44926</v>
      </c>
      <c r="K1" s="50">
        <f>E1</f>
        <v>44561</v>
      </c>
    </row>
    <row r="2" spans="1:11" ht="14.35">
      <c r="A2" s="192"/>
      <c r="B2" s="51" t="s">
        <v>715</v>
      </c>
      <c r="C2" s="51" t="s">
        <v>715</v>
      </c>
      <c r="D2" s="51" t="s">
        <v>715</v>
      </c>
      <c r="E2" s="51" t="s">
        <v>715</v>
      </c>
      <c r="F2" s="49"/>
      <c r="G2" s="193"/>
      <c r="H2" s="52" t="s">
        <v>715</v>
      </c>
      <c r="I2" s="52" t="s">
        <v>715</v>
      </c>
      <c r="J2" s="52" t="s">
        <v>715</v>
      </c>
      <c r="K2" s="52" t="s">
        <v>715</v>
      </c>
    </row>
    <row r="3" spans="1:11" ht="29">
      <c r="A3" s="53" t="s">
        <v>471</v>
      </c>
      <c r="B3" s="54">
        <f>HLOOKUP(B1,cf!$C$1:$CI$39,MATCH("*"&amp;A3&amp;"*",cf!$B$1:$B$68,),FALSE)</f>
        <v>0</v>
      </c>
      <c r="C3" s="54">
        <f>HLOOKUP(C1,cf!$C$1:$CI$39,MATCH("*"&amp;A3&amp;"*",cf!$B$1:$B$68,),FALSE)</f>
        <v>0</v>
      </c>
      <c r="D3" s="54">
        <f>HLOOKUP(D1,cf!$C$1:$CI$39,MATCH("*"&amp;A3&amp;"*",cf!$B$1:$B$68,),FALSE)</f>
        <v>0</v>
      </c>
      <c r="E3" s="54">
        <f>HLOOKUP(E1,cf!$C$1:$CI$39,MATCH("*"&amp;A3&amp;"*",cf!$B$1:$B$68,),FALSE)</f>
        <v>0</v>
      </c>
      <c r="F3" s="49"/>
      <c r="G3" s="55" t="str">
        <f>A3</f>
        <v xml:space="preserve">销售商品、提供劳务收到的现金 </v>
      </c>
      <c r="H3" s="56">
        <f>ROUND(B3/10000,0)</f>
        <v>0</v>
      </c>
      <c r="I3" s="56">
        <f>ROUND(C3/10000,0)</f>
        <v>0</v>
      </c>
      <c r="J3" s="56">
        <f>ROUND(D3/10000,0)</f>
        <v>0</v>
      </c>
      <c r="K3" s="56">
        <f>ROUND(E3/10000,0)</f>
        <v>0</v>
      </c>
    </row>
    <row r="4" spans="1:11" ht="15">
      <c r="A4" s="57" t="s">
        <v>633</v>
      </c>
      <c r="B4" s="58">
        <f>HLOOKUP(B1,pl!$C$1:$CE$46,MATCH("*"&amp;A4&amp;"*",pl!$B$1:$B$71,),FALSE)</f>
        <v>0</v>
      </c>
      <c r="C4" s="58">
        <f>HLOOKUP(C1,pl!$C$1:$CE$46,MATCH("*"&amp;A4&amp;"*",pl!$B$1:$B$71,),FALSE)</f>
        <v>0</v>
      </c>
      <c r="D4" s="54">
        <f>HLOOKUP(D1,pl!$C$1:$CE$46,MATCH("*"&amp;A4&amp;"*",pl!$B$1:$B$71,),FALSE)</f>
        <v>0</v>
      </c>
      <c r="E4" s="58">
        <f>HLOOKUP(E1,pl!$C$1:$CE$46,MATCH("*"&amp;A4&amp;"*",pl!$B$1:$B$71,),FALSE)</f>
        <v>0</v>
      </c>
      <c r="F4" s="49"/>
      <c r="G4" s="55" t="str">
        <f t="shared" ref="G4:G11" si="0">A4</f>
        <v>营业收入</v>
      </c>
      <c r="H4" s="56">
        <f t="shared" ref="H4:K10" si="1">ROUND(B4/10000,0)</f>
        <v>0</v>
      </c>
      <c r="I4" s="56">
        <f t="shared" si="1"/>
        <v>0</v>
      </c>
      <c r="J4" s="56">
        <f t="shared" si="1"/>
        <v>0</v>
      </c>
      <c r="K4" s="56">
        <f t="shared" si="1"/>
        <v>0</v>
      </c>
    </row>
    <row r="5" spans="1:11" ht="31.5" customHeight="1">
      <c r="A5" s="59" t="s">
        <v>755</v>
      </c>
      <c r="B5" s="54">
        <f>HLOOKUP(B1,cf!$C$1:$CI$68,MATCH("*"&amp;A5&amp;"*",cf!$B$1:$B$68,),FALSE)</f>
        <v>0</v>
      </c>
      <c r="C5" s="54">
        <f>HLOOKUP(C1,cf!$C$1:$CI$68,MATCH("*"&amp;A5&amp;"*",cf!$B$1:$B$68,),FALSE)</f>
        <v>0</v>
      </c>
      <c r="D5" s="54">
        <f>HLOOKUP(D1,cf!$C$1:$CI$68,MATCH("*"&amp;A5&amp;"*",cf!$B$1:$B$68,),FALSE)</f>
        <v>0</v>
      </c>
      <c r="E5" s="54">
        <f>HLOOKUP(E1,cf!$C$1:$CI$68,MATCH("*"&amp;A5&amp;"*",cf!$B$1:$B$68,),FALSE)</f>
        <v>0</v>
      </c>
      <c r="F5" s="49"/>
      <c r="G5" s="55" t="str">
        <f t="shared" si="0"/>
        <v>购买商品、接受劳务支付的现金</v>
      </c>
      <c r="H5" s="56">
        <f t="shared" si="1"/>
        <v>0</v>
      </c>
      <c r="I5" s="56">
        <f t="shared" si="1"/>
        <v>0</v>
      </c>
      <c r="J5" s="56">
        <f t="shared" si="1"/>
        <v>0</v>
      </c>
      <c r="K5" s="56">
        <f t="shared" si="1"/>
        <v>0</v>
      </c>
    </row>
    <row r="6" spans="1:11" ht="23.25" customHeight="1">
      <c r="A6" s="57" t="s">
        <v>635</v>
      </c>
      <c r="B6" s="54">
        <f>HLOOKUP(B1,pl!$C$1:$CE$46,MATCH("*"&amp;A6&amp;"*",pl!$B$1:$B$71,),FALSE)</f>
        <v>0</v>
      </c>
      <c r="C6" s="54">
        <f>HLOOKUP(C1,pl!$C$1:$CE$46,MATCH("*"&amp;A6&amp;"*",pl!$B$1:$B$71,),FALSE)</f>
        <v>0</v>
      </c>
      <c r="D6" s="54">
        <f>HLOOKUP(D1,pl!$C$1:$CE$46,MATCH("*"&amp;A6&amp;"*",pl!$B$1:$B$71,),FALSE)</f>
        <v>0</v>
      </c>
      <c r="E6" s="54">
        <f>HLOOKUP(E1,pl!$C$1:$CE$46,MATCH("*"&amp;A6&amp;"*",pl!$B$1:$B$71,),FALSE)</f>
        <v>0</v>
      </c>
      <c r="F6" s="49"/>
      <c r="G6" s="55" t="str">
        <f t="shared" si="0"/>
        <v>营业成本</v>
      </c>
      <c r="H6" s="56">
        <f t="shared" si="1"/>
        <v>0</v>
      </c>
      <c r="I6" s="56">
        <f t="shared" si="1"/>
        <v>0</v>
      </c>
      <c r="J6" s="56">
        <f t="shared" si="1"/>
        <v>0</v>
      </c>
      <c r="K6" s="56">
        <f t="shared" si="1"/>
        <v>0</v>
      </c>
    </row>
    <row r="7" spans="1:11" ht="43.5" customHeight="1">
      <c r="A7" s="59" t="s">
        <v>518</v>
      </c>
      <c r="B7" s="54">
        <f>HLOOKUP(B1,cf!$C$1:$CI$68,MATCH("*"&amp;A7&amp;"*",cf!$B$1:$B$68,),FALSE)</f>
        <v>0</v>
      </c>
      <c r="C7" s="54">
        <f>HLOOKUP(C1,cf!$C$1:$CI$68,MATCH("*"&amp;A7&amp;"*",cf!$B$1:$B$68,),FALSE)</f>
        <v>0</v>
      </c>
      <c r="D7" s="54">
        <f>HLOOKUP(D1,cf!$C$1:$CI$68,MATCH("*"&amp;A7&amp;"*",cf!$B$1:$B$68,),FALSE)</f>
        <v>0</v>
      </c>
      <c r="E7" s="54">
        <f>HLOOKUP(E1,cf!$C$1:$CI$68,MATCH("*"&amp;A7&amp;"*",cf!$B$1:$B$68,),FALSE)</f>
        <v>0</v>
      </c>
      <c r="F7" s="49"/>
      <c r="G7" s="55" t="str">
        <f t="shared" si="0"/>
        <v>分配股利、利润或偿付利息支付的现金</v>
      </c>
      <c r="H7" s="56">
        <f t="shared" si="1"/>
        <v>0</v>
      </c>
      <c r="I7" s="56">
        <f t="shared" si="1"/>
        <v>0</v>
      </c>
      <c r="J7" s="56">
        <f>ROUND(D7/10000,0)</f>
        <v>0</v>
      </c>
      <c r="K7" s="56">
        <f t="shared" si="1"/>
        <v>0</v>
      </c>
    </row>
    <row r="8" spans="1:11" ht="14.7">
      <c r="A8" s="59" t="s">
        <v>640</v>
      </c>
      <c r="B8" s="54">
        <f>HLOOKUP($B$1,pl!$C$1:$V$71,MATCH("*"&amp;A8&amp;"*",pl!$B$1:$B$71,),FALSE)</f>
        <v>0</v>
      </c>
      <c r="C8" s="54">
        <f>HLOOKUP(C1,pl!$C$1:$V$71,MATCH("*"&amp;A8&amp;"*",pl!$B$1:$B$71,),FALSE)</f>
        <v>0</v>
      </c>
      <c r="D8" s="54">
        <f>HLOOKUP(D$1,pl!$C$1:$V$71,MATCH("*"&amp;$A8&amp;"*",pl!$B$1:$B$71,),FALSE)</f>
        <v>0</v>
      </c>
      <c r="E8" s="54">
        <f>HLOOKUP(E$1,pl!$C$1:$V$71,MATCH("*"&amp;$A8&amp;"*",pl!$B$1:$B$71,),FALSE)</f>
        <v>0</v>
      </c>
      <c r="F8" s="49"/>
      <c r="G8" s="55" t="str">
        <f t="shared" si="0"/>
        <v>财务费用</v>
      </c>
      <c r="H8" s="56">
        <f t="shared" si="1"/>
        <v>0</v>
      </c>
      <c r="I8" s="56">
        <f t="shared" si="1"/>
        <v>0</v>
      </c>
      <c r="J8" s="56">
        <f>ROUND(D8/10000,0)</f>
        <v>0</v>
      </c>
      <c r="K8" s="56">
        <f t="shared" si="1"/>
        <v>0</v>
      </c>
    </row>
    <row r="9" spans="1:11" ht="15">
      <c r="A9" s="57" t="s">
        <v>496</v>
      </c>
      <c r="B9" s="54">
        <f>HLOOKUP(B$1,cf!$C$1:$CI$68,MATCH("*"&amp;$A9&amp;"*",cf!$B$1:$B$68,),FALSE)</f>
        <v>0</v>
      </c>
      <c r="C9" s="54">
        <f>HLOOKUP(C$1,cf!$C$1:$CI$68,MATCH("*"&amp;$A9&amp;"*",cf!$B$1:$B$68,),FALSE)</f>
        <v>0</v>
      </c>
      <c r="D9" s="54">
        <f>HLOOKUP(D$1,cf!$C$1:$CI$68,MATCH("*"&amp;$A9&amp;"*",cf!$B$1:$B$68,),FALSE)</f>
        <v>0</v>
      </c>
      <c r="E9" s="54">
        <f>HLOOKUP(E$1,cf!$C$1:$CI$68,MATCH("*"&amp;$A9&amp;"*",cf!$B$1:$B$68,),FALSE)</f>
        <v>0</v>
      </c>
      <c r="F9" s="49"/>
      <c r="G9" s="55" t="str">
        <f t="shared" si="0"/>
        <v>经营活动产生的现金流量净额</v>
      </c>
      <c r="H9" s="56">
        <f t="shared" si="1"/>
        <v>0</v>
      </c>
      <c r="I9" s="56">
        <f t="shared" si="1"/>
        <v>0</v>
      </c>
      <c r="J9" s="56">
        <f>ROUND(D9/10000,0)</f>
        <v>0</v>
      </c>
      <c r="K9" s="56">
        <f t="shared" si="1"/>
        <v>0</v>
      </c>
    </row>
    <row r="10" spans="1:11" ht="14.7">
      <c r="A10" s="59" t="s">
        <v>181</v>
      </c>
      <c r="B10" s="54">
        <f>HLOOKUP(B$1,pl!$C$1:$CE$46,MATCH("*"&amp;$A10&amp;"*",pl!$B$1:$B$71,),FALSE)</f>
        <v>0</v>
      </c>
      <c r="C10" s="54">
        <f>HLOOKUP(C$1,pl!$C$1:$CE$46,MATCH("*"&amp;$A10&amp;"*",pl!$B$1:$B$71,),FALSE)</f>
        <v>0</v>
      </c>
      <c r="D10" s="54">
        <f>HLOOKUP(D$1,pl!$C$1:$CE$46,MATCH("*"&amp;$A10&amp;"*",pl!$B$1:$B$71,),FALSE)</f>
        <v>0</v>
      </c>
      <c r="E10" s="54">
        <f>HLOOKUP(E$1,pl!$C$1:$CE$46,MATCH("*"&amp;$A10&amp;"*",pl!$B$1:$B$71,),FALSE)</f>
        <v>0</v>
      </c>
      <c r="F10" s="49"/>
      <c r="G10" s="55" t="str">
        <f t="shared" si="0"/>
        <v>净利润</v>
      </c>
      <c r="H10" s="56">
        <f t="shared" si="1"/>
        <v>0</v>
      </c>
      <c r="I10" s="56">
        <f t="shared" si="1"/>
        <v>0</v>
      </c>
      <c r="J10" s="56">
        <f t="shared" si="1"/>
        <v>0</v>
      </c>
      <c r="K10" s="56">
        <f t="shared" si="1"/>
        <v>0</v>
      </c>
    </row>
    <row r="11" spans="1:11" ht="14.7">
      <c r="A11" s="59" t="s">
        <v>756</v>
      </c>
      <c r="B11" s="54" t="e">
        <f>B9/B10</f>
        <v>#DIV/0!</v>
      </c>
      <c r="C11" s="54" t="e">
        <f>C9/C10</f>
        <v>#DIV/0!</v>
      </c>
      <c r="D11" s="54" t="e">
        <f>D9/D10</f>
        <v>#DIV/0!</v>
      </c>
      <c r="E11" s="54" t="e">
        <f>E9/E10</f>
        <v>#DIV/0!</v>
      </c>
      <c r="F11" s="49"/>
      <c r="G11" s="55" t="str">
        <f t="shared" si="0"/>
        <v>盈利现金比</v>
      </c>
      <c r="H11" s="56" t="e">
        <f>B11</f>
        <v>#DIV/0!</v>
      </c>
      <c r="I11" s="56" t="e">
        <f>C11</f>
        <v>#DIV/0!</v>
      </c>
      <c r="J11" s="56" t="e">
        <f>D11</f>
        <v>#DIV/0!</v>
      </c>
      <c r="K11" s="56" t="e">
        <f>E11</f>
        <v>#DIV/0!</v>
      </c>
    </row>
    <row r="12" spans="1:11" ht="13">
      <c r="G12" s="19" t="s">
        <v>688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757</v>
      </c>
      <c r="H13">
        <v>57403</v>
      </c>
      <c r="I13">
        <v>88363</v>
      </c>
      <c r="J13">
        <v>120993</v>
      </c>
      <c r="K13">
        <v>110718</v>
      </c>
    </row>
    <row r="14" spans="1:11" ht="13">
      <c r="G14" s="19" t="s">
        <v>721</v>
      </c>
    </row>
    <row r="19" spans="7:11">
      <c r="G19" s="16"/>
      <c r="H19" s="60"/>
      <c r="I19" s="60"/>
      <c r="J19" s="60"/>
      <c r="K19" s="68"/>
    </row>
    <row r="20" spans="7:11">
      <c r="G20" s="61" t="s">
        <v>721</v>
      </c>
      <c r="H20" s="62"/>
      <c r="I20" s="62"/>
      <c r="J20" s="62"/>
      <c r="K20" s="62"/>
    </row>
    <row r="21" spans="7:11">
      <c r="G21" s="61" t="s">
        <v>722</v>
      </c>
      <c r="H21" s="62"/>
      <c r="I21" s="62"/>
      <c r="J21" s="62"/>
      <c r="K21" s="62"/>
    </row>
    <row r="22" spans="7:11">
      <c r="G22" s="16"/>
      <c r="H22" s="36"/>
      <c r="I22" s="36"/>
      <c r="J22" s="36"/>
      <c r="K22" s="36"/>
    </row>
    <row r="23" spans="7:11">
      <c r="G23" s="61" t="s">
        <v>646</v>
      </c>
      <c r="H23" s="62"/>
      <c r="I23" s="62"/>
      <c r="J23" s="62"/>
      <c r="K23" s="62"/>
    </row>
    <row r="24" spans="7:11" ht="13">
      <c r="G24" s="15" t="s">
        <v>758</v>
      </c>
      <c r="H24" s="63">
        <f>H23</f>
        <v>0</v>
      </c>
      <c r="I24" s="63">
        <f>SUM(I23)</f>
        <v>0</v>
      </c>
      <c r="J24" s="63">
        <f>SUM(J21,J23)</f>
        <v>0</v>
      </c>
      <c r="K24" s="63">
        <f>SUM(K21,K20,K23)</f>
        <v>0</v>
      </c>
    </row>
    <row r="25" spans="7:11" ht="37.700000000000003">
      <c r="G25" s="15" t="s">
        <v>759</v>
      </c>
      <c r="H25" s="64" t="str">
        <f>I25</f>
        <v>销售商品、提供劳务收到的现金</v>
      </c>
      <c r="I25" s="64" t="str">
        <f>G23</f>
        <v>销售商品、提供劳务收到的现金</v>
      </c>
      <c r="J25" s="69" t="s">
        <v>760</v>
      </c>
      <c r="K25" s="69" t="s">
        <v>761</v>
      </c>
    </row>
    <row r="26" spans="7:11">
      <c r="G26" s="65" t="s">
        <v>633</v>
      </c>
      <c r="H26" s="66">
        <v>913276863.59000003</v>
      </c>
      <c r="I26" s="66">
        <v>1114615416.79</v>
      </c>
      <c r="J26" s="63">
        <v>1011661321.48</v>
      </c>
      <c r="K26" s="63">
        <v>1014548010.3</v>
      </c>
    </row>
    <row r="29" spans="7:11">
      <c r="G29" s="16"/>
      <c r="H29" s="60">
        <v>43465</v>
      </c>
      <c r="I29" s="60">
        <v>43830</v>
      </c>
      <c r="J29" s="60">
        <v>44196</v>
      </c>
      <c r="K29" s="68">
        <v>44530</v>
      </c>
    </row>
    <row r="30" spans="7:11">
      <c r="G30" s="61" t="s">
        <v>762</v>
      </c>
      <c r="H30" s="67"/>
      <c r="I30" s="67"/>
      <c r="J30" s="67"/>
      <c r="K30" s="67"/>
    </row>
    <row r="31" spans="7:11">
      <c r="G31" s="61" t="s">
        <v>653</v>
      </c>
      <c r="H31" s="17"/>
      <c r="I31" s="17"/>
      <c r="J31" s="17"/>
      <c r="K31" s="17"/>
    </row>
    <row r="32" spans="7:11">
      <c r="G32" s="17" t="s">
        <v>688</v>
      </c>
      <c r="H32" s="17"/>
      <c r="I32" s="17"/>
      <c r="J32" s="17"/>
      <c r="K32" s="17"/>
    </row>
    <row r="33" spans="7:11">
      <c r="G33" s="61" t="s">
        <v>721</v>
      </c>
      <c r="H33" s="62"/>
      <c r="I33" s="62"/>
      <c r="J33" s="62"/>
      <c r="K33" s="62"/>
    </row>
    <row r="34" spans="7:11">
      <c r="G34" s="61" t="s">
        <v>722</v>
      </c>
      <c r="H34" s="62"/>
      <c r="I34" s="62"/>
      <c r="J34" s="62"/>
      <c r="K34" s="62"/>
    </row>
    <row r="35" spans="7:11">
      <c r="G35" s="16"/>
      <c r="H35" s="60">
        <v>43465</v>
      </c>
      <c r="I35" s="60">
        <v>43830</v>
      </c>
      <c r="J35" s="60">
        <v>44196</v>
      </c>
      <c r="K35" s="68">
        <v>44530</v>
      </c>
    </row>
    <row r="36" spans="7:11">
      <c r="G36" s="61" t="s">
        <v>763</v>
      </c>
      <c r="H36" s="17"/>
      <c r="I36" s="17"/>
      <c r="J36" s="17"/>
      <c r="K36" s="17"/>
    </row>
    <row r="37" spans="7:11">
      <c r="G37" s="61" t="s">
        <v>518</v>
      </c>
      <c r="H37" s="17"/>
      <c r="I37" s="17"/>
      <c r="J37" s="17"/>
      <c r="K37" s="17"/>
    </row>
    <row r="38" spans="7:11">
      <c r="G38" s="61" t="s">
        <v>764</v>
      </c>
      <c r="H38" s="17"/>
      <c r="I38" s="17"/>
      <c r="J38" s="17"/>
      <c r="K38" s="17"/>
    </row>
    <row r="39" spans="7:11">
      <c r="G39" s="61" t="s">
        <v>652</v>
      </c>
      <c r="H39" s="17"/>
      <c r="I39" s="17"/>
      <c r="J39" s="17"/>
      <c r="K39" s="17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4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Q47" sqref="Q47"/>
    </sheetView>
  </sheetViews>
  <sheetFormatPr defaultColWidth="9" defaultRowHeight="12.7"/>
  <cols>
    <col min="2" max="2" width="19.41015625" customWidth="1"/>
    <col min="3" max="3" width="12.29296875" customWidth="1"/>
    <col min="4" max="6" width="13.5859375" customWidth="1"/>
  </cols>
  <sheetData>
    <row r="2" spans="2:6">
      <c r="F2" t="str">
        <f>'财务分析-万位'!G6</f>
        <v>单位：万元</v>
      </c>
    </row>
    <row r="3" spans="2:6" ht="15.35">
      <c r="B3" s="42" t="s">
        <v>718</v>
      </c>
      <c r="C3" s="43">
        <f>'财务分析（2022）版'!B3</f>
        <v>45657</v>
      </c>
      <c r="D3" s="43">
        <f>'财务分析（2022）版'!C3</f>
        <v>45291</v>
      </c>
      <c r="E3" s="43">
        <f>'财务分析（2022）版'!D3</f>
        <v>44926</v>
      </c>
      <c r="F3" s="43">
        <f>'财务分析（2022）版'!E3</f>
        <v>44561</v>
      </c>
    </row>
    <row r="4" spans="2:6" ht="15.35">
      <c r="B4" s="44" t="s">
        <v>687</v>
      </c>
      <c r="C4" s="45">
        <f>'财务分析（2022）版'!B55</f>
        <v>0</v>
      </c>
      <c r="D4" s="45">
        <f>'财务分析（2022）版'!C55</f>
        <v>0</v>
      </c>
      <c r="E4" s="45">
        <f>'财务分析（2022）版'!D55</f>
        <v>0</v>
      </c>
      <c r="F4" s="45">
        <f>'财务分析（2022）版'!E55</f>
        <v>0</v>
      </c>
    </row>
    <row r="5" spans="2:6" ht="15.35">
      <c r="B5" s="44" t="s">
        <v>765</v>
      </c>
      <c r="C5" s="45">
        <f>'财务分析（2022）版'!B108</f>
        <v>0</v>
      </c>
      <c r="D5" s="45">
        <f>'财务分析（2022）版'!C108</f>
        <v>0</v>
      </c>
      <c r="E5" s="45">
        <f>'财务分析（2022）版'!D108</f>
        <v>0</v>
      </c>
      <c r="F5" s="45">
        <f>'财务分析（2022）版'!E108</f>
        <v>0</v>
      </c>
    </row>
    <row r="6" spans="2:6" ht="15.35">
      <c r="B6" s="44" t="s">
        <v>766</v>
      </c>
      <c r="C6" s="46" t="e">
        <f>'财务分析（2022）版'!B143</f>
        <v>#DIV/0!</v>
      </c>
      <c r="D6" s="46" t="e">
        <f>'财务分析（2022）版'!C143</f>
        <v>#DIV/0!</v>
      </c>
      <c r="E6" s="46" t="e">
        <f>'财务分析（2022）版'!D143</f>
        <v>#DIV/0!</v>
      </c>
      <c r="F6" s="46" t="e">
        <f>'财务分析（2022）版'!E143</f>
        <v>#DIV/0!</v>
      </c>
    </row>
    <row r="7" spans="2:6" ht="15.35">
      <c r="B7" s="44" t="s">
        <v>633</v>
      </c>
      <c r="C7" s="45">
        <f>'财务分析（2022）版'!B111</f>
        <v>0</v>
      </c>
      <c r="D7" s="45">
        <f>'财务分析（2022）版'!C111</f>
        <v>0</v>
      </c>
      <c r="E7" s="45">
        <f>'财务分析（2022）版'!D111</f>
        <v>0</v>
      </c>
      <c r="F7" s="45">
        <f>'财务分析（2022）版'!E111</f>
        <v>0</v>
      </c>
    </row>
    <row r="8" spans="2:6" ht="15.35">
      <c r="B8" s="44" t="s">
        <v>176</v>
      </c>
      <c r="C8" s="45">
        <f>'财务分析（2022）版'!B121</f>
        <v>0</v>
      </c>
      <c r="D8" s="45">
        <f>'财务分析（2022）版'!C121</f>
        <v>0</v>
      </c>
      <c r="E8" s="45">
        <f>'财务分析（2022）版'!D121</f>
        <v>0</v>
      </c>
      <c r="F8" s="45">
        <f>'财务分析（2022）版'!E121</f>
        <v>0</v>
      </c>
    </row>
    <row r="9" spans="2:6" ht="15.35">
      <c r="B9" s="44" t="s">
        <v>767</v>
      </c>
      <c r="C9" s="45">
        <f>'财务分析（2022）版'!B130</f>
        <v>0</v>
      </c>
      <c r="D9" s="45">
        <f>'财务分析（2022）版'!C130</f>
        <v>0</v>
      </c>
      <c r="E9" s="45">
        <f>'财务分析（2022）版'!D130</f>
        <v>0</v>
      </c>
      <c r="F9" s="45">
        <f>'财务分析（2022）版'!E130</f>
        <v>0</v>
      </c>
    </row>
    <row r="10" spans="2:6" ht="15.35">
      <c r="B10" s="44" t="s">
        <v>768</v>
      </c>
      <c r="C10" s="45">
        <f>'财务分析（2022）版'!B136</f>
        <v>0</v>
      </c>
      <c r="D10" s="45">
        <f>'财务分析（2022）版'!C136</f>
        <v>0</v>
      </c>
      <c r="E10" s="45">
        <f>'财务分析（2022）版'!D136</f>
        <v>0</v>
      </c>
      <c r="F10" s="45">
        <f>'财务分析（2022）版'!E136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activeCell="B10" sqref="B10:F10"/>
    </sheetView>
  </sheetViews>
  <sheetFormatPr defaultColWidth="9.1171875" defaultRowHeight="12.7"/>
  <cols>
    <col min="1" max="2" width="20.703125" customWidth="1"/>
    <col min="3" max="3" width="24.5859375" customWidth="1"/>
    <col min="4" max="4" width="23" customWidth="1"/>
    <col min="5" max="5" width="25.703125" customWidth="1"/>
    <col min="6" max="6" width="24" customWidth="1"/>
    <col min="7" max="7" width="20.703125" customWidth="1"/>
  </cols>
  <sheetData>
    <row r="1" spans="1:6" ht="15.35">
      <c r="A1" s="25"/>
      <c r="B1" s="26"/>
      <c r="C1" s="27">
        <f>'财务分析（2022）版'!B3</f>
        <v>45657</v>
      </c>
      <c r="D1" s="28">
        <f>'财务分析（2022）版'!C3</f>
        <v>45291</v>
      </c>
      <c r="E1" s="28">
        <f>'财务分析（2022）版'!D3</f>
        <v>44926</v>
      </c>
      <c r="F1" s="28">
        <f>'财务分析（2022）版'!E3</f>
        <v>44561</v>
      </c>
    </row>
    <row r="2" spans="1:6" ht="15.35">
      <c r="A2" s="29"/>
      <c r="B2" s="30" t="s">
        <v>769</v>
      </c>
      <c r="C2" s="31">
        <f>C23</f>
        <v>0</v>
      </c>
      <c r="D2" s="31">
        <f t="shared" ref="D2:F2" si="0">D23</f>
        <v>0</v>
      </c>
      <c r="E2" s="31">
        <f t="shared" si="0"/>
        <v>0</v>
      </c>
      <c r="F2" s="31">
        <f t="shared" si="0"/>
        <v>0</v>
      </c>
    </row>
    <row r="3" spans="1:6" ht="30" customHeight="1">
      <c r="A3" s="195" t="s">
        <v>770</v>
      </c>
      <c r="B3" s="30" t="s">
        <v>771</v>
      </c>
      <c r="C3" s="31">
        <f>C16+C20</f>
        <v>0</v>
      </c>
      <c r="D3" s="31">
        <f t="shared" ref="D3:F3" si="1">D16+D20</f>
        <v>0</v>
      </c>
      <c r="E3" s="31">
        <f t="shared" si="1"/>
        <v>0</v>
      </c>
      <c r="F3" s="31">
        <f t="shared" si="1"/>
        <v>0</v>
      </c>
    </row>
    <row r="4" spans="1:6" ht="15.35">
      <c r="A4" s="195"/>
      <c r="B4" s="30" t="s">
        <v>772</v>
      </c>
      <c r="C4" s="31">
        <f>C22</f>
        <v>0</v>
      </c>
      <c r="D4" s="31">
        <f t="shared" ref="D4:F4" si="2">D22</f>
        <v>0</v>
      </c>
      <c r="E4" s="31">
        <f t="shared" si="2"/>
        <v>0</v>
      </c>
      <c r="F4" s="31">
        <f t="shared" si="2"/>
        <v>0</v>
      </c>
    </row>
    <row r="5" spans="1:6" ht="15.35">
      <c r="A5" s="195"/>
      <c r="B5" s="30" t="s">
        <v>773</v>
      </c>
      <c r="C5" s="31" t="s">
        <v>774</v>
      </c>
      <c r="D5" s="31" t="s">
        <v>774</v>
      </c>
      <c r="E5" s="31" t="s">
        <v>774</v>
      </c>
      <c r="F5" s="32" t="s">
        <v>774</v>
      </c>
    </row>
    <row r="6" spans="1:6" ht="15.35">
      <c r="A6" s="195"/>
      <c r="B6" s="30" t="s">
        <v>775</v>
      </c>
      <c r="C6" s="31" t="s">
        <v>774</v>
      </c>
      <c r="D6" s="31" t="s">
        <v>774</v>
      </c>
      <c r="E6" s="31" t="s">
        <v>774</v>
      </c>
      <c r="F6" s="32" t="s">
        <v>774</v>
      </c>
    </row>
    <row r="7" spans="1:6" ht="15.35">
      <c r="A7" s="195"/>
      <c r="B7" s="30" t="s">
        <v>776</v>
      </c>
      <c r="C7" s="31">
        <f>C21</f>
        <v>0</v>
      </c>
      <c r="D7" s="31">
        <f t="shared" ref="D7:F7" si="3">D21</f>
        <v>0</v>
      </c>
      <c r="E7" s="31">
        <f t="shared" si="3"/>
        <v>0</v>
      </c>
      <c r="F7" s="31">
        <f t="shared" si="3"/>
        <v>0</v>
      </c>
    </row>
    <row r="8" spans="1:6" ht="30" customHeight="1">
      <c r="A8" s="195" t="s">
        <v>777</v>
      </c>
      <c r="B8" s="30" t="s">
        <v>778</v>
      </c>
      <c r="C8" s="31">
        <f>C19</f>
        <v>0</v>
      </c>
      <c r="D8" s="31">
        <f t="shared" ref="D8:F8" si="4">D19</f>
        <v>0</v>
      </c>
      <c r="E8" s="31">
        <f t="shared" si="4"/>
        <v>0</v>
      </c>
      <c r="F8" s="31">
        <f t="shared" si="4"/>
        <v>0</v>
      </c>
    </row>
    <row r="9" spans="1:6" ht="15.35">
      <c r="A9" s="195"/>
      <c r="B9" s="33" t="s">
        <v>779</v>
      </c>
      <c r="C9" s="34">
        <f>C2-C8</f>
        <v>0</v>
      </c>
      <c r="D9" s="34">
        <f t="shared" ref="D9:F9" si="5">D2-D8</f>
        <v>0</v>
      </c>
      <c r="E9" s="34">
        <f t="shared" si="5"/>
        <v>0</v>
      </c>
      <c r="F9" s="34">
        <f t="shared" si="5"/>
        <v>0</v>
      </c>
    </row>
    <row r="10" spans="1:6" ht="58.5" customHeight="1">
      <c r="A10" s="35" t="s">
        <v>780</v>
      </c>
      <c r="B10" s="194"/>
      <c r="C10" s="194"/>
      <c r="D10" s="194"/>
      <c r="E10" s="194"/>
      <c r="F10" s="194"/>
    </row>
    <row r="11" spans="1:6" ht="76">
      <c r="A11" s="19" t="s">
        <v>840</v>
      </c>
      <c r="E11" s="37" t="s">
        <v>781</v>
      </c>
      <c r="F11" t="s">
        <v>782</v>
      </c>
    </row>
    <row r="12" spans="1:6" ht="13">
      <c r="A12" s="19" t="s">
        <v>783</v>
      </c>
    </row>
    <row r="13" spans="1:6" ht="13">
      <c r="A13" s="19" t="s">
        <v>784</v>
      </c>
    </row>
    <row r="14" spans="1:6" ht="13">
      <c r="A14" s="19" t="s">
        <v>785</v>
      </c>
    </row>
    <row r="15" spans="1:6" ht="13">
      <c r="A15" s="19" t="s">
        <v>786</v>
      </c>
      <c r="C15" s="38">
        <f>C1</f>
        <v>45657</v>
      </c>
      <c r="D15" s="38">
        <f t="shared" ref="D15:F15" si="6">D1</f>
        <v>45291</v>
      </c>
      <c r="E15" s="38">
        <f t="shared" si="6"/>
        <v>44926</v>
      </c>
      <c r="F15" s="38">
        <f t="shared" si="6"/>
        <v>44561</v>
      </c>
    </row>
    <row r="16" spans="1:6" ht="13">
      <c r="B16" s="19" t="s">
        <v>688</v>
      </c>
      <c r="C16" s="39">
        <f>ROUND(HLOOKUP(C$1,bs!$C$1:$AA$110,MATCH("*"&amp;$B16&amp;"*",bs!$B$1:$B$110,),FALSE),0)/IF(LEN($A$15)&gt;4,10000,1)</f>
        <v>0</v>
      </c>
      <c r="D16" s="39">
        <f>ROUND(HLOOKUP(D$1,bs!$C$1:$AA$110,MATCH("*"&amp;$B16&amp;"*",bs!$B$1:$B$110,),FALSE),0)/IF(LEN($A$15)&gt;4,10000,1)</f>
        <v>0</v>
      </c>
      <c r="E16" s="39">
        <f>ROUND(HLOOKUP(E$1,bs!$C$1:$AA$110,MATCH("*"&amp;$B16&amp;"*",bs!$B$1:$B$110,),FALSE),0)/IF(LEN($A$15)&gt;4,10000,1)</f>
        <v>0</v>
      </c>
      <c r="F16" s="39">
        <f>ROUND(HLOOKUP(F$1,bs!$C$1:$AA$110,MATCH("*"&amp;$B16&amp;"*",bs!$B$1:$B$110,),FALSE),0)/IF(LEN($A$15)&gt;4,10000,1)</f>
        <v>0</v>
      </c>
    </row>
    <row r="17" spans="2:6" ht="13">
      <c r="B17" s="19" t="s">
        <v>787</v>
      </c>
      <c r="C17" s="39">
        <f>ROUND(HLOOKUP($C1,bs!$C$1:$AA$110,MATCH("*"&amp;$B17&amp;"*",bs!$B$1:$B$110,),FALSE),0)/IF(LEN($A$15)&gt;4,10000,1)</f>
        <v>0</v>
      </c>
      <c r="D17" s="39">
        <f>ROUND(HLOOKUP($C1,bs!$C$1:$AA$110,MATCH("*"&amp;$B17&amp;"*",bs!$B$1:$B$110,),FALSE),0)/IF(LEN($A$15)&gt;4,10000,1)</f>
        <v>0</v>
      </c>
      <c r="E17" s="39">
        <f>ROUND(HLOOKUP($C1,bs!$C$1:$AA$110,MATCH("*"&amp;$B17&amp;"*",bs!$B$1:$B$110,),FALSE),0)/IF(LEN($A$15)&gt;4,10000,1)</f>
        <v>0</v>
      </c>
      <c r="F17" s="39">
        <f>ROUND(HLOOKUP($C1,bs!$C$1:$AA$110,MATCH("*"&amp;$B17&amp;"*",bs!$B$1:$B$110,),FALSE),0)/IF(LEN($A$15)&gt;4,10000,1)</f>
        <v>0</v>
      </c>
    </row>
    <row r="18" spans="2:6" ht="13">
      <c r="B18" s="19" t="s">
        <v>788</v>
      </c>
      <c r="C18" s="39">
        <f>ROUND(HLOOKUP(C$1,bs!$C$1:$AA$110,MATCH("*"&amp;$B18&amp;"*",bs!$B$1:$B$110,),FALSE),0)/IF(LEN($A$15)&gt;4,10000,1)</f>
        <v>0</v>
      </c>
      <c r="D18" s="39">
        <f>ROUND(HLOOKUP(D$1,bs!$C$1:$AA$110,MATCH("*"&amp;$B18&amp;"*",bs!$B$1:$B$110,),FALSE),0)/IF(LEN($A$15)&gt;4,10000,1)</f>
        <v>0</v>
      </c>
      <c r="E18" s="39">
        <f>ROUND(HLOOKUP(E$1,bs!$C$1:$AA$110,MATCH("*"&amp;$B18&amp;"*",bs!$B$1:$B$110,),FALSE),0)/IF(LEN($A$15)&gt;4,10000,1)</f>
        <v>0</v>
      </c>
      <c r="F18" s="39">
        <f>ROUND(HLOOKUP(F$1,bs!$C$1:$AA$110,MATCH("*"&amp;$B18&amp;"*",bs!$B$1:$B$110,),FALSE),0)/IF(LEN($A$15)&gt;4,10000,1)</f>
        <v>0</v>
      </c>
    </row>
    <row r="19" spans="2:6">
      <c r="B19" s="40" t="s">
        <v>367</v>
      </c>
      <c r="C19" s="39">
        <f>ROUND(HLOOKUP(C$1,bs!$C$1:$AA$110,MATCH("*"&amp;$B19&amp;"*",bs!$B$1:$B$110,),FALSE),0)/IF(LEN($A$15)&gt;4,10000,1)</f>
        <v>0</v>
      </c>
      <c r="D19" s="39">
        <f>ROUND(HLOOKUP(D$1,bs!$C$1:$AA$110,MATCH("*"&amp;$B19&amp;"*",bs!$B$1:$B$110,),FALSE),0)/IF(LEN($A$15)&gt;4,10000,1)</f>
        <v>0</v>
      </c>
      <c r="E19" s="39">
        <f>ROUND(HLOOKUP(E$1,bs!$C$1:$AA$110,MATCH("*"&amp;$B19&amp;"*",bs!$B$1:$B$110,),FALSE),0)/IF(LEN($A$15)&gt;4,10000,1)</f>
        <v>0</v>
      </c>
      <c r="F19" s="39">
        <f>ROUND(HLOOKUP(F$1,bs!$C$1:$AA$110,MATCH("*"&amp;$B19&amp;"*",bs!$B$1:$B$110,),FALSE),0)/IF(LEN($A$15)&gt;4,10000,1)</f>
        <v>0</v>
      </c>
    </row>
    <row r="20" spans="2:6" ht="13">
      <c r="B20" s="19" t="s">
        <v>691</v>
      </c>
      <c r="C20" s="39">
        <f>ROUND(HLOOKUP(C$1,bs!$C$1:$AA$110,MATCH("*"&amp;$B20&amp;"*",bs!$B$1:$B$110,),FALSE),0)/IF(LEN($A$15)&gt;4,10000,1)</f>
        <v>0</v>
      </c>
      <c r="D20" s="39">
        <f>ROUND(HLOOKUP(D$1,bs!$C$1:$AA$110,MATCH("*"&amp;$B20&amp;"*",bs!$B$1:$B$110,),FALSE),0)/IF(LEN($A$15)&gt;4,10000,1)</f>
        <v>0</v>
      </c>
      <c r="E20" s="39">
        <f>ROUND(HLOOKUP(E$1,bs!$C$1:$AA$110,MATCH("*"&amp;$B20&amp;"*",bs!$B$1:$B$110,),FALSE),0)/IF(LEN($A$15)&gt;4,10000,1)</f>
        <v>0</v>
      </c>
      <c r="F20" s="39">
        <f>ROUND(HLOOKUP(F$1,bs!$C$1:$AA$110,MATCH("*"&amp;$B20&amp;"*",bs!$B$1:$B$110,),FALSE),0)/IF(LEN($A$15)&gt;4,10000,1)</f>
        <v>0</v>
      </c>
    </row>
    <row r="21" spans="2:6" ht="13">
      <c r="B21" s="19" t="s">
        <v>789</v>
      </c>
      <c r="C21" s="39">
        <f>ROUND(HLOOKUP(C$1,bs!$C$1:$AA$110,MATCH("*"&amp;$B21&amp;"*",bs!$B$1:$B$110,),FALSE),0)/IF(LEN($A$15)&gt;4,10000,1)</f>
        <v>0</v>
      </c>
      <c r="D21" s="39">
        <f>ROUND(HLOOKUP(D$1,bs!$C$1:$AA$110,MATCH("*"&amp;$B21&amp;"*",bs!$B$1:$B$110,),FALSE),0)/IF(LEN($A$15)&gt;4,10000,1)</f>
        <v>0</v>
      </c>
      <c r="E21" s="39">
        <f>ROUND(HLOOKUP(E$1,bs!$C$1:$AA$110,MATCH("*"&amp;$B21&amp;"*",bs!$B$1:$B$110,),FALSE),0)/IF(LEN($A$15)&gt;4,10000,1)</f>
        <v>0</v>
      </c>
      <c r="F21" s="39">
        <f>ROUND(HLOOKUP(F$1,bs!$C$1:$AA$110,MATCH("*"&amp;$B21&amp;"*",bs!$B$1:$B$110,),FALSE),0)/IF(LEN($A$15)&gt;4,10000,1)</f>
        <v>0</v>
      </c>
    </row>
    <row r="22" spans="2:6" ht="13">
      <c r="B22" s="19" t="s">
        <v>692</v>
      </c>
      <c r="C22" s="39">
        <f>ROUND(HLOOKUP(C$1,bs!$C$1:$AA$110,MATCH("*"&amp;$B22&amp;"*",bs!$B$1:$B$110,),FALSE),0)/IF(LEN($A$15)&gt;4,10000,1)</f>
        <v>0</v>
      </c>
      <c r="D22" s="39">
        <f>ROUND(HLOOKUP(D$1,bs!$C$1:$AA$110,MATCH("*"&amp;$B22&amp;"*",bs!$B$1:$B$110,),FALSE),0)/IF(LEN($A$15)&gt;4,10000,1)</f>
        <v>0</v>
      </c>
      <c r="E22" s="39">
        <f>ROUND(HLOOKUP(E$1,bs!$C$1:$AA$110,MATCH("*"&amp;$B22&amp;"*",bs!$B$1:$B$110,),FALSE),0)/IF(LEN($A$15)&gt;4,10000,1)</f>
        <v>0</v>
      </c>
      <c r="F22" s="39">
        <f>ROUND(HLOOKUP(F$1,bs!$C$1:$AA$110,MATCH("*"&amp;$B22&amp;"*",bs!$B$1:$B$110,),FALSE),0)/IF(LEN($A$15)&gt;4,10000,1)</f>
        <v>0</v>
      </c>
    </row>
    <row r="23" spans="2:6" ht="13">
      <c r="B23" s="19" t="s">
        <v>790</v>
      </c>
      <c r="C23" s="39">
        <f>SUM(C16,C19,C20,C22)</f>
        <v>0</v>
      </c>
      <c r="D23" s="39">
        <f t="shared" ref="D23:F23" si="7">SUM(D16,D19,D20,D22)</f>
        <v>0</v>
      </c>
      <c r="E23" s="39">
        <f t="shared" si="7"/>
        <v>0</v>
      </c>
      <c r="F23" s="39">
        <f t="shared" si="7"/>
        <v>0</v>
      </c>
    </row>
    <row r="24" spans="2:6">
      <c r="C24" s="41"/>
      <c r="D24" s="41"/>
      <c r="E24" s="41"/>
      <c r="F24" s="41"/>
    </row>
    <row r="25" spans="2:6">
      <c r="C25" s="41"/>
      <c r="D25" s="41"/>
      <c r="E25" s="41"/>
      <c r="F25" s="41"/>
    </row>
  </sheetData>
  <mergeCells count="3">
    <mergeCell ref="B10:F10"/>
    <mergeCell ref="A3:A7"/>
    <mergeCell ref="A8:A9"/>
  </mergeCells>
  <phoneticPr fontId="49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7"/>
  <sheetData>
    <row r="1" spans="1:1" ht="13">
      <c r="A1" s="19" t="s">
        <v>791</v>
      </c>
    </row>
    <row r="2" spans="1:1">
      <c r="A2" t="s">
        <v>792</v>
      </c>
    </row>
    <row r="3" spans="1:1" ht="13">
      <c r="A3" t="s">
        <v>793</v>
      </c>
    </row>
    <row r="4" spans="1:1">
      <c r="A4" t="s">
        <v>794</v>
      </c>
    </row>
    <row r="5" spans="1:1" ht="13">
      <c r="A5" t="s">
        <v>795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>
      <selection activeCell="I7" sqref="I7"/>
    </sheetView>
  </sheetViews>
  <sheetFormatPr defaultColWidth="9" defaultRowHeight="12.7"/>
  <cols>
    <col min="1" max="1" width="18" customWidth="1"/>
    <col min="4" max="4" width="15.1171875" customWidth="1"/>
    <col min="5" max="5" width="9.703125" customWidth="1"/>
    <col min="8" max="8" width="10.29296875" customWidth="1"/>
  </cols>
  <sheetData>
    <row r="1" spans="1:9" ht="13.7">
      <c r="A1" s="20" t="s">
        <v>796</v>
      </c>
      <c r="B1" s="20" t="s">
        <v>797</v>
      </c>
      <c r="C1" s="20" t="s">
        <v>798</v>
      </c>
      <c r="D1" s="20" t="s">
        <v>799</v>
      </c>
    </row>
    <row r="2" spans="1:9" ht="13.7">
      <c r="A2" s="21" t="s">
        <v>817</v>
      </c>
      <c r="B2" s="22" t="str">
        <f>LEFT(A2,4)</f>
        <v>2024</v>
      </c>
      <c r="C2" s="22" t="str">
        <f>RIGHT(A2,2)</f>
        <v>12</v>
      </c>
      <c r="D2" s="23" t="str">
        <f>TEXT(DATE(B2,C2+1,0),"e/m/d")</f>
        <v>2024/12/31</v>
      </c>
      <c r="E2" s="24" t="str">
        <f>B2&amp;B1&amp;C2&amp;C1</f>
        <v>2024年12月</v>
      </c>
      <c r="F2">
        <f>$B$2-I2</f>
        <v>2023</v>
      </c>
      <c r="G2" t="s">
        <v>800</v>
      </c>
      <c r="H2" t="str">
        <f>F2&amp;$G$2</f>
        <v>2023/12/31</v>
      </c>
      <c r="I2">
        <v>1</v>
      </c>
    </row>
    <row r="3" spans="1:9">
      <c r="F3">
        <f t="shared" ref="F3:F8" si="0">$B$2-I3</f>
        <v>2022</v>
      </c>
      <c r="H3" t="str">
        <f t="shared" ref="H3:H8" si="1">F3&amp;$G$2</f>
        <v>2022/12/31</v>
      </c>
      <c r="I3">
        <v>2</v>
      </c>
    </row>
    <row r="4" spans="1:9">
      <c r="A4" s="24"/>
      <c r="F4">
        <f t="shared" si="0"/>
        <v>2021</v>
      </c>
      <c r="H4" t="str">
        <f t="shared" si="1"/>
        <v>2021/12/31</v>
      </c>
      <c r="I4">
        <v>3</v>
      </c>
    </row>
    <row r="5" spans="1:9">
      <c r="F5">
        <f t="shared" si="0"/>
        <v>2020</v>
      </c>
      <c r="H5" t="str">
        <f t="shared" si="1"/>
        <v>2020/12/31</v>
      </c>
      <c r="I5">
        <v>4</v>
      </c>
    </row>
    <row r="6" spans="1:9">
      <c r="F6">
        <f t="shared" si="0"/>
        <v>2019</v>
      </c>
      <c r="H6" t="str">
        <f t="shared" si="1"/>
        <v>2019/12/31</v>
      </c>
      <c r="I6">
        <v>5</v>
      </c>
    </row>
    <row r="7" spans="1:9">
      <c r="F7">
        <f t="shared" si="0"/>
        <v>2018</v>
      </c>
      <c r="H7" t="str">
        <f t="shared" si="1"/>
        <v>2018/12/31</v>
      </c>
      <c r="I7">
        <v>6</v>
      </c>
    </row>
    <row r="8" spans="1:9">
      <c r="F8">
        <f t="shared" si="0"/>
        <v>2017</v>
      </c>
      <c r="H8" t="str">
        <f t="shared" si="1"/>
        <v>2017/12/31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7"/>
  <sheetViews>
    <sheetView workbookViewId="0">
      <selection activeCell="A8" sqref="A8"/>
    </sheetView>
  </sheetViews>
  <sheetFormatPr defaultColWidth="9.1171875" defaultRowHeight="12.7"/>
  <cols>
    <col min="1" max="1" width="5.29296875" customWidth="1"/>
    <col min="2" max="2" width="12.703125" customWidth="1"/>
    <col min="3" max="3" width="19.1171875" customWidth="1"/>
    <col min="4" max="4" width="14.703125" customWidth="1"/>
    <col min="5" max="5" width="24.41015625" customWidth="1"/>
    <col min="6" max="6" width="4.703125" customWidth="1"/>
  </cols>
  <sheetData>
    <row r="1" spans="1:6" ht="15">
      <c r="A1" s="8"/>
      <c r="B1" s="8"/>
      <c r="C1" s="9"/>
      <c r="D1" s="9"/>
      <c r="E1" s="9"/>
      <c r="F1" s="9"/>
    </row>
    <row r="2" spans="1:6" ht="14.35">
      <c r="A2" s="10"/>
      <c r="B2" s="11"/>
      <c r="C2" s="12"/>
      <c r="D2" s="13"/>
      <c r="E2" s="10"/>
      <c r="F2" s="10"/>
    </row>
    <row r="3" spans="1:6" ht="14.35">
      <c r="A3" s="10"/>
      <c r="B3" s="11"/>
      <c r="C3" s="14"/>
      <c r="D3" s="13"/>
      <c r="E3" s="10"/>
      <c r="F3" s="10"/>
    </row>
    <row r="4" spans="1:6" ht="14.35">
      <c r="A4" s="10"/>
      <c r="B4" s="11"/>
      <c r="C4" s="14"/>
      <c r="D4" s="13"/>
      <c r="E4" s="10"/>
      <c r="F4" s="10"/>
    </row>
    <row r="5" spans="1:6" ht="13">
      <c r="A5" s="15"/>
      <c r="B5" s="16"/>
      <c r="C5" s="16"/>
      <c r="D5" s="17"/>
      <c r="E5" s="16"/>
      <c r="F5" s="16"/>
    </row>
    <row r="6" spans="1:6">
      <c r="B6" s="18" t="s">
        <v>801</v>
      </c>
    </row>
    <row r="7" spans="1:6" ht="13">
      <c r="B7" s="19" t="s">
        <v>802</v>
      </c>
    </row>
  </sheetData>
  <phoneticPr fontId="49" type="noConversion"/>
  <pageMargins left="0.75" right="0.75" top="1" bottom="1" header="0.5" footer="0.5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E9"/>
  <sheetViews>
    <sheetView workbookViewId="0">
      <selection activeCell="E8" sqref="A2:E8"/>
    </sheetView>
  </sheetViews>
  <sheetFormatPr defaultColWidth="9" defaultRowHeight="12.7"/>
  <cols>
    <col min="1" max="1" width="5" customWidth="1"/>
    <col min="2" max="2" width="39.41015625" customWidth="1"/>
    <col min="3" max="3" width="12.87890625" customWidth="1"/>
    <col min="4" max="4" width="20.703125" customWidth="1"/>
    <col min="5" max="5" width="14.87890625" customWidth="1"/>
  </cols>
  <sheetData>
    <row r="1" spans="1:5" ht="15.7">
      <c r="A1" s="196" t="s">
        <v>803</v>
      </c>
      <c r="B1" s="197"/>
      <c r="C1" s="197"/>
      <c r="D1" s="197"/>
      <c r="E1" s="198"/>
    </row>
    <row r="2" spans="1:5" ht="15.7">
      <c r="A2" s="1" t="s">
        <v>804</v>
      </c>
      <c r="B2" s="1" t="s">
        <v>805</v>
      </c>
      <c r="C2" s="1" t="s">
        <v>806</v>
      </c>
      <c r="D2" s="1" t="s">
        <v>807</v>
      </c>
      <c r="E2" s="1" t="s">
        <v>808</v>
      </c>
    </row>
    <row r="3" spans="1:5" ht="15.35">
      <c r="A3" s="2">
        <v>1</v>
      </c>
      <c r="B3" s="2" t="s">
        <v>809</v>
      </c>
      <c r="C3" s="2" t="s">
        <v>810</v>
      </c>
      <c r="D3" s="3">
        <v>38153768.410031103</v>
      </c>
      <c r="E3" s="4" t="e">
        <f>D3/bs!$D$9</f>
        <v>#DIV/0!</v>
      </c>
    </row>
    <row r="4" spans="1:5" ht="15.35">
      <c r="A4" s="2">
        <v>2</v>
      </c>
      <c r="B4" s="2" t="s">
        <v>811</v>
      </c>
      <c r="C4" s="2" t="s">
        <v>810</v>
      </c>
      <c r="D4" s="3">
        <v>19345181.814546101</v>
      </c>
      <c r="E4" s="4" t="e">
        <f>D4/bs!$D$9</f>
        <v>#DIV/0!</v>
      </c>
    </row>
    <row r="5" spans="1:5" ht="15.35">
      <c r="A5" s="2">
        <v>3</v>
      </c>
      <c r="B5" s="2" t="s">
        <v>812</v>
      </c>
      <c r="C5" s="2" t="s">
        <v>810</v>
      </c>
      <c r="D5" s="3">
        <v>15144306.6453982</v>
      </c>
      <c r="E5" s="4" t="e">
        <f>D5/bs!$D$9</f>
        <v>#DIV/0!</v>
      </c>
    </row>
    <row r="6" spans="1:5" ht="15.35">
      <c r="A6" s="2">
        <v>4</v>
      </c>
      <c r="B6" s="5" t="s">
        <v>813</v>
      </c>
      <c r="C6" s="2" t="s">
        <v>814</v>
      </c>
      <c r="D6" s="6">
        <v>14230500</v>
      </c>
      <c r="E6" s="4" t="e">
        <f>D6/bs!$D$9</f>
        <v>#DIV/0!</v>
      </c>
    </row>
    <row r="7" spans="1:5" ht="15.35">
      <c r="A7" s="2">
        <v>5</v>
      </c>
      <c r="B7" s="5" t="s">
        <v>815</v>
      </c>
      <c r="C7" s="2" t="s">
        <v>810</v>
      </c>
      <c r="D7" s="6">
        <v>11559092.5317092</v>
      </c>
      <c r="E7" s="4" t="e">
        <f>D7/bs!$D$9</f>
        <v>#DIV/0!</v>
      </c>
    </row>
    <row r="8" spans="1:5" ht="15.35">
      <c r="A8" s="7"/>
      <c r="B8" s="7"/>
      <c r="C8" s="2" t="s">
        <v>816</v>
      </c>
      <c r="D8" s="3">
        <f>SUM(D3:D7)</f>
        <v>98432849.401684597</v>
      </c>
      <c r="E8" s="4" t="e">
        <f>D8/bs!$D$9</f>
        <v>#DIV/0!</v>
      </c>
    </row>
    <row r="9" spans="1:5" ht="15.35">
      <c r="A9" s="7"/>
      <c r="B9" s="7"/>
      <c r="C9" s="2"/>
      <c r="D9" s="3"/>
      <c r="E9" s="7"/>
    </row>
  </sheetData>
  <mergeCells count="1">
    <mergeCell ref="A1:E1"/>
  </mergeCells>
  <phoneticPr fontId="4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 晓冬</cp:lastModifiedBy>
  <dcterms:created xsi:type="dcterms:W3CDTF">2012-10-09T05:54:00Z</dcterms:created>
  <dcterms:modified xsi:type="dcterms:W3CDTF">2025-05-19T05:23:21Z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2052-11.8.0.16975</vt:lpwstr>
  </property>
  <property fmtid="{D5CDD505-2E9C-101B-9397-08002B2CF9AE}" pid="3" name="ICV">
    <vt:lpwstr>DD45C9D7017B4E9E8FF0D659D4B359C2</vt:lpwstr>
  </property>
  <property fmtid="{D5CDD505-2E9C-101B-9397-08002B2CF9AE}" pid="4" name="部门">
    <vt:lpwstr>业务四部</vt:lpwstr>
  </property>
</Properties>
</file>