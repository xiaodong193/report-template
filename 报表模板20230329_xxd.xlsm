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SynologyDrive\外贸金租工作文档\模板\"/>
    </mc:Choice>
  </mc:AlternateContent>
  <xr:revisionPtr revIDLastSave="0" documentId="13_ncr:1_{A3665B9A-A742-47E3-9086-9D7E56C961DA}" xr6:coauthVersionLast="47" xr6:coauthVersionMax="47" xr10:uidLastSave="{00000000-0000-0000-0000-000000000000}"/>
  <bookViews>
    <workbookView xWindow="2730" yWindow="720" windowWidth="23490" windowHeight="15480" tabRatio="885" xr2:uid="{00000000-000D-0000-FFFF-FFFF00000000}"/>
  </bookViews>
  <sheets>
    <sheet name="bs" sheetId="4" r:id="rId1"/>
    <sheet name="pl" sheetId="9" r:id="rId2"/>
    <sheet name="cf" sheetId="13" r:id="rId3"/>
    <sheet name="财务分析（2022）" sheetId="25" r:id="rId4"/>
    <sheet name="财务分析-万位" sheetId="8" state="hidden" r:id="rId5"/>
    <sheet name="资产负债权益结构分析" sheetId="22" r:id="rId6"/>
    <sheet name="现金流分析表" sheetId="19" r:id="rId7"/>
    <sheet name="财务对比分析表" sheetId="20" r:id="rId8"/>
    <sheet name="财务变化表" sheetId="21" r:id="rId9"/>
    <sheet name="刚性负债情况" sheetId="26" r:id="rId10"/>
    <sheet name="版本更新说明" sheetId="24" r:id="rId11"/>
    <sheet name="初始设置" sheetId="23" r:id="rId12"/>
    <sheet name="Sheet1" sheetId="27" r:id="rId13"/>
  </sheets>
  <definedNames>
    <definedName name="_xlnm._FilterDatabase" localSheetId="0" hidden="1">bs!$A$1:$H$69</definedName>
    <definedName name="_xlnm._FilterDatabase" localSheetId="2" hidden="1">cf!$A$1:$G$39</definedName>
    <definedName name="_xlnm._FilterDatabase" localSheetId="1" hidden="1">pl!$A$1:$H$43</definedName>
    <definedName name="_xlnm.Print_Area" localSheetId="3">'财务分析（2022）'!$A$1:$E$93</definedName>
  </definedNames>
  <calcPr calcId="191029"/>
  <customWorkbookViews>
    <customWorkbookView name="显示全部视图" guid="{EFE5EB9F-962C-4232-9E60-22B2AE19D01B}" maximized="1" xWindow="-8" yWindow="-8" windowWidth="1456" windowHeight="87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5" l="1"/>
  <c r="D5" i="27"/>
  <c r="C2" i="23"/>
  <c r="B2" i="23"/>
  <c r="F3" i="23" s="1"/>
  <c r="H3" i="23" s="1"/>
  <c r="E9" i="26"/>
  <c r="F8" i="26"/>
  <c r="E8" i="26"/>
  <c r="D8" i="26"/>
  <c r="F7" i="26"/>
  <c r="E7" i="26"/>
  <c r="D7" i="26"/>
  <c r="C7" i="26"/>
  <c r="F4" i="26"/>
  <c r="E4" i="26"/>
  <c r="D4" i="26"/>
  <c r="F3" i="26"/>
  <c r="E3" i="26"/>
  <c r="D3" i="26"/>
  <c r="C3" i="26"/>
  <c r="F2" i="26"/>
  <c r="E2" i="26"/>
  <c r="D2" i="26"/>
  <c r="C1" i="26"/>
  <c r="C3" i="21"/>
  <c r="F2" i="21"/>
  <c r="I25" i="20"/>
  <c r="H25" i="20" s="1"/>
  <c r="K24" i="20"/>
  <c r="J24" i="20"/>
  <c r="I24" i="20"/>
  <c r="H24" i="20"/>
  <c r="K12" i="20"/>
  <c r="J12" i="20"/>
  <c r="I12" i="20"/>
  <c r="H12" i="20"/>
  <c r="G11" i="20"/>
  <c r="G10" i="20"/>
  <c r="G9" i="20"/>
  <c r="G8" i="20"/>
  <c r="G7" i="20"/>
  <c r="G6" i="20"/>
  <c r="G5" i="20"/>
  <c r="G4" i="20"/>
  <c r="G3" i="20"/>
  <c r="B1" i="20"/>
  <c r="B8" i="20" s="1"/>
  <c r="H8" i="20" s="1"/>
  <c r="G11" i="19"/>
  <c r="G10" i="19"/>
  <c r="G9" i="19"/>
  <c r="G8" i="19"/>
  <c r="G7" i="19"/>
  <c r="G6" i="19"/>
  <c r="G5" i="19"/>
  <c r="G4" i="19"/>
  <c r="G3" i="19"/>
  <c r="G2" i="19"/>
  <c r="G1" i="19"/>
  <c r="B1" i="19"/>
  <c r="B11" i="19" s="1"/>
  <c r="H11" i="19" s="1"/>
  <c r="C2" i="22"/>
  <c r="C16" i="22" s="1"/>
  <c r="A75" i="8"/>
  <c r="A74" i="8"/>
  <c r="A73" i="8"/>
  <c r="A72" i="8"/>
  <c r="A71" i="8"/>
  <c r="A70" i="8"/>
  <c r="B69" i="8"/>
  <c r="A69" i="8"/>
  <c r="A68" i="8"/>
  <c r="B61" i="8"/>
  <c r="A61" i="8"/>
  <c r="A60" i="8"/>
  <c r="B20" i="8"/>
  <c r="B19" i="8"/>
  <c r="B18" i="8"/>
  <c r="B12" i="8"/>
  <c r="B11" i="8"/>
  <c r="B9" i="8"/>
  <c r="B8" i="8"/>
  <c r="B6" i="8"/>
  <c r="B3" i="8"/>
  <c r="B2" i="8"/>
  <c r="E1" i="8"/>
  <c r="E20" i="8" s="1"/>
  <c r="D1" i="8"/>
  <c r="D20" i="8" s="1"/>
  <c r="C1" i="8"/>
  <c r="C2" i="8" s="1"/>
  <c r="G71" i="25"/>
  <c r="B63" i="25"/>
  <c r="B48" i="25"/>
  <c r="B47" i="25"/>
  <c r="B44" i="25"/>
  <c r="B37" i="25"/>
  <c r="B36" i="25"/>
  <c r="B35" i="25"/>
  <c r="B32" i="25"/>
  <c r="B31" i="25"/>
  <c r="B30" i="25"/>
  <c r="B29" i="25"/>
  <c r="B28" i="25"/>
  <c r="B26" i="25"/>
  <c r="B25" i="25"/>
  <c r="B24" i="25"/>
  <c r="B22" i="25"/>
  <c r="B19" i="25"/>
  <c r="B18" i="25"/>
  <c r="B17" i="25"/>
  <c r="B15" i="25"/>
  <c r="B14" i="25"/>
  <c r="B13" i="25"/>
  <c r="B10" i="25"/>
  <c r="B8" i="25"/>
  <c r="B7" i="25"/>
  <c r="B6" i="25"/>
  <c r="I34" i="13"/>
  <c r="H34" i="13"/>
  <c r="G34" i="13"/>
  <c r="F34" i="13"/>
  <c r="E34" i="13"/>
  <c r="D34" i="13"/>
  <c r="C34" i="13"/>
  <c r="I30" i="13"/>
  <c r="B62" i="25" s="1"/>
  <c r="H30" i="13"/>
  <c r="G30" i="13"/>
  <c r="F30" i="13"/>
  <c r="E30" i="13"/>
  <c r="D30" i="13"/>
  <c r="C30" i="13"/>
  <c r="H24" i="13"/>
  <c r="G24" i="13"/>
  <c r="F24" i="13"/>
  <c r="E24" i="13"/>
  <c r="D24" i="13"/>
  <c r="C24" i="13"/>
  <c r="I24" i="13"/>
  <c r="I19" i="13"/>
  <c r="H19" i="13"/>
  <c r="G19" i="13"/>
  <c r="F19" i="13"/>
  <c r="E19" i="13"/>
  <c r="D19" i="13"/>
  <c r="C19" i="13"/>
  <c r="H11" i="13"/>
  <c r="G11" i="13"/>
  <c r="G12" i="13" s="1"/>
  <c r="F11" i="13"/>
  <c r="E11" i="13"/>
  <c r="D11" i="13"/>
  <c r="C11" i="13"/>
  <c r="H6" i="13"/>
  <c r="H12" i="13" s="1"/>
  <c r="G6" i="13"/>
  <c r="F6" i="13"/>
  <c r="E6" i="13"/>
  <c r="D6" i="13"/>
  <c r="C6" i="13"/>
  <c r="I6" i="13"/>
  <c r="B51" i="25"/>
  <c r="B46" i="25"/>
  <c r="B45" i="25"/>
  <c r="I5" i="9"/>
  <c r="H5" i="9"/>
  <c r="G5" i="9"/>
  <c r="F5" i="9"/>
  <c r="E5" i="9"/>
  <c r="B17" i="8" s="1"/>
  <c r="D5" i="9"/>
  <c r="C5" i="9"/>
  <c r="J2" i="9"/>
  <c r="I2" i="9"/>
  <c r="H2" i="9"/>
  <c r="G2" i="9"/>
  <c r="F2" i="9"/>
  <c r="E2" i="9"/>
  <c r="B16" i="8" s="1"/>
  <c r="D2" i="9"/>
  <c r="C2" i="9"/>
  <c r="L68" i="4"/>
  <c r="L67" i="4"/>
  <c r="M66" i="4"/>
  <c r="L66" i="4"/>
  <c r="L65" i="4"/>
  <c r="H65" i="4"/>
  <c r="H67" i="4" s="1"/>
  <c r="G65" i="4"/>
  <c r="G67" i="4" s="1"/>
  <c r="F65" i="4"/>
  <c r="E65" i="4"/>
  <c r="E67" i="4" s="1"/>
  <c r="D65" i="4"/>
  <c r="D67" i="4" s="1"/>
  <c r="C65" i="4"/>
  <c r="C67" i="4" s="1"/>
  <c r="M64" i="4"/>
  <c r="L64" i="4"/>
  <c r="L63" i="4"/>
  <c r="M63" i="4"/>
  <c r="L62" i="4"/>
  <c r="M62" i="4"/>
  <c r="M61" i="4"/>
  <c r="L61" i="4"/>
  <c r="M60" i="4"/>
  <c r="L60" i="4"/>
  <c r="L59" i="4"/>
  <c r="M59" i="4"/>
  <c r="I65" i="4"/>
  <c r="I67" i="4" s="1"/>
  <c r="L58" i="4"/>
  <c r="M58" i="4"/>
  <c r="L57" i="4"/>
  <c r="L56" i="4"/>
  <c r="H56" i="4"/>
  <c r="G56" i="4"/>
  <c r="E56" i="4"/>
  <c r="D56" i="4"/>
  <c r="C56" i="4"/>
  <c r="L55" i="4"/>
  <c r="C9" i="26"/>
  <c r="D9" i="26"/>
  <c r="F9" i="26"/>
  <c r="L54" i="4"/>
  <c r="M53" i="4"/>
  <c r="L53" i="4"/>
  <c r="M52" i="4"/>
  <c r="L52" i="4"/>
  <c r="M51" i="4"/>
  <c r="L51" i="4"/>
  <c r="C4" i="26"/>
  <c r="M50" i="4"/>
  <c r="L50" i="4"/>
  <c r="M49" i="4"/>
  <c r="L49" i="4"/>
  <c r="L48" i="4"/>
  <c r="H48" i="4"/>
  <c r="F48" i="4"/>
  <c r="E48" i="4"/>
  <c r="B10" i="8" s="1"/>
  <c r="D48" i="4"/>
  <c r="C48" i="4"/>
  <c r="C57" i="4" s="1"/>
  <c r="L47" i="4"/>
  <c r="I48" i="4"/>
  <c r="M46" i="4"/>
  <c r="L46" i="4"/>
  <c r="M45" i="4"/>
  <c r="L45" i="4"/>
  <c r="M44" i="4"/>
  <c r="L44" i="4"/>
  <c r="M43" i="4"/>
  <c r="L43" i="4"/>
  <c r="M42" i="4"/>
  <c r="L42" i="4"/>
  <c r="L41" i="4"/>
  <c r="M41" i="4"/>
  <c r="M40" i="4"/>
  <c r="L40" i="4"/>
  <c r="L39" i="4"/>
  <c r="M39" i="4"/>
  <c r="L38" i="4"/>
  <c r="M38" i="4"/>
  <c r="M37" i="4"/>
  <c r="L37" i="4"/>
  <c r="M36" i="4"/>
  <c r="L36" i="4"/>
  <c r="K36" i="4"/>
  <c r="L35" i="4"/>
  <c r="L34" i="4"/>
  <c r="M33" i="4"/>
  <c r="L33" i="4"/>
  <c r="M32" i="4"/>
  <c r="L32" i="4"/>
  <c r="M31" i="4"/>
  <c r="L31" i="4"/>
  <c r="M30" i="4"/>
  <c r="L30" i="4"/>
  <c r="L29" i="4"/>
  <c r="M29" i="4"/>
  <c r="L28" i="4"/>
  <c r="M28" i="4"/>
  <c r="M27" i="4"/>
  <c r="L27" i="4"/>
  <c r="M26" i="4"/>
  <c r="L26" i="4"/>
  <c r="M25" i="4"/>
  <c r="L25" i="4"/>
  <c r="M24" i="4"/>
  <c r="L24" i="4"/>
  <c r="M23" i="4"/>
  <c r="L23" i="4"/>
  <c r="L22" i="4"/>
  <c r="I22" i="4"/>
  <c r="I34" i="4" s="1"/>
  <c r="H22" i="4"/>
  <c r="H34" i="4" s="1"/>
  <c r="G22" i="4"/>
  <c r="F22" i="4"/>
  <c r="F34" i="4" s="1"/>
  <c r="E22" i="4"/>
  <c r="B5" i="8" s="1"/>
  <c r="D22" i="4"/>
  <c r="D34" i="4" s="1"/>
  <c r="C22" i="4"/>
  <c r="C34" i="4" s="1"/>
  <c r="M21" i="4"/>
  <c r="L21" i="4"/>
  <c r="M20" i="4"/>
  <c r="L20" i="4"/>
  <c r="L19" i="4"/>
  <c r="J22" i="4"/>
  <c r="B16" i="25" s="1"/>
  <c r="M18" i="4"/>
  <c r="L18" i="4"/>
  <c r="M17" i="4"/>
  <c r="L17" i="4"/>
  <c r="M16" i="4"/>
  <c r="L16" i="4"/>
  <c r="M15" i="4"/>
  <c r="L15" i="4"/>
  <c r="M14" i="4"/>
  <c r="L14" i="4"/>
  <c r="L13" i="4"/>
  <c r="H13" i="4"/>
  <c r="E13" i="4"/>
  <c r="B4" i="8" s="1"/>
  <c r="D13" i="4"/>
  <c r="C13" i="4"/>
  <c r="L12" i="4"/>
  <c r="I13" i="4"/>
  <c r="G13" i="4"/>
  <c r="M11" i="4"/>
  <c r="L11" i="4"/>
  <c r="L10" i="4"/>
  <c r="M10" i="4"/>
  <c r="M9" i="4"/>
  <c r="L9" i="4"/>
  <c r="M8" i="4"/>
  <c r="L8" i="4"/>
  <c r="L7" i="4"/>
  <c r="M7" i="4"/>
  <c r="L6" i="4"/>
  <c r="M6" i="4"/>
  <c r="M5" i="4"/>
  <c r="L5" i="4"/>
  <c r="L4" i="4"/>
  <c r="M4" i="4"/>
  <c r="M3" i="4"/>
  <c r="L3" i="4"/>
  <c r="M2" i="4"/>
  <c r="L2" i="4"/>
  <c r="C4" i="22" l="1"/>
  <c r="C25" i="13"/>
  <c r="D25" i="13"/>
  <c r="D35" i="13"/>
  <c r="B24" i="8" s="1"/>
  <c r="C35" i="4"/>
  <c r="H35" i="13"/>
  <c r="C64" i="25"/>
  <c r="D10" i="21" s="1"/>
  <c r="F12" i="13"/>
  <c r="H57" i="4"/>
  <c r="B6" i="20"/>
  <c r="H6" i="20" s="1"/>
  <c r="C48" i="22"/>
  <c r="D2" i="8"/>
  <c r="C17" i="8"/>
  <c r="D5" i="8"/>
  <c r="D9" i="8"/>
  <c r="G25" i="13"/>
  <c r="H25" i="13"/>
  <c r="F35" i="13"/>
  <c r="D12" i="13"/>
  <c r="E12" i="13"/>
  <c r="E25" i="13"/>
  <c r="G15" i="9"/>
  <c r="J5" i="9"/>
  <c r="B43" i="25" s="1"/>
  <c r="M12" i="4"/>
  <c r="M19" i="4"/>
  <c r="I56" i="4"/>
  <c r="I57" i="4" s="1"/>
  <c r="I68" i="4" s="1"/>
  <c r="H1" i="20"/>
  <c r="B4" i="20"/>
  <c r="H4" i="20" s="1"/>
  <c r="B5" i="20"/>
  <c r="H5" i="20" s="1"/>
  <c r="C54" i="22"/>
  <c r="E2" i="22"/>
  <c r="E17" i="22" s="1"/>
  <c r="C5" i="22"/>
  <c r="C20" i="22"/>
  <c r="C23" i="22"/>
  <c r="C28" i="22"/>
  <c r="C34" i="22"/>
  <c r="C42" i="22"/>
  <c r="D11" i="8"/>
  <c r="E61" i="8"/>
  <c r="D12" i="8"/>
  <c r="D3" i="8"/>
  <c r="E12" i="8"/>
  <c r="E5" i="8"/>
  <c r="D17" i="8"/>
  <c r="E69" i="8"/>
  <c r="D6" i="8"/>
  <c r="D8" i="8"/>
  <c r="C48" i="25"/>
  <c r="C51" i="25"/>
  <c r="G35" i="13"/>
  <c r="E24" i="8" s="1"/>
  <c r="C12" i="13"/>
  <c r="F25" i="13"/>
  <c r="E35" i="13"/>
  <c r="C24" i="8" s="1"/>
  <c r="F15" i="9"/>
  <c r="F18" i="9" s="1"/>
  <c r="F20" i="9" s="1"/>
  <c r="F22" i="9" s="1"/>
  <c r="F33" i="9" s="1"/>
  <c r="F39" i="9" s="1"/>
  <c r="H15" i="9"/>
  <c r="H18" i="9" s="1"/>
  <c r="H20" i="9" s="1"/>
  <c r="H22" i="9" s="1"/>
  <c r="H33" i="9" s="1"/>
  <c r="H39" i="9" s="1"/>
  <c r="I15" i="9"/>
  <c r="I18" i="9" s="1"/>
  <c r="I20" i="9" s="1"/>
  <c r="I22" i="9" s="1"/>
  <c r="I33" i="9" s="1"/>
  <c r="I39" i="9" s="1"/>
  <c r="C15" i="9"/>
  <c r="C18" i="9" s="1"/>
  <c r="C20" i="9" s="1"/>
  <c r="C22" i="9" s="1"/>
  <c r="C33" i="9" s="1"/>
  <c r="C39" i="9" s="1"/>
  <c r="D15" i="9"/>
  <c r="D18" i="9" s="1"/>
  <c r="D20" i="9" s="1"/>
  <c r="D22" i="9" s="1"/>
  <c r="D33" i="9" s="1"/>
  <c r="D39" i="9" s="1"/>
  <c r="J34" i="4"/>
  <c r="J48" i="4"/>
  <c r="E34" i="4"/>
  <c r="E35" i="4" s="1"/>
  <c r="B7" i="8" s="1"/>
  <c r="D35" i="4"/>
  <c r="G34" i="4"/>
  <c r="G35" i="4" s="1"/>
  <c r="F13" i="4"/>
  <c r="F35" i="4" s="1"/>
  <c r="H35" i="4"/>
  <c r="E7" i="8" s="1"/>
  <c r="E50" i="8" s="1"/>
  <c r="M22" i="4"/>
  <c r="C68" i="4"/>
  <c r="C69" i="4" s="1"/>
  <c r="I35" i="4"/>
  <c r="C21" i="25" s="1"/>
  <c r="D4" i="21" s="1"/>
  <c r="B27" i="25"/>
  <c r="B15" i="8"/>
  <c r="B9" i="25"/>
  <c r="J13" i="4"/>
  <c r="B12" i="25" s="1"/>
  <c r="H68" i="4"/>
  <c r="B20" i="25"/>
  <c r="D57" i="4"/>
  <c r="D68" i="4" s="1"/>
  <c r="D69" i="4" s="1"/>
  <c r="B28" i="8"/>
  <c r="B71" i="8" s="1"/>
  <c r="B27" i="8"/>
  <c r="B70" i="8" s="1"/>
  <c r="B3" i="19"/>
  <c r="B56" i="25"/>
  <c r="G18" i="9"/>
  <c r="G20" i="9" s="1"/>
  <c r="G22" i="9" s="1"/>
  <c r="G33" i="9" s="1"/>
  <c r="G39" i="9" s="1"/>
  <c r="D21" i="8"/>
  <c r="B25" i="8"/>
  <c r="D37" i="13"/>
  <c r="D39" i="13" s="1"/>
  <c r="B7" i="19"/>
  <c r="H7" i="19" s="1"/>
  <c r="B60" i="25"/>
  <c r="E57" i="4"/>
  <c r="B14" i="8" s="1"/>
  <c r="B13" i="8"/>
  <c r="B39" i="8"/>
  <c r="B40" i="8"/>
  <c r="B38" i="8"/>
  <c r="G48" i="4"/>
  <c r="M47" i="4"/>
  <c r="J56" i="4"/>
  <c r="B33" i="25" s="1"/>
  <c r="M54" i="4"/>
  <c r="B42" i="25"/>
  <c r="B80" i="25" s="1"/>
  <c r="J15" i="9"/>
  <c r="B59" i="25"/>
  <c r="I25" i="13"/>
  <c r="B61" i="25" s="1"/>
  <c r="B6" i="19"/>
  <c r="C35" i="13"/>
  <c r="C37" i="13" s="1"/>
  <c r="C39" i="13" s="1"/>
  <c r="C4" i="8"/>
  <c r="C59" i="25"/>
  <c r="C16" i="8"/>
  <c r="C14" i="22"/>
  <c r="C44" i="25"/>
  <c r="C8" i="26"/>
  <c r="C2" i="26"/>
  <c r="F56" i="4"/>
  <c r="I35" i="13"/>
  <c r="B64" i="25" s="1"/>
  <c r="C10" i="21" s="1"/>
  <c r="C7" i="25"/>
  <c r="C10" i="25"/>
  <c r="C13" i="25"/>
  <c r="C16" i="25"/>
  <c r="C19" i="25"/>
  <c r="C22" i="25"/>
  <c r="C25" i="25"/>
  <c r="C28" i="25"/>
  <c r="C31" i="25"/>
  <c r="C34" i="25"/>
  <c r="C37" i="25"/>
  <c r="C40" i="25"/>
  <c r="C56" i="25"/>
  <c r="E18" i="8"/>
  <c r="E13" i="8"/>
  <c r="C5" i="8"/>
  <c r="E8" i="8"/>
  <c r="E16" i="8"/>
  <c r="E40" i="8" s="1"/>
  <c r="E66" i="22"/>
  <c r="B10" i="19"/>
  <c r="H10" i="19" s="1"/>
  <c r="C63" i="25"/>
  <c r="F67" i="4"/>
  <c r="C15" i="8" s="1"/>
  <c r="B23" i="25"/>
  <c r="B38" i="25"/>
  <c r="C45" i="25"/>
  <c r="C60" i="25"/>
  <c r="E9" i="8"/>
  <c r="C13" i="8"/>
  <c r="E17" i="8"/>
  <c r="E2" i="8"/>
  <c r="E12" i="22"/>
  <c r="C22" i="22"/>
  <c r="E25" i="22"/>
  <c r="C32" i="22"/>
  <c r="B34" i="8"/>
  <c r="B37" i="8"/>
  <c r="B11" i="25"/>
  <c r="D3" i="25"/>
  <c r="C52" i="25"/>
  <c r="E6" i="8"/>
  <c r="C10" i="8"/>
  <c r="C18" i="8"/>
  <c r="E36" i="22"/>
  <c r="E57" i="22"/>
  <c r="D1" i="26"/>
  <c r="C1" i="20"/>
  <c r="D3" i="21"/>
  <c r="C1" i="19"/>
  <c r="C8" i="25"/>
  <c r="C11" i="25"/>
  <c r="C14" i="25"/>
  <c r="C17" i="25"/>
  <c r="C20" i="25"/>
  <c r="C23" i="25"/>
  <c r="C26" i="25"/>
  <c r="C29" i="25"/>
  <c r="C32" i="25"/>
  <c r="C35" i="25"/>
  <c r="C38" i="25"/>
  <c r="C42" i="25"/>
  <c r="C57" i="25"/>
  <c r="E3" i="25"/>
  <c r="C49" i="25"/>
  <c r="E10" i="8"/>
  <c r="E6" i="22"/>
  <c r="E19" i="22"/>
  <c r="B39" i="25"/>
  <c r="C46" i="25"/>
  <c r="B55" i="25"/>
  <c r="C58" i="25"/>
  <c r="E3" i="8"/>
  <c r="C7" i="8"/>
  <c r="E14" i="8"/>
  <c r="C19" i="8"/>
  <c r="E25" i="8"/>
  <c r="E71" i="22"/>
  <c r="M55" i="4"/>
  <c r="I11" i="13"/>
  <c r="C6" i="25"/>
  <c r="C9" i="25"/>
  <c r="C12" i="25"/>
  <c r="C15" i="25"/>
  <c r="C18" i="25"/>
  <c r="C24" i="25"/>
  <c r="C27" i="25"/>
  <c r="C30" i="25"/>
  <c r="C33" i="25"/>
  <c r="C36" i="25"/>
  <c r="C39" i="25"/>
  <c r="C43" i="25"/>
  <c r="C55" i="25"/>
  <c r="C11" i="8"/>
  <c r="E19" i="8"/>
  <c r="C74" i="22"/>
  <c r="C71" i="22"/>
  <c r="C68" i="22"/>
  <c r="C61" i="22"/>
  <c r="C58" i="22"/>
  <c r="C55" i="22"/>
  <c r="C52" i="22"/>
  <c r="C49" i="22"/>
  <c r="C46" i="22"/>
  <c r="C43" i="22"/>
  <c r="C36" i="22"/>
  <c r="C33" i="22"/>
  <c r="C30" i="22"/>
  <c r="C27" i="22"/>
  <c r="C24" i="22"/>
  <c r="C21" i="22"/>
  <c r="C18" i="22"/>
  <c r="C15" i="22"/>
  <c r="C12" i="22"/>
  <c r="C9" i="22"/>
  <c r="C6" i="22"/>
  <c r="C66" i="22"/>
  <c r="C57" i="22"/>
  <c r="C25" i="22"/>
  <c r="C7" i="22"/>
  <c r="C47" i="22"/>
  <c r="C39" i="22"/>
  <c r="C69" i="22"/>
  <c r="C60" i="22"/>
  <c r="C50" i="22"/>
  <c r="C72" i="22"/>
  <c r="C64" i="22"/>
  <c r="C45" i="22"/>
  <c r="C31" i="22"/>
  <c r="C13" i="22"/>
  <c r="C67" i="22"/>
  <c r="C53" i="22"/>
  <c r="C26" i="22"/>
  <c r="C8" i="22"/>
  <c r="C70" i="22"/>
  <c r="C56" i="22"/>
  <c r="C29" i="22"/>
  <c r="C11" i="22"/>
  <c r="C51" i="22"/>
  <c r="C19" i="22"/>
  <c r="C73" i="22"/>
  <c r="C59" i="22"/>
  <c r="C41" i="22"/>
  <c r="C44" i="22"/>
  <c r="C35" i="22"/>
  <c r="C17" i="22"/>
  <c r="C10" i="22"/>
  <c r="E13" i="22"/>
  <c r="J65" i="4"/>
  <c r="J67" i="4" s="1"/>
  <c r="E15" i="9"/>
  <c r="C50" i="25"/>
  <c r="D8" i="21" s="1"/>
  <c r="E15" i="8"/>
  <c r="E74" i="22"/>
  <c r="E69" i="22"/>
  <c r="E60" i="22"/>
  <c r="E42" i="22"/>
  <c r="E39" i="22"/>
  <c r="E33" i="22"/>
  <c r="E28" i="22"/>
  <c r="E15" i="22"/>
  <c r="E10" i="22"/>
  <c r="G2" i="22"/>
  <c r="E55" i="22"/>
  <c r="E50" i="22"/>
  <c r="E72" i="22"/>
  <c r="E67" i="22"/>
  <c r="E64" i="22"/>
  <c r="E58" i="22"/>
  <c r="E53" i="22"/>
  <c r="E48" i="22"/>
  <c r="E34" i="22"/>
  <c r="E21" i="22"/>
  <c r="E16" i="22"/>
  <c r="E75" i="22"/>
  <c r="F75" i="22" s="1"/>
  <c r="E70" i="22"/>
  <c r="E61" i="22"/>
  <c r="E56" i="22"/>
  <c r="E43" i="22"/>
  <c r="E29" i="22"/>
  <c r="E11" i="22"/>
  <c r="E73" i="22"/>
  <c r="E59" i="22"/>
  <c r="E46" i="22"/>
  <c r="E41" i="22"/>
  <c r="E32" i="22"/>
  <c r="E14" i="22"/>
  <c r="E68" i="22"/>
  <c r="E54" i="22"/>
  <c r="E27" i="22"/>
  <c r="E22" i="22"/>
  <c r="E9" i="22"/>
  <c r="E4" i="22"/>
  <c r="E62" i="22"/>
  <c r="F62" i="22" s="1"/>
  <c r="E49" i="22"/>
  <c r="E44" i="22"/>
  <c r="E52" i="22"/>
  <c r="E47" i="22"/>
  <c r="E20" i="22"/>
  <c r="E23" i="22"/>
  <c r="E51" i="22"/>
  <c r="C47" i="25"/>
  <c r="C62" i="25"/>
  <c r="C23" i="8"/>
  <c r="C25" i="8"/>
  <c r="C12" i="8"/>
  <c r="C9" i="8"/>
  <c r="C6" i="8"/>
  <c r="C3" i="8"/>
  <c r="B36" i="8" s="1"/>
  <c r="C21" i="8"/>
  <c r="C69" i="8"/>
  <c r="C61" i="8"/>
  <c r="C20" i="8"/>
  <c r="E4" i="8"/>
  <c r="C8" i="8"/>
  <c r="E11" i="8"/>
  <c r="E7" i="22"/>
  <c r="E30" i="22"/>
  <c r="E45" i="22"/>
  <c r="D25" i="8"/>
  <c r="D22" i="8"/>
  <c r="D19" i="8"/>
  <c r="D16" i="8"/>
  <c r="D37" i="8" s="1"/>
  <c r="D13" i="8"/>
  <c r="D4" i="8"/>
  <c r="D7" i="8"/>
  <c r="D10" i="8"/>
  <c r="B9" i="19"/>
  <c r="H1" i="19"/>
  <c r="D24" i="8"/>
  <c r="D61" i="8"/>
  <c r="D69" i="8"/>
  <c r="D18" i="8"/>
  <c r="D15" i="8"/>
  <c r="B7" i="20"/>
  <c r="H7" i="20" s="1"/>
  <c r="B3" i="20"/>
  <c r="H3" i="20" s="1"/>
  <c r="F4" i="23"/>
  <c r="H4" i="23" s="1"/>
  <c r="F5" i="23"/>
  <c r="H5" i="23" s="1"/>
  <c r="F6" i="23"/>
  <c r="H6" i="23" s="1"/>
  <c r="D2" i="23"/>
  <c r="F7" i="23"/>
  <c r="H7" i="23" s="1"/>
  <c r="E2" i="23"/>
  <c r="F2" i="23"/>
  <c r="H2" i="23" s="1"/>
  <c r="F8" i="23"/>
  <c r="H8" i="23" s="1"/>
  <c r="E26" i="22" l="1"/>
  <c r="F45" i="22"/>
  <c r="H37" i="13"/>
  <c r="M34" i="4"/>
  <c r="C34" i="8"/>
  <c r="C37" i="8"/>
  <c r="C61" i="25"/>
  <c r="H39" i="13"/>
  <c r="C65" i="25"/>
  <c r="C93" i="25" s="1"/>
  <c r="G37" i="13"/>
  <c r="G39" i="13" s="1"/>
  <c r="F37" i="13"/>
  <c r="F39" i="13" s="1"/>
  <c r="D34" i="8"/>
  <c r="D23" i="8"/>
  <c r="C49" i="8" s="1"/>
  <c r="C40" i="8"/>
  <c r="E39" i="8"/>
  <c r="C80" i="25"/>
  <c r="C91" i="25"/>
  <c r="C79" i="25"/>
  <c r="E23" i="8"/>
  <c r="E58" i="8" s="1"/>
  <c r="E22" i="8"/>
  <c r="E32" i="8" s="1"/>
  <c r="E75" i="8" s="1"/>
  <c r="D40" i="8"/>
  <c r="E21" i="8"/>
  <c r="D52" i="8" s="1"/>
  <c r="B91" i="25"/>
  <c r="C22" i="8"/>
  <c r="C53" i="8" s="1"/>
  <c r="B35" i="8"/>
  <c r="D50" i="8"/>
  <c r="E5" i="22"/>
  <c r="E24" i="22"/>
  <c r="B79" i="25"/>
  <c r="E37" i="13"/>
  <c r="E39" i="13" s="1"/>
  <c r="C70" i="25"/>
  <c r="D6" i="21" s="1"/>
  <c r="E37" i="22"/>
  <c r="F37" i="22" s="1"/>
  <c r="E35" i="22"/>
  <c r="E31" i="22"/>
  <c r="E18" i="22"/>
  <c r="F18" i="22" s="1"/>
  <c r="E8" i="22"/>
  <c r="F68" i="22"/>
  <c r="F70" i="22"/>
  <c r="F55" i="22"/>
  <c r="B56" i="8"/>
  <c r="C58" i="8"/>
  <c r="D39" i="8"/>
  <c r="D38" i="8"/>
  <c r="E56" i="8"/>
  <c r="B74" i="25"/>
  <c r="C78" i="25"/>
  <c r="B78" i="25"/>
  <c r="B77" i="25"/>
  <c r="I69" i="4"/>
  <c r="H69" i="4"/>
  <c r="B55" i="8"/>
  <c r="B30" i="8"/>
  <c r="B73" i="8" s="1"/>
  <c r="B8" i="19"/>
  <c r="H8" i="19" s="1"/>
  <c r="H9" i="19"/>
  <c r="F47" i="22"/>
  <c r="B21" i="8"/>
  <c r="E18" i="9"/>
  <c r="C68" i="25"/>
  <c r="C69" i="25"/>
  <c r="D9" i="21"/>
  <c r="C92" i="25"/>
  <c r="D7" i="21"/>
  <c r="C83" i="25"/>
  <c r="C9" i="19"/>
  <c r="C3" i="19"/>
  <c r="C6" i="19"/>
  <c r="C4" i="19"/>
  <c r="I4" i="19" s="1"/>
  <c r="C7" i="19"/>
  <c r="I7" i="19" s="1"/>
  <c r="C10" i="19"/>
  <c r="I10" i="19" s="1"/>
  <c r="I1" i="19"/>
  <c r="C11" i="19"/>
  <c r="I11" i="19" s="1"/>
  <c r="C56" i="8"/>
  <c r="E38" i="8"/>
  <c r="C27" i="8"/>
  <c r="C70" i="8" s="1"/>
  <c r="C28" i="8"/>
  <c r="C71" i="8" s="1"/>
  <c r="D43" i="8"/>
  <c r="D63" i="8" s="1"/>
  <c r="E34" i="8"/>
  <c r="E37" i="8"/>
  <c r="E43" i="8"/>
  <c r="E63" i="8" s="1"/>
  <c r="F52" i="22"/>
  <c r="F41" i="22"/>
  <c r="B40" i="25"/>
  <c r="B69" i="25"/>
  <c r="B68" i="25"/>
  <c r="C52" i="8"/>
  <c r="C43" i="8"/>
  <c r="C63" i="8" s="1"/>
  <c r="F44" i="22"/>
  <c r="F46" i="22"/>
  <c r="C77" i="25"/>
  <c r="C7" i="20"/>
  <c r="I7" i="20" s="1"/>
  <c r="C3" i="20"/>
  <c r="I3" i="20" s="1"/>
  <c r="C8" i="20"/>
  <c r="I8" i="20" s="1"/>
  <c r="C4" i="20"/>
  <c r="I4" i="20" s="1"/>
  <c r="C10" i="20"/>
  <c r="I10" i="20" s="1"/>
  <c r="I1" i="20"/>
  <c r="C5" i="20"/>
  <c r="I5" i="20" s="1"/>
  <c r="C9" i="20"/>
  <c r="C6" i="20"/>
  <c r="I6" i="20" s="1"/>
  <c r="F66" i="22"/>
  <c r="D5" i="21"/>
  <c r="C88" i="25"/>
  <c r="H6" i="19"/>
  <c r="B5" i="19"/>
  <c r="H5" i="19" s="1"/>
  <c r="C29" i="8"/>
  <c r="C72" i="8" s="1"/>
  <c r="C51" i="8"/>
  <c r="E3" i="21"/>
  <c r="E1" i="26"/>
  <c r="D1" i="19"/>
  <c r="D1" i="20"/>
  <c r="D63" i="25"/>
  <c r="D60" i="25"/>
  <c r="D57" i="25"/>
  <c r="D52" i="25"/>
  <c r="D49" i="25"/>
  <c r="D46" i="25"/>
  <c r="D43" i="25"/>
  <c r="D50" i="25"/>
  <c r="E8" i="21" s="1"/>
  <c r="D55" i="25"/>
  <c r="D39" i="25"/>
  <c r="D36" i="25"/>
  <c r="D33" i="25"/>
  <c r="D30" i="25"/>
  <c r="D27" i="25"/>
  <c r="D24" i="25"/>
  <c r="D21" i="25"/>
  <c r="E4" i="21" s="1"/>
  <c r="D18" i="25"/>
  <c r="D15" i="25"/>
  <c r="D12" i="25"/>
  <c r="D9" i="25"/>
  <c r="D6" i="25"/>
  <c r="D58" i="25"/>
  <c r="D37" i="25"/>
  <c r="D31" i="25"/>
  <c r="D28" i="25"/>
  <c r="D25" i="25"/>
  <c r="D22" i="25"/>
  <c r="D16" i="25"/>
  <c r="D13" i="25"/>
  <c r="D7" i="25"/>
  <c r="D61" i="25"/>
  <c r="D56" i="25"/>
  <c r="D64" i="25"/>
  <c r="E10" i="21" s="1"/>
  <c r="D45" i="25"/>
  <c r="D42" i="25"/>
  <c r="D38" i="25"/>
  <c r="D35" i="25"/>
  <c r="D32" i="25"/>
  <c r="D29" i="25"/>
  <c r="D26" i="25"/>
  <c r="D23" i="25"/>
  <c r="D20" i="25"/>
  <c r="D17" i="25"/>
  <c r="D14" i="25"/>
  <c r="D11" i="25"/>
  <c r="C74" i="25" s="1"/>
  <c r="D8" i="25"/>
  <c r="C76" i="25" s="1"/>
  <c r="D48" i="25"/>
  <c r="D10" i="25"/>
  <c r="D51" i="25"/>
  <c r="D40" i="25"/>
  <c r="C86" i="25" s="1"/>
  <c r="D19" i="25"/>
  <c r="D59" i="25"/>
  <c r="D44" i="25"/>
  <c r="D47" i="25"/>
  <c r="D62" i="25"/>
  <c r="F49" i="22"/>
  <c r="F59" i="22"/>
  <c r="F48" i="22"/>
  <c r="B4" i="19"/>
  <c r="H4" i="19" s="1"/>
  <c r="B57" i="25"/>
  <c r="M56" i="4"/>
  <c r="F57" i="4"/>
  <c r="F68" i="4" s="1"/>
  <c r="B48" i="8"/>
  <c r="F57" i="22"/>
  <c r="G75" i="22"/>
  <c r="H75" i="22" s="1"/>
  <c r="G72" i="22"/>
  <c r="G69" i="22"/>
  <c r="G66" i="22"/>
  <c r="G62" i="22"/>
  <c r="H62" i="22" s="1"/>
  <c r="G59" i="22"/>
  <c r="G56" i="22"/>
  <c r="G53" i="22"/>
  <c r="G50" i="22"/>
  <c r="G47" i="22"/>
  <c r="G44" i="22"/>
  <c r="G41" i="22"/>
  <c r="G37" i="22"/>
  <c r="H37" i="22" s="1"/>
  <c r="G34" i="22"/>
  <c r="G31" i="22"/>
  <c r="G28" i="22"/>
  <c r="G25" i="22"/>
  <c r="G22" i="22"/>
  <c r="G19" i="22"/>
  <c r="G16" i="22"/>
  <c r="G13" i="22"/>
  <c r="G10" i="22"/>
  <c r="G7" i="22"/>
  <c r="G4" i="22"/>
  <c r="G45" i="22"/>
  <c r="G36" i="22"/>
  <c r="G18" i="22"/>
  <c r="G67" i="22"/>
  <c r="G58" i="22"/>
  <c r="H58" i="22" s="1"/>
  <c r="G64" i="22"/>
  <c r="G70" i="22"/>
  <c r="G61" i="22"/>
  <c r="G51" i="22"/>
  <c r="G24" i="22"/>
  <c r="G6" i="22"/>
  <c r="G73" i="22"/>
  <c r="G46" i="22"/>
  <c r="G32" i="22"/>
  <c r="G14" i="22"/>
  <c r="G49" i="22"/>
  <c r="G35" i="22"/>
  <c r="G17" i="22"/>
  <c r="G71" i="22"/>
  <c r="G57" i="22"/>
  <c r="G30" i="22"/>
  <c r="G12" i="22"/>
  <c r="G52" i="22"/>
  <c r="G55" i="22"/>
  <c r="G39" i="22"/>
  <c r="G23" i="22"/>
  <c r="G5" i="22"/>
  <c r="I2" i="22"/>
  <c r="G60" i="22"/>
  <c r="H60" i="22" s="1"/>
  <c r="G26" i="22"/>
  <c r="G33" i="22"/>
  <c r="G29" i="22"/>
  <c r="G9" i="22"/>
  <c r="G43" i="22"/>
  <c r="G68" i="22"/>
  <c r="G48" i="22"/>
  <c r="G15" i="22"/>
  <c r="H15" i="22" s="1"/>
  <c r="G42" i="22"/>
  <c r="G8" i="22"/>
  <c r="G54" i="22"/>
  <c r="G21" i="22"/>
  <c r="G11" i="22"/>
  <c r="G27" i="22"/>
  <c r="G74" i="22"/>
  <c r="G20" i="22"/>
  <c r="F73" i="22"/>
  <c r="D27" i="8"/>
  <c r="D70" i="8" s="1"/>
  <c r="D28" i="8"/>
  <c r="D71" i="8" s="1"/>
  <c r="E28" i="8"/>
  <c r="E71" i="8" s="1"/>
  <c r="E27" i="8"/>
  <c r="E70" i="8" s="1"/>
  <c r="C42" i="8"/>
  <c r="C62" i="8" s="1"/>
  <c r="C46" i="8"/>
  <c r="C66" i="8" s="1"/>
  <c r="C45" i="8"/>
  <c r="C65" i="8" s="1"/>
  <c r="F58" i="22"/>
  <c r="F42" i="22"/>
  <c r="C89" i="25"/>
  <c r="F71" i="22"/>
  <c r="B49" i="25"/>
  <c r="J18" i="9"/>
  <c r="F53" i="22"/>
  <c r="F60" i="22"/>
  <c r="C75" i="22"/>
  <c r="D75" i="22" s="1"/>
  <c r="C38" i="8"/>
  <c r="M67" i="4"/>
  <c r="C7" i="21"/>
  <c r="B76" i="25"/>
  <c r="B83" i="25"/>
  <c r="I12" i="13"/>
  <c r="E68" i="4"/>
  <c r="E69" i="4" s="1"/>
  <c r="D29" i="8"/>
  <c r="D72" i="8" s="1"/>
  <c r="D51" i="8"/>
  <c r="D36" i="8"/>
  <c r="D35" i="8"/>
  <c r="D48" i="8"/>
  <c r="F43" i="22"/>
  <c r="F67" i="22"/>
  <c r="F69" i="22"/>
  <c r="C72" i="25"/>
  <c r="E31" i="8"/>
  <c r="E74" i="8" s="1"/>
  <c r="E48" i="8"/>
  <c r="E36" i="8"/>
  <c r="E35" i="8"/>
  <c r="H3" i="19"/>
  <c r="B29" i="8"/>
  <c r="B72" i="8" s="1"/>
  <c r="B51" i="8"/>
  <c r="D56" i="8"/>
  <c r="F51" i="22"/>
  <c r="F56" i="22"/>
  <c r="F72" i="22"/>
  <c r="F74" i="22"/>
  <c r="C39" i="8"/>
  <c r="M13" i="4"/>
  <c r="B31" i="8"/>
  <c r="B74" i="8" s="1"/>
  <c r="J35" i="4"/>
  <c r="M35" i="4" s="1"/>
  <c r="D32" i="8"/>
  <c r="D75" i="8" s="1"/>
  <c r="D44" i="8"/>
  <c r="D64" i="8" s="1"/>
  <c r="F54" i="22"/>
  <c r="F61" i="22"/>
  <c r="F50" i="22"/>
  <c r="E29" i="8"/>
  <c r="E72" i="8" s="1"/>
  <c r="E51" i="8"/>
  <c r="E30" i="8"/>
  <c r="E73" i="8" s="1"/>
  <c r="E55" i="8"/>
  <c r="C84" i="25"/>
  <c r="B50" i="8"/>
  <c r="J57" i="4"/>
  <c r="C50" i="8"/>
  <c r="F3" i="21"/>
  <c r="F1" i="26"/>
  <c r="E1" i="20"/>
  <c r="E55" i="25"/>
  <c r="E39" i="25"/>
  <c r="E36" i="25"/>
  <c r="E33" i="25"/>
  <c r="E30" i="25"/>
  <c r="E27" i="25"/>
  <c r="E24" i="25"/>
  <c r="E21" i="25"/>
  <c r="F4" i="21" s="1"/>
  <c r="E18" i="25"/>
  <c r="E15" i="25"/>
  <c r="E12" i="25"/>
  <c r="E9" i="25"/>
  <c r="E6" i="25"/>
  <c r="E58" i="25"/>
  <c r="E43" i="25"/>
  <c r="E59" i="25"/>
  <c r="E61" i="25"/>
  <c r="E46" i="25"/>
  <c r="E44" i="25"/>
  <c r="E64" i="25"/>
  <c r="F10" i="21" s="1"/>
  <c r="E49" i="25"/>
  <c r="E52" i="25"/>
  <c r="E42" i="25"/>
  <c r="E38" i="25"/>
  <c r="E35" i="25"/>
  <c r="E32" i="25"/>
  <c r="E29" i="25"/>
  <c r="E26" i="25"/>
  <c r="E23" i="25"/>
  <c r="E20" i="25"/>
  <c r="E17" i="25"/>
  <c r="E14" i="25"/>
  <c r="E11" i="25"/>
  <c r="E8" i="25"/>
  <c r="E48" i="25"/>
  <c r="E57" i="25"/>
  <c r="E45" i="25"/>
  <c r="E60" i="25"/>
  <c r="E63" i="25"/>
  <c r="E51" i="25"/>
  <c r="E1" i="19"/>
  <c r="E56" i="25"/>
  <c r="E40" i="25"/>
  <c r="E37" i="25"/>
  <c r="E34" i="25"/>
  <c r="E31" i="25"/>
  <c r="E28" i="25"/>
  <c r="E25" i="25"/>
  <c r="E22" i="25"/>
  <c r="E19" i="25"/>
  <c r="E16" i="25"/>
  <c r="E13" i="25"/>
  <c r="E10" i="25"/>
  <c r="E7" i="25"/>
  <c r="E62" i="25"/>
  <c r="E47" i="25"/>
  <c r="E50" i="25"/>
  <c r="F8" i="21" s="1"/>
  <c r="E65" i="25"/>
  <c r="C82" i="25"/>
  <c r="C85" i="25"/>
  <c r="C48" i="8"/>
  <c r="C36" i="8"/>
  <c r="C35" i="8"/>
  <c r="M48" i="4"/>
  <c r="G57" i="4"/>
  <c r="D34" i="25" s="1"/>
  <c r="D70" i="25" s="1"/>
  <c r="E6" i="21" s="1"/>
  <c r="M65" i="4"/>
  <c r="H52" i="22" l="1"/>
  <c r="H44" i="22"/>
  <c r="H47" i="22"/>
  <c r="H43" i="22"/>
  <c r="H57" i="22"/>
  <c r="H61" i="22"/>
  <c r="H53" i="22"/>
  <c r="D58" i="8"/>
  <c r="H42" i="22"/>
  <c r="D68" i="22"/>
  <c r="E46" i="8"/>
  <c r="E66" i="8" s="1"/>
  <c r="E42" i="8"/>
  <c r="E62" i="8" s="1"/>
  <c r="E45" i="8"/>
  <c r="E65" i="8" s="1"/>
  <c r="E44" i="8"/>
  <c r="E64" i="8" s="1"/>
  <c r="D49" i="8"/>
  <c r="E49" i="8"/>
  <c r="E52" i="8"/>
  <c r="D53" i="8"/>
  <c r="D45" i="8"/>
  <c r="D65" i="8" s="1"/>
  <c r="D65" i="25"/>
  <c r="D93" i="25" s="1"/>
  <c r="E53" i="8"/>
  <c r="D42" i="8"/>
  <c r="D62" i="8" s="1"/>
  <c r="D46" i="8"/>
  <c r="D66" i="8" s="1"/>
  <c r="C44" i="8"/>
  <c r="C64" i="8" s="1"/>
  <c r="C32" i="8"/>
  <c r="C75" i="8" s="1"/>
  <c r="E78" i="25"/>
  <c r="E79" i="25"/>
  <c r="E80" i="25"/>
  <c r="F24" i="22"/>
  <c r="H48" i="22"/>
  <c r="F22" i="22"/>
  <c r="F34" i="22"/>
  <c r="F29" i="22"/>
  <c r="H51" i="22"/>
  <c r="H50" i="22"/>
  <c r="F23" i="22"/>
  <c r="F28" i="22"/>
  <c r="F4" i="22"/>
  <c r="F14" i="22"/>
  <c r="F30" i="22"/>
  <c r="F8" i="22"/>
  <c r="H54" i="22"/>
  <c r="H49" i="22"/>
  <c r="H46" i="22"/>
  <c r="F12" i="22"/>
  <c r="F31" i="22"/>
  <c r="F35" i="22"/>
  <c r="F27" i="22"/>
  <c r="E91" i="25"/>
  <c r="D89" i="25"/>
  <c r="F36" i="22"/>
  <c r="D69" i="22"/>
  <c r="F6" i="22"/>
  <c r="F13" i="22"/>
  <c r="B2" i="19"/>
  <c r="H2" i="19" s="1"/>
  <c r="H56" i="22"/>
  <c r="H59" i="22"/>
  <c r="F19" i="22"/>
  <c r="F5" i="22"/>
  <c r="F15" i="22"/>
  <c r="F11" i="22"/>
  <c r="F21" i="22"/>
  <c r="F7" i="22"/>
  <c r="F25" i="22"/>
  <c r="F20" i="22"/>
  <c r="F10" i="22"/>
  <c r="D67" i="22"/>
  <c r="H45" i="22"/>
  <c r="F9" i="22"/>
  <c r="F26" i="22"/>
  <c r="F16" i="22"/>
  <c r="H55" i="22"/>
  <c r="H41" i="22"/>
  <c r="F17" i="22"/>
  <c r="F33" i="22"/>
  <c r="F32" i="22"/>
  <c r="E70" i="25"/>
  <c r="F6" i="21" s="1"/>
  <c r="E84" i="25"/>
  <c r="E72" i="25"/>
  <c r="D73" i="22"/>
  <c r="D70" i="22"/>
  <c r="H73" i="22"/>
  <c r="H4" i="22"/>
  <c r="E7" i="21"/>
  <c r="D76" i="25"/>
  <c r="D83" i="25"/>
  <c r="D75" i="25"/>
  <c r="E10" i="19"/>
  <c r="K10" i="19" s="1"/>
  <c r="E4" i="19"/>
  <c r="K4" i="19" s="1"/>
  <c r="K1" i="19"/>
  <c r="E7" i="19"/>
  <c r="K7" i="19" s="1"/>
  <c r="E11" i="19"/>
  <c r="K11" i="19" s="1"/>
  <c r="E6" i="19"/>
  <c r="E3" i="19"/>
  <c r="E9" i="19"/>
  <c r="E89" i="25"/>
  <c r="B34" i="25"/>
  <c r="C62" i="22"/>
  <c r="H68" i="22"/>
  <c r="H6" i="22"/>
  <c r="H7" i="22"/>
  <c r="D78" i="25"/>
  <c r="D7" i="20"/>
  <c r="J7" i="20" s="1"/>
  <c r="D3" i="20"/>
  <c r="J3" i="20" s="1"/>
  <c r="D8" i="20"/>
  <c r="J8" i="20" s="1"/>
  <c r="D4" i="20"/>
  <c r="J4" i="20" s="1"/>
  <c r="J1" i="20"/>
  <c r="D10" i="20"/>
  <c r="J10" i="20" s="1"/>
  <c r="D6" i="20"/>
  <c r="J6" i="20" s="1"/>
  <c r="D5" i="20"/>
  <c r="J5" i="20" s="1"/>
  <c r="D9" i="20"/>
  <c r="I6" i="19"/>
  <c r="C5" i="19"/>
  <c r="I5" i="19" s="1"/>
  <c r="D66" i="22"/>
  <c r="E74" i="25"/>
  <c r="E77" i="25"/>
  <c r="H12" i="22"/>
  <c r="H24" i="22"/>
  <c r="H10" i="22"/>
  <c r="M57" i="4"/>
  <c r="C14" i="8"/>
  <c r="E9" i="21"/>
  <c r="D92" i="25"/>
  <c r="D9" i="19"/>
  <c r="D3" i="19"/>
  <c r="D4" i="19"/>
  <c r="J4" i="19" s="1"/>
  <c r="D7" i="19"/>
  <c r="J7" i="19" s="1"/>
  <c r="D10" i="19"/>
  <c r="J10" i="19" s="1"/>
  <c r="D11" i="19"/>
  <c r="J11" i="19" s="1"/>
  <c r="D6" i="19"/>
  <c r="J1" i="19"/>
  <c r="C11" i="20"/>
  <c r="I11" i="20" s="1"/>
  <c r="I9" i="20"/>
  <c r="I3" i="19"/>
  <c r="C2" i="19"/>
  <c r="I2" i="19" s="1"/>
  <c r="F9" i="21"/>
  <c r="E92" i="25"/>
  <c r="F69" i="4"/>
  <c r="H20" i="22"/>
  <c r="H9" i="22"/>
  <c r="H30" i="22"/>
  <c r="H13" i="22"/>
  <c r="D91" i="25"/>
  <c r="I9" i="19"/>
  <c r="C8" i="19"/>
  <c r="I8" i="19" s="1"/>
  <c r="B22" i="8"/>
  <c r="E20" i="9"/>
  <c r="B50" i="25"/>
  <c r="C8" i="21" s="1"/>
  <c r="J20" i="9"/>
  <c r="H74" i="22"/>
  <c r="H29" i="22"/>
  <c r="H16" i="22"/>
  <c r="B52" i="8"/>
  <c r="B43" i="8"/>
  <c r="B63" i="8" s="1"/>
  <c r="E8" i="20"/>
  <c r="K8" i="20" s="1"/>
  <c r="E4" i="20"/>
  <c r="K4" i="20" s="1"/>
  <c r="K1" i="20"/>
  <c r="E9" i="20"/>
  <c r="E7" i="20"/>
  <c r="K7" i="20" s="1"/>
  <c r="E6" i="20"/>
  <c r="K6" i="20" s="1"/>
  <c r="E10" i="20"/>
  <c r="K10" i="20" s="1"/>
  <c r="E5" i="20"/>
  <c r="K5" i="20" s="1"/>
  <c r="E3" i="20"/>
  <c r="K3" i="20" s="1"/>
  <c r="D71" i="22"/>
  <c r="H27" i="22"/>
  <c r="H33" i="22"/>
  <c r="H71" i="22"/>
  <c r="H70" i="22"/>
  <c r="H19" i="22"/>
  <c r="D80" i="25"/>
  <c r="D68" i="25"/>
  <c r="D69" i="25"/>
  <c r="C5" i="21"/>
  <c r="F7" i="21"/>
  <c r="E76" i="25"/>
  <c r="E83" i="25"/>
  <c r="E75" i="25"/>
  <c r="E69" i="25"/>
  <c r="E68" i="25"/>
  <c r="B9" i="20"/>
  <c r="I37" i="13"/>
  <c r="B58" i="25"/>
  <c r="H11" i="22"/>
  <c r="H26" i="22"/>
  <c r="H17" i="22"/>
  <c r="H22" i="22"/>
  <c r="D74" i="25"/>
  <c r="D77" i="25"/>
  <c r="J68" i="4"/>
  <c r="J69" i="4" s="1"/>
  <c r="C75" i="25"/>
  <c r="F5" i="21"/>
  <c r="E88" i="25"/>
  <c r="D14" i="8"/>
  <c r="G68" i="4"/>
  <c r="G69" i="4" s="1"/>
  <c r="E93" i="25"/>
  <c r="E86" i="25"/>
  <c r="E85" i="25"/>
  <c r="E82" i="25"/>
  <c r="D74" i="22"/>
  <c r="H21" i="22"/>
  <c r="H35" i="22"/>
  <c r="H25" i="22"/>
  <c r="D79" i="25"/>
  <c r="B21" i="25"/>
  <c r="C37" i="22"/>
  <c r="I74" i="22"/>
  <c r="I53" i="22"/>
  <c r="I48" i="22"/>
  <c r="I21" i="22"/>
  <c r="I70" i="22"/>
  <c r="I64" i="22"/>
  <c r="I61" i="22"/>
  <c r="I43" i="22"/>
  <c r="I34" i="22"/>
  <c r="I75" i="22"/>
  <c r="J75" i="22" s="1"/>
  <c r="I56" i="22"/>
  <c r="I73" i="22"/>
  <c r="I46" i="22"/>
  <c r="I68" i="22"/>
  <c r="I59" i="22"/>
  <c r="I54" i="22"/>
  <c r="I41" i="22"/>
  <c r="I27" i="22"/>
  <c r="I9" i="22"/>
  <c r="I49" i="22"/>
  <c r="I35" i="22"/>
  <c r="I22" i="22"/>
  <c r="I17" i="22"/>
  <c r="I4" i="22"/>
  <c r="I66" i="22"/>
  <c r="I52" i="22"/>
  <c r="I25" i="22"/>
  <c r="I20" i="22"/>
  <c r="I7" i="22"/>
  <c r="I60" i="22"/>
  <c r="I47" i="22"/>
  <c r="I42" i="22"/>
  <c r="I33" i="22"/>
  <c r="I15" i="22"/>
  <c r="I69" i="22"/>
  <c r="I55" i="22"/>
  <c r="I72" i="22"/>
  <c r="I67" i="22"/>
  <c r="I58" i="22"/>
  <c r="I31" i="22"/>
  <c r="I26" i="22"/>
  <c r="I13" i="22"/>
  <c r="I8" i="22"/>
  <c r="I51" i="22"/>
  <c r="I37" i="22"/>
  <c r="J37" i="22" s="1"/>
  <c r="I29" i="22"/>
  <c r="J29" i="22" s="1"/>
  <c r="I16" i="22"/>
  <c r="I71" i="22"/>
  <c r="I50" i="22"/>
  <c r="I44" i="22"/>
  <c r="I6" i="22"/>
  <c r="I19" i="22"/>
  <c r="I57" i="22"/>
  <c r="I36" i="22"/>
  <c r="I32" i="22"/>
  <c r="I12" i="22"/>
  <c r="I28" i="22"/>
  <c r="I5" i="22"/>
  <c r="J5" i="22" s="1"/>
  <c r="I18" i="22"/>
  <c r="I11" i="22"/>
  <c r="I24" i="22"/>
  <c r="I14" i="22"/>
  <c r="I62" i="22"/>
  <c r="J62" i="22" s="1"/>
  <c r="I30" i="22"/>
  <c r="I45" i="22"/>
  <c r="I39" i="22"/>
  <c r="I23" i="22"/>
  <c r="I10" i="22"/>
  <c r="H67" i="22"/>
  <c r="H28" i="22"/>
  <c r="H66" i="22"/>
  <c r="D84" i="25"/>
  <c r="H8" i="22"/>
  <c r="H5" i="22"/>
  <c r="H14" i="22"/>
  <c r="H18" i="22"/>
  <c r="H31" i="22"/>
  <c r="H69" i="22"/>
  <c r="D72" i="22"/>
  <c r="E5" i="21"/>
  <c r="D88" i="25"/>
  <c r="D85" i="25"/>
  <c r="D82" i="25"/>
  <c r="D86" i="25"/>
  <c r="H23" i="22"/>
  <c r="H32" i="22"/>
  <c r="H36" i="22"/>
  <c r="H34" i="22"/>
  <c r="H72" i="22"/>
  <c r="D72" i="25"/>
  <c r="J18" i="22" l="1"/>
  <c r="J16" i="22"/>
  <c r="G83" i="25"/>
  <c r="J28" i="22"/>
  <c r="J23" i="22"/>
  <c r="J10" i="22"/>
  <c r="J32" i="22"/>
  <c r="J24" i="22"/>
  <c r="J72" i="22"/>
  <c r="J66" i="22"/>
  <c r="J74" i="22"/>
  <c r="J11" i="22"/>
  <c r="J71" i="22"/>
  <c r="J4" i="22"/>
  <c r="J69" i="22"/>
  <c r="M11" i="19"/>
  <c r="J46" i="22"/>
  <c r="J55" i="22"/>
  <c r="J17" i="22"/>
  <c r="J56" i="22"/>
  <c r="J15" i="22"/>
  <c r="J22" i="22"/>
  <c r="J50" i="22"/>
  <c r="J51" i="22"/>
  <c r="J8" i="22"/>
  <c r="J47" i="22"/>
  <c r="J9" i="22"/>
  <c r="J61" i="22"/>
  <c r="J36" i="22"/>
  <c r="J13" i="22"/>
  <c r="J60" i="22"/>
  <c r="J27" i="22"/>
  <c r="J45" i="22"/>
  <c r="J57" i="22"/>
  <c r="J26" i="22"/>
  <c r="J7" i="22"/>
  <c r="J41" i="22"/>
  <c r="B10" i="20"/>
  <c r="H10" i="20" s="1"/>
  <c r="J22" i="9"/>
  <c r="J33" i="9" s="1"/>
  <c r="J39" i="9" s="1"/>
  <c r="B52" i="25"/>
  <c r="D55" i="8"/>
  <c r="D30" i="8"/>
  <c r="D73" i="8" s="1"/>
  <c r="D31" i="8"/>
  <c r="D74" i="8" s="1"/>
  <c r="B65" i="25"/>
  <c r="B93" i="25" s="1"/>
  <c r="I39" i="13"/>
  <c r="J3" i="19"/>
  <c r="D2" i="19"/>
  <c r="J2" i="19" s="1"/>
  <c r="M4" i="19"/>
  <c r="M68" i="4"/>
  <c r="J33" i="22"/>
  <c r="J35" i="22"/>
  <c r="J34" i="22"/>
  <c r="H9" i="20"/>
  <c r="B23" i="8"/>
  <c r="E22" i="9"/>
  <c r="E33" i="9" s="1"/>
  <c r="E39" i="9" s="1"/>
  <c r="J9" i="19"/>
  <c r="D8" i="19"/>
  <c r="J8" i="19" s="1"/>
  <c r="M10" i="19"/>
  <c r="J12" i="22"/>
  <c r="J42" i="22"/>
  <c r="J49" i="22"/>
  <c r="J43" i="22"/>
  <c r="G68" i="25"/>
  <c r="K9" i="20"/>
  <c r="E11" i="20"/>
  <c r="K11" i="20" s="1"/>
  <c r="B44" i="8"/>
  <c r="B64" i="8" s="1"/>
  <c r="B32" i="8"/>
  <c r="B75" i="8" s="1"/>
  <c r="B53" i="8"/>
  <c r="D11" i="20"/>
  <c r="J11" i="20" s="1"/>
  <c r="J9" i="20"/>
  <c r="G69" i="25"/>
  <c r="D62" i="22"/>
  <c r="D48" i="22"/>
  <c r="D42" i="22"/>
  <c r="D54" i="22"/>
  <c r="D44" i="22"/>
  <c r="D53" i="22"/>
  <c r="D58" i="22"/>
  <c r="D41" i="22"/>
  <c r="D52" i="22"/>
  <c r="D47" i="22"/>
  <c r="D56" i="22"/>
  <c r="D61" i="22"/>
  <c r="D60" i="22"/>
  <c r="D51" i="22"/>
  <c r="D59" i="22"/>
  <c r="D45" i="22"/>
  <c r="D55" i="22"/>
  <c r="D57" i="22"/>
  <c r="D46" i="22"/>
  <c r="D43" i="22"/>
  <c r="D49" i="22"/>
  <c r="D50" i="22"/>
  <c r="C4" i="21"/>
  <c r="B75" i="25"/>
  <c r="B89" i="25"/>
  <c r="C55" i="8"/>
  <c r="C30" i="8"/>
  <c r="C73" i="8" s="1"/>
  <c r="C31" i="8"/>
  <c r="C74" i="8" s="1"/>
  <c r="B70" i="25"/>
  <c r="B72" i="25"/>
  <c r="G72" i="25" s="1"/>
  <c r="C9" i="21"/>
  <c r="B92" i="25"/>
  <c r="J30" i="22"/>
  <c r="J19" i="22"/>
  <c r="J31" i="22"/>
  <c r="J20" i="22"/>
  <c r="J54" i="22"/>
  <c r="J21" i="22"/>
  <c r="E8" i="19"/>
  <c r="K8" i="19" s="1"/>
  <c r="K9" i="19"/>
  <c r="J70" i="22"/>
  <c r="J6" i="22"/>
  <c r="J58" i="22"/>
  <c r="J25" i="22"/>
  <c r="J59" i="22"/>
  <c r="J48" i="22"/>
  <c r="B84" i="25"/>
  <c r="J6" i="19"/>
  <c r="D5" i="19"/>
  <c r="J5" i="19" s="1"/>
  <c r="E2" i="19"/>
  <c r="K2" i="19" s="1"/>
  <c r="K3" i="19"/>
  <c r="J14" i="22"/>
  <c r="J44" i="22"/>
  <c r="J67" i="22"/>
  <c r="J52" i="22"/>
  <c r="J68" i="22"/>
  <c r="J53" i="22"/>
  <c r="B88" i="25"/>
  <c r="K6" i="19"/>
  <c r="E5" i="19"/>
  <c r="K5" i="19" s="1"/>
  <c r="J73" i="22"/>
  <c r="D37" i="22"/>
  <c r="D5" i="22"/>
  <c r="D16" i="22"/>
  <c r="D4" i="22"/>
  <c r="D34" i="22"/>
  <c r="D20" i="22"/>
  <c r="D28" i="22"/>
  <c r="D23" i="22"/>
  <c r="D13" i="22"/>
  <c r="D29" i="22"/>
  <c r="D18" i="22"/>
  <c r="D25" i="22"/>
  <c r="D7" i="22"/>
  <c r="D33" i="22"/>
  <c r="D12" i="22"/>
  <c r="D26" i="22"/>
  <c r="D30" i="22"/>
  <c r="D21" i="22"/>
  <c r="D22" i="22"/>
  <c r="D8" i="22"/>
  <c r="D27" i="22"/>
  <c r="D36" i="22"/>
  <c r="D24" i="22"/>
  <c r="D32" i="22"/>
  <c r="D10" i="22"/>
  <c r="D14" i="22"/>
  <c r="D31" i="22"/>
  <c r="D6" i="22"/>
  <c r="D11" i="22"/>
  <c r="D19" i="22"/>
  <c r="D9" i="22"/>
  <c r="D17" i="22"/>
  <c r="D35" i="22"/>
  <c r="D15" i="22"/>
  <c r="M7" i="19"/>
  <c r="M9" i="19" l="1"/>
  <c r="M2" i="19"/>
  <c r="M6" i="19"/>
  <c r="M5" i="19"/>
  <c r="B49" i="8"/>
  <c r="B46" i="8"/>
  <c r="B66" i="8" s="1"/>
  <c r="B42" i="8"/>
  <c r="B62" i="8" s="1"/>
  <c r="B45" i="8"/>
  <c r="B65" i="8" s="1"/>
  <c r="B58" i="8"/>
  <c r="C6" i="21"/>
  <c r="G70" i="25"/>
  <c r="B11" i="20"/>
  <c r="H11" i="20" s="1"/>
  <c r="B85" i="25"/>
  <c r="B82" i="25"/>
  <c r="B86" i="25"/>
  <c r="M3" i="19"/>
  <c r="M8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徐晓冬 外贸租赁</author>
  </authors>
  <commentList>
    <comment ref="H33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徐晓冬 外贸租赁:</t>
        </r>
        <r>
          <rPr>
            <sz val="9"/>
            <rFont val="宋体"/>
            <family val="3"/>
            <charset val="134"/>
          </rPr>
          <t xml:space="preserve">
此项为“其他非流动资产”、““其他权益工具投资”和“其他非流动金融资产”的合计值</t>
        </r>
      </text>
    </comment>
  </commentList>
</comments>
</file>

<file path=xl/sharedStrings.xml><?xml version="1.0" encoding="utf-8"?>
<sst xmlns="http://schemas.openxmlformats.org/spreadsheetml/2006/main" count="663" uniqueCount="415">
  <si>
    <t>项目编号</t>
  </si>
  <si>
    <t>项目名称（元）</t>
  </si>
  <si>
    <t>年初数</t>
  </si>
  <si>
    <t>40001</t>
  </si>
  <si>
    <t>货币资金</t>
  </si>
  <si>
    <t>40002</t>
  </si>
  <si>
    <t>交易性金融资产</t>
  </si>
  <si>
    <t>应收票据</t>
  </si>
  <si>
    <t>40004</t>
  </si>
  <si>
    <t>应收账款</t>
  </si>
  <si>
    <t>40005</t>
  </si>
  <si>
    <t>预付账款</t>
  </si>
  <si>
    <t>40006</t>
  </si>
  <si>
    <t>存货</t>
  </si>
  <si>
    <t>40007</t>
  </si>
  <si>
    <t>应收利息</t>
  </si>
  <si>
    <t>40008</t>
  </si>
  <si>
    <t>应收股利</t>
  </si>
  <si>
    <t>40009</t>
  </si>
  <si>
    <t>其他应收款</t>
  </si>
  <si>
    <t>40010</t>
  </si>
  <si>
    <t>一年内到期的非流动资产</t>
  </si>
  <si>
    <t>40011</t>
  </si>
  <si>
    <t>其他流动资产</t>
  </si>
  <si>
    <t>40012</t>
  </si>
  <si>
    <t>流动资产合计</t>
  </si>
  <si>
    <t>40013</t>
  </si>
  <si>
    <t>可供出售金融资产</t>
  </si>
  <si>
    <t>40014</t>
  </si>
  <si>
    <t>持有至到期投资</t>
  </si>
  <si>
    <t>40015</t>
  </si>
  <si>
    <t>长期应收款</t>
  </si>
  <si>
    <t>40016</t>
  </si>
  <si>
    <t>长期股权投资</t>
  </si>
  <si>
    <t>40017</t>
  </si>
  <si>
    <t>投资性房地产</t>
  </si>
  <si>
    <t>400171</t>
  </si>
  <si>
    <t>固定资产</t>
  </si>
  <si>
    <t>400172</t>
  </si>
  <si>
    <t>累计折旧</t>
  </si>
  <si>
    <t>400173</t>
  </si>
  <si>
    <t>固定资产减值准备</t>
  </si>
  <si>
    <t>40018</t>
  </si>
  <si>
    <t>固定资产净额</t>
  </si>
  <si>
    <t>40019</t>
  </si>
  <si>
    <t>工程物资</t>
  </si>
  <si>
    <t>40020</t>
  </si>
  <si>
    <t>在建工程</t>
  </si>
  <si>
    <t>40021</t>
  </si>
  <si>
    <t>固定资产清理</t>
  </si>
  <si>
    <t>40022</t>
  </si>
  <si>
    <t>生产性生物资产</t>
  </si>
  <si>
    <t>40023</t>
  </si>
  <si>
    <t>油气资产</t>
  </si>
  <si>
    <t>40024</t>
  </si>
  <si>
    <t>无形资产</t>
  </si>
  <si>
    <t>40025</t>
  </si>
  <si>
    <t>开发支出</t>
  </si>
  <si>
    <t>40026</t>
  </si>
  <si>
    <t>商誉</t>
  </si>
  <si>
    <t>40027</t>
  </si>
  <si>
    <t>长期待摊费用</t>
  </si>
  <si>
    <t>40028</t>
  </si>
  <si>
    <t>递延所得税资产</t>
  </si>
  <si>
    <t>40029</t>
  </si>
  <si>
    <t>其他非流动资产</t>
  </si>
  <si>
    <t>40030</t>
  </si>
  <si>
    <t>非流动资产合计</t>
  </si>
  <si>
    <t>40031</t>
  </si>
  <si>
    <t>资产总计</t>
  </si>
  <si>
    <t>40032</t>
  </si>
  <si>
    <t>短期借款</t>
  </si>
  <si>
    <t>40033</t>
  </si>
  <si>
    <t>交易性金融负债</t>
  </si>
  <si>
    <t>40034</t>
  </si>
  <si>
    <t>应付票据</t>
  </si>
  <si>
    <t>40035</t>
  </si>
  <si>
    <t>应付账款</t>
  </si>
  <si>
    <t>40036</t>
  </si>
  <si>
    <t>预收账款</t>
  </si>
  <si>
    <t>40037</t>
  </si>
  <si>
    <t>应付职工薪酬</t>
  </si>
  <si>
    <t>40038</t>
  </si>
  <si>
    <t>应交税费</t>
  </si>
  <si>
    <t>40039</t>
  </si>
  <si>
    <t>应付利息</t>
  </si>
  <si>
    <t>40040</t>
  </si>
  <si>
    <t>应付股利</t>
  </si>
  <si>
    <t>40041</t>
  </si>
  <si>
    <t>其他应付款</t>
  </si>
  <si>
    <t>40042</t>
  </si>
  <si>
    <t>一年内到期的非流动负债</t>
  </si>
  <si>
    <t>40043</t>
  </si>
  <si>
    <t>其他流动负债</t>
  </si>
  <si>
    <t>40044</t>
  </si>
  <si>
    <t>流动负债合计</t>
  </si>
  <si>
    <t>40045</t>
  </si>
  <si>
    <t>长期借款</t>
  </si>
  <si>
    <t>40046</t>
  </si>
  <si>
    <t>应付债券</t>
  </si>
  <si>
    <t>40047</t>
  </si>
  <si>
    <t>长期应付款</t>
  </si>
  <si>
    <t>40048</t>
  </si>
  <si>
    <t>专项应付款</t>
  </si>
  <si>
    <t>40049</t>
  </si>
  <si>
    <t>预计负债</t>
  </si>
  <si>
    <t>40050</t>
  </si>
  <si>
    <t>递延所得税负债</t>
  </si>
  <si>
    <t>40051</t>
  </si>
  <si>
    <t>其他非流动负债</t>
  </si>
  <si>
    <t>40052</t>
  </si>
  <si>
    <t>非流动负债合计</t>
  </si>
  <si>
    <t>40053</t>
  </si>
  <si>
    <t>负债合计</t>
  </si>
  <si>
    <t>40054</t>
  </si>
  <si>
    <t>实收资本（或股本）</t>
  </si>
  <si>
    <t>40055</t>
  </si>
  <si>
    <t>资本公积</t>
  </si>
  <si>
    <t>40056</t>
  </si>
  <si>
    <t>库存股</t>
  </si>
  <si>
    <t>专项储备</t>
  </si>
  <si>
    <t>40057</t>
  </si>
  <si>
    <t>盈余公积</t>
  </si>
  <si>
    <t>40058</t>
  </si>
  <si>
    <t>未分配利润</t>
  </si>
  <si>
    <t>40059</t>
  </si>
  <si>
    <t>外币报表折算差额</t>
  </si>
  <si>
    <t>40060</t>
  </si>
  <si>
    <t>归属母公司所有者权益合计</t>
  </si>
  <si>
    <t>40061</t>
  </si>
  <si>
    <t>少数股东权益</t>
  </si>
  <si>
    <t>40062</t>
  </si>
  <si>
    <t>所有者权益合计</t>
  </si>
  <si>
    <t>40063</t>
  </si>
  <si>
    <t>负债及股东权益总计</t>
  </si>
  <si>
    <t>本月数</t>
  </si>
  <si>
    <t>40064</t>
  </si>
  <si>
    <t>营业收入</t>
  </si>
  <si>
    <t>400640</t>
  </si>
  <si>
    <t>主营业务收入</t>
  </si>
  <si>
    <t>400641</t>
  </si>
  <si>
    <t>其他业务收入</t>
  </si>
  <si>
    <t>40065</t>
  </si>
  <si>
    <t>营业成本</t>
  </si>
  <si>
    <t>400650</t>
  </si>
  <si>
    <t>主营业务成本</t>
  </si>
  <si>
    <t>400651</t>
  </si>
  <si>
    <t>其他业务成本</t>
  </si>
  <si>
    <t>40066</t>
  </si>
  <si>
    <t>营业税金及附加</t>
  </si>
  <si>
    <t>40067</t>
  </si>
  <si>
    <t>销售费用</t>
  </si>
  <si>
    <t>40068</t>
  </si>
  <si>
    <t>管理费用</t>
  </si>
  <si>
    <t>40069</t>
  </si>
  <si>
    <t>财务费用</t>
  </si>
  <si>
    <t>40070</t>
  </si>
  <si>
    <t>资产减值损失</t>
  </si>
  <si>
    <t>40071</t>
  </si>
  <si>
    <t>公允价值变动收益</t>
  </si>
  <si>
    <t>40072</t>
  </si>
  <si>
    <t>投资收益</t>
  </si>
  <si>
    <t>40073</t>
  </si>
  <si>
    <t>营业利润</t>
  </si>
  <si>
    <t>40074</t>
  </si>
  <si>
    <t>营业外收入</t>
  </si>
  <si>
    <t>40075</t>
  </si>
  <si>
    <t>营业外支出</t>
  </si>
  <si>
    <t>40076</t>
  </si>
  <si>
    <t>利润总额</t>
  </si>
  <si>
    <t>40077</t>
  </si>
  <si>
    <t>所得税费用</t>
  </si>
  <si>
    <t>40078</t>
  </si>
  <si>
    <t>净利润</t>
  </si>
  <si>
    <t>40079</t>
  </si>
  <si>
    <t>少数股东权益损益</t>
  </si>
  <si>
    <t>40080</t>
  </si>
  <si>
    <t>归属于母公司所有者的净利润</t>
  </si>
  <si>
    <t>40081</t>
  </si>
  <si>
    <t>每股收益</t>
  </si>
  <si>
    <t>40082</t>
  </si>
  <si>
    <t>基本每股收益</t>
  </si>
  <si>
    <t>40083</t>
  </si>
  <si>
    <t>稀释每股收益</t>
  </si>
  <si>
    <t>40084</t>
  </si>
  <si>
    <t>年初未分配利润</t>
  </si>
  <si>
    <t>40085</t>
  </si>
  <si>
    <t>盈余公积补亏</t>
  </si>
  <si>
    <t>40086</t>
  </si>
  <si>
    <t>其他转入</t>
  </si>
  <si>
    <t>40087</t>
  </si>
  <si>
    <t>可供分配利润</t>
  </si>
  <si>
    <t>40088</t>
  </si>
  <si>
    <t>提取法定盈余公积</t>
  </si>
  <si>
    <t>40089</t>
  </si>
  <si>
    <t xml:space="preserve"> 提取一般风险准备</t>
  </si>
  <si>
    <t>40090</t>
  </si>
  <si>
    <t xml:space="preserve"> 其他</t>
  </si>
  <si>
    <t>40091</t>
  </si>
  <si>
    <t>可供投资者分配的利润</t>
  </si>
  <si>
    <t>40092</t>
  </si>
  <si>
    <t>应付优先股股利</t>
  </si>
  <si>
    <t>40093</t>
  </si>
  <si>
    <t>提取任意盈余公积</t>
  </si>
  <si>
    <t>40094</t>
  </si>
  <si>
    <t>应付普通股股利</t>
  </si>
  <si>
    <t>40095</t>
  </si>
  <si>
    <t>转作股本的普通股股利</t>
  </si>
  <si>
    <t>40096</t>
  </si>
  <si>
    <t>其他</t>
  </si>
  <si>
    <t>40097</t>
  </si>
  <si>
    <t>400831</t>
  </si>
  <si>
    <t>其他综合收益</t>
  </si>
  <si>
    <t>400832</t>
  </si>
  <si>
    <t>综合收益总额</t>
  </si>
  <si>
    <t>400833</t>
  </si>
  <si>
    <t>归属于母公司所有者的综合收益总额</t>
  </si>
  <si>
    <t>400834</t>
  </si>
  <si>
    <t>归属于少数股东的综合收益总额</t>
  </si>
  <si>
    <t>40098</t>
  </si>
  <si>
    <t>一、经营活动产生的现金流量：</t>
  </si>
  <si>
    <t>40100</t>
  </si>
  <si>
    <t>销售商品、提供劳务收到的现金</t>
  </si>
  <si>
    <t>40101</t>
  </si>
  <si>
    <t>收到的税费返还</t>
  </si>
  <si>
    <t>40102</t>
  </si>
  <si>
    <t>收到其他与经营活动有关的现金</t>
  </si>
  <si>
    <t>40103</t>
  </si>
  <si>
    <t>经营活动现金流入小计</t>
  </si>
  <si>
    <t>40104</t>
  </si>
  <si>
    <t>购买商品、接受劳务支付的现金</t>
  </si>
  <si>
    <t>40105</t>
  </si>
  <si>
    <t>支付给职工以及为职工支付的现金</t>
  </si>
  <si>
    <t>40106</t>
  </si>
  <si>
    <t>支付的各项税费</t>
  </si>
  <si>
    <t>40107</t>
  </si>
  <si>
    <t>支付的其他与经营活动有关的现金</t>
  </si>
  <si>
    <t>40108</t>
  </si>
  <si>
    <t>经营活动现金流出小计</t>
  </si>
  <si>
    <t>40109</t>
  </si>
  <si>
    <t>经营活动产生的现金流量净额</t>
  </si>
  <si>
    <t>40110</t>
  </si>
  <si>
    <t>二、投资活动产生的现金流量：</t>
  </si>
  <si>
    <t>40111</t>
  </si>
  <si>
    <t>收回投资所收到的现金</t>
  </si>
  <si>
    <t>40112</t>
  </si>
  <si>
    <t>取得投资收益收到的现金</t>
  </si>
  <si>
    <t>40113</t>
  </si>
  <si>
    <t>处置固定资产、无形资产和其他长期资产所收回的现金净额</t>
  </si>
  <si>
    <t>40114</t>
  </si>
  <si>
    <t>处置子公司及其他营业单位收到的现金净额</t>
  </si>
  <si>
    <t>40115</t>
  </si>
  <si>
    <t>收到的其他与投资活动有关的现金</t>
  </si>
  <si>
    <t>40116</t>
  </si>
  <si>
    <t>投资活动现金流入小计</t>
  </si>
  <si>
    <t>40117</t>
  </si>
  <si>
    <t>购建固定资产、无形资产和其他长期资产所支付的现金</t>
  </si>
  <si>
    <t>40118</t>
  </si>
  <si>
    <t>投资支付的现金</t>
  </si>
  <si>
    <t>40119</t>
  </si>
  <si>
    <t>取得子公司及其他营业单位支付的现金净额</t>
  </si>
  <si>
    <t>40120</t>
  </si>
  <si>
    <t>支付其他与投资活动有关的现金</t>
  </si>
  <si>
    <t>40121</t>
  </si>
  <si>
    <t>投资活动现金流出小计</t>
  </si>
  <si>
    <t>40122</t>
  </si>
  <si>
    <t>投资活动产生的现金流量净额</t>
  </si>
  <si>
    <t>40123</t>
  </si>
  <si>
    <t>三、筹资活动产生的现金流量：</t>
  </si>
  <si>
    <t>40124</t>
  </si>
  <si>
    <t>吸收投资所收到的现金</t>
  </si>
  <si>
    <t>40125</t>
  </si>
  <si>
    <t>取得借款所收到的现金</t>
  </si>
  <si>
    <t>40126</t>
  </si>
  <si>
    <t>收到的其他与筹资活动有关的现金</t>
  </si>
  <si>
    <t>40127</t>
  </si>
  <si>
    <t>筹资活动现金流入小计</t>
  </si>
  <si>
    <t>40128</t>
  </si>
  <si>
    <t>偿还债务所支付的现金</t>
  </si>
  <si>
    <t>40129</t>
  </si>
  <si>
    <t>分配股利、利润或偿付利息支付的现金</t>
  </si>
  <si>
    <t>40130</t>
  </si>
  <si>
    <t>支付的其他与筹资活动有关的现金</t>
  </si>
  <si>
    <t>40131</t>
  </si>
  <si>
    <t>筹资活动现金流出小计</t>
  </si>
  <si>
    <t>40132</t>
  </si>
  <si>
    <t>筹资活动产生的现金流量净额</t>
  </si>
  <si>
    <t>40133</t>
  </si>
  <si>
    <t>四、汇率变动对现金及现金等价物的影响</t>
  </si>
  <si>
    <t>40134</t>
  </si>
  <si>
    <t>五、现金及现金等价物净增加额</t>
  </si>
  <si>
    <t>40135</t>
  </si>
  <si>
    <t>期初现金及现金等价物余额</t>
  </si>
  <si>
    <t>40136</t>
  </si>
  <si>
    <t>六、期末现金及现金等价物余额</t>
  </si>
  <si>
    <t xml:space="preserve"> </t>
  </si>
  <si>
    <t>财务分析</t>
  </si>
  <si>
    <t>　人民币：万元</t>
  </si>
  <si>
    <t>（合并）</t>
  </si>
  <si>
    <t>资产负债表</t>
  </si>
  <si>
    <t>单位：万元</t>
  </si>
  <si>
    <t>其他权益工具</t>
  </si>
  <si>
    <t>利润表</t>
  </si>
  <si>
    <t>盈利情况简要分析</t>
  </si>
  <si>
    <t>现金流量表</t>
  </si>
  <si>
    <t>现金及现金等价物净增加额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</si>
  <si>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</si>
  <si>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</si>
  <si>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</si>
  <si>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</si>
  <si>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</si>
  <si>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</si>
  <si>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</si>
  <si>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</si>
  <si>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</si>
  <si>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</si>
  <si>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</si>
  <si>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</si>
  <si>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</si>
  <si>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</si>
  <si>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</si>
  <si>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</si>
  <si>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</si>
  <si>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</si>
  <si>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</si>
  <si>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</si>
  <si>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</si>
  <si>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</si>
  <si>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</si>
  <si>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</si>
  <si>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</si>
  <si>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销售商品收到的现金与主营业务比(%)</t>
  </si>
  <si>
    <t>经营活动现金流量与总利润比例(%)</t>
  </si>
  <si>
    <t>现金净流量与总利润比(%)</t>
  </si>
  <si>
    <t>项目</t>
  </si>
  <si>
    <t>存货净额</t>
  </si>
  <si>
    <t>应收账款净额</t>
  </si>
  <si>
    <t>流动资产</t>
  </si>
  <si>
    <t>总资产</t>
  </si>
  <si>
    <t>流动负债</t>
  </si>
  <si>
    <t>长期负债</t>
  </si>
  <si>
    <t>总负债</t>
  </si>
  <si>
    <t>股东权益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</si>
  <si>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</si>
  <si>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</si>
  <si>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</si>
  <si>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</si>
  <si>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</si>
  <si>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</si>
  <si>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</si>
  <si>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</si>
  <si>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</si>
  <si>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</si>
  <si>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</si>
  <si>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</si>
  <si>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</si>
  <si>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</si>
  <si>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金额</t>
  </si>
  <si>
    <t>占比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</si>
  <si>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</si>
  <si>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</si>
  <si>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</si>
  <si>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</si>
  <si>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</si>
  <si>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</si>
  <si>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</si>
  <si>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</si>
  <si>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</si>
  <si>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销售商品收到的现金</t>
  </si>
  <si>
    <t>经营性现金净流量</t>
  </si>
  <si>
    <t>盈利现金比</t>
  </si>
  <si>
    <t>合计</t>
  </si>
  <si>
    <t>合计备注</t>
  </si>
  <si>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</si>
  <si>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r>
      <rPr>
        <sz val="10"/>
        <rFont val="宋体"/>
        <family val="3"/>
        <charset val="134"/>
      </rPr>
      <t>应收票据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</si>
  <si>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t>科目</t>
  </si>
  <si>
    <t>净资产</t>
  </si>
  <si>
    <t>资产负债率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</si>
  <si>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</si>
  <si>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</si>
  <si>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</si>
  <si>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</si>
  <si>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</si>
  <si>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family val="3"/>
        <charset val="134"/>
      </rPr>
      <t xml:space="preserve">  </t>
    </r>
    <r>
      <rPr>
        <b/>
        <sz val="12"/>
        <rFont val="仿宋"/>
        <family val="3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</si>
  <si>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</si>
  <si>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</si>
  <si>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</si>
  <si>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</si>
  <si>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</si>
  <si>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</si>
  <si>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</si>
  <si>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family val="3"/>
        <charset val="134"/>
      </rPr>
      <t>刚性债务=短期借款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应付票据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一年内到期的长期借款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应付短期融资券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长期借款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应付债券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其他具期债务</t>
    </r>
  </si>
  <si>
    <t>银行借款为报表中长期借款与短期借款之和</t>
  </si>
  <si>
    <t>非标借款为长期应付款科目</t>
  </si>
  <si>
    <t>一年内到期为：一年内到期非流动负债科目</t>
  </si>
  <si>
    <t>更新报表可以制作动态报表</t>
  </si>
  <si>
    <t>2022.1.19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</si>
  <si>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、与可行格式一致</t>
    </r>
  </si>
  <si>
    <t>最新一期报表的时间</t>
  </si>
  <si>
    <t>年</t>
  </si>
  <si>
    <t>月</t>
  </si>
  <si>
    <t>日期</t>
  </si>
  <si>
    <t>/12/31</t>
  </si>
  <si>
    <t>序号</t>
  </si>
  <si>
    <t>登记日期</t>
  </si>
  <si>
    <t>登记编号</t>
  </si>
  <si>
    <t>被担保债权数额</t>
  </si>
  <si>
    <t>债务期限</t>
  </si>
  <si>
    <t>状态</t>
  </si>
  <si>
    <t>2018-07-05至2020-06-30</t>
  </si>
  <si>
    <t>有效</t>
  </si>
  <si>
    <t>2020-03-10至2022-05-31</t>
  </si>
  <si>
    <t>2018-07-05至2020-03-31</t>
  </si>
  <si>
    <t>2023.6</t>
    <phoneticPr fontId="39" type="noConversion"/>
  </si>
  <si>
    <t>2023/6/31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</si>
</sst>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_);[Red]\(0\)"/>
    <numFmt numFmtId="177" formatCode="0.00_ "/>
    <numFmt numFmtId="178" formatCode="_(* #,##0.00_);_(* \(#,##0.00\);_(* &quot;-&quot;??_);_(@_)"/>
    <numFmt numFmtId="179" formatCode="#,##0.00_);[Red]\(#,##0.00\)"/>
    <numFmt numFmtId="180" formatCode="#,##0.00_ "/>
    <numFmt numFmtId="181" formatCode="yyyy&quot;年&quot;mm&quot;月&quot;;@"/>
    <numFmt numFmtId="182" formatCode="yyyy&quot;年&quot;;@"/>
    <numFmt numFmtId="183" formatCode="0&quot;.&quot;00,,&quot;亿&quot;"/>
    <numFmt numFmtId="184" formatCode="yyyy/m/d;@"/>
    <numFmt numFmtId="185" formatCode="yyyy&quot;年&quot;m&quot;月&quot;;@"/>
    <numFmt numFmtId="186" formatCode="#,##0_ "/>
    <numFmt numFmtId="187" formatCode="#,##0.0000_);[Red]\(#,##0.0000\)"/>
    <numFmt numFmtId="188" formatCode="_(* #,##0.0000_);_(* \(#,##0.0000\);_(* &quot;-&quot;??_);_(@_)"/>
  </numFmts>
  <fonts count="41">
    <font>
      <sz val="10"/>
      <name val="Arial"/>
      <charset val="134"/>
    </font>
    <font>
      <b/>
      <sz val="10.5"/>
      <color rgb="FFFFFFFF"/>
      <name val="微软雅黑"/>
      <family val="2"/>
      <charset val="134"/>
    </font>
    <font>
      <sz val="10.5"/>
      <name val="微软雅黑"/>
      <family val="2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b/>
      <sz val="12"/>
      <name val="仿宋"/>
      <family val="3"/>
      <charset val="134"/>
    </font>
    <font>
      <sz val="12"/>
      <name val="仿宋"/>
      <family val="3"/>
      <charset val="134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name val="仿宋_GB2312"/>
      <family val="3"/>
      <charset val="134"/>
    </font>
    <font>
      <sz val="12"/>
      <color rgb="FF000000"/>
      <name val="Times New Roman"/>
      <family val="1"/>
    </font>
    <font>
      <sz val="12"/>
      <name val="Times New Roman"/>
      <family val="1"/>
    </font>
    <font>
      <b/>
      <sz val="11"/>
      <color theme="1"/>
      <name val="仿宋_GB2312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sz val="9"/>
      <color indexed="8"/>
      <name val="Dialog.plain"/>
      <family val="1"/>
    </font>
    <font>
      <b/>
      <sz val="11"/>
      <color theme="1"/>
      <name val="宋体"/>
      <family val="3"/>
      <charset val="134"/>
      <scheme val="minor"/>
    </font>
    <font>
      <b/>
      <sz val="12"/>
      <color theme="1"/>
      <name val="仿宋_GB2312"/>
      <family val="3"/>
      <charset val="134"/>
    </font>
    <font>
      <sz val="10"/>
      <name val="仿宋_GB2312"/>
      <family val="3"/>
      <charset val="134"/>
    </font>
    <font>
      <sz val="10"/>
      <color rgb="FFFF0000"/>
      <name val="宋体"/>
      <family val="3"/>
      <charset val="134"/>
    </font>
    <font>
      <b/>
      <sz val="9"/>
      <name val="仿宋"/>
      <family val="3"/>
      <charset val="134"/>
    </font>
    <font>
      <sz val="9"/>
      <name val="仿宋"/>
      <family val="3"/>
      <charset val="134"/>
    </font>
    <font>
      <sz val="9"/>
      <color indexed="8"/>
      <name val="仿宋"/>
      <family val="3"/>
      <charset val="134"/>
    </font>
    <font>
      <b/>
      <sz val="9"/>
      <color indexed="8"/>
      <name val="仿宋"/>
      <family val="3"/>
      <charset val="134"/>
    </font>
    <font>
      <sz val="1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2"/>
      <color rgb="FFFF0000"/>
      <name val="宋体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2"/>
      <color rgb="FF000000"/>
      <name val="仿宋"/>
      <family val="3"/>
      <charset val="134"/>
    </font>
    <font>
      <b/>
      <sz val="10"/>
      <name val="Arial"/>
      <family val="2"/>
    </font>
    <font>
      <b/>
      <sz val="9"/>
      <color indexed="8"/>
      <name val="Dialog.plain"/>
      <family val="1"/>
    </font>
    <font>
      <sz val="9"/>
      <color rgb="FF000000"/>
      <name val="宋体"/>
      <family val="3"/>
      <charset val="134"/>
    </font>
    <font>
      <sz val="9"/>
      <color indexed="8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Arial"/>
      <family val="2"/>
    </font>
    <font>
      <sz val="1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</borders>
  <cellStyleXfs count="4">
    <xf numFmtId="0" fontId="0" fillId="0" borderId="0"/>
    <xf numFmtId="178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24" fillId="0" borderId="0">
      <alignment vertical="center"/>
    </xf>
  </cellStyleXfs>
  <cellXfs count="157">
    <xf numFmtId="0" fontId="0" fillId="0" borderId="0" xfId="0"/>
    <xf numFmtId="0" fontId="1" fillId="2" borderId="1" xfId="0" applyFont="1" applyFill="1" applyBorder="1" applyAlignment="1">
      <alignment horizontal="justify" wrapText="1"/>
    </xf>
    <xf numFmtId="0" fontId="1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justify" wrapText="1"/>
    </xf>
    <xf numFmtId="14" fontId="2" fillId="0" borderId="1" xfId="0" applyNumberFormat="1" applyFont="1" applyBorder="1" applyAlignment="1">
      <alignment horizontal="justify" wrapText="1"/>
    </xf>
    <xf numFmtId="176" fontId="2" fillId="0" borderId="1" xfId="0" applyNumberFormat="1" applyFont="1" applyBorder="1" applyAlignment="1">
      <alignment horizontal="center" vertical="center"/>
    </xf>
    <xf numFmtId="180" fontId="2" fillId="0" borderId="1" xfId="0" applyNumberFormat="1" applyFont="1" applyBorder="1" applyAlignment="1">
      <alignment horizontal="right" wrapText="1"/>
    </xf>
    <xf numFmtId="176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/>
    <xf numFmtId="0" fontId="0" fillId="0" borderId="1" xfId="0" applyBorder="1"/>
    <xf numFmtId="180" fontId="0" fillId="0" borderId="1" xfId="0" applyNumberFormat="1" applyBorder="1"/>
    <xf numFmtId="0" fontId="4" fillId="3" borderId="0" xfId="0" applyFont="1" applyFill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0" fontId="3" fillId="0" borderId="0" xfId="0" applyFont="1"/>
    <xf numFmtId="0" fontId="0" fillId="0" borderId="2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181" fontId="5" fillId="0" borderId="4" xfId="0" applyNumberFormat="1" applyFont="1" applyBorder="1" applyAlignment="1">
      <alignment horizontal="center" vertical="center" wrapText="1"/>
    </xf>
    <xf numFmtId="182" fontId="5" fillId="0" borderId="4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83" fontId="6" fillId="0" borderId="7" xfId="0" applyNumberFormat="1" applyFont="1" applyBorder="1" applyAlignment="1">
      <alignment horizontal="center" vertical="center" wrapText="1"/>
    </xf>
    <xf numFmtId="183" fontId="6" fillId="0" borderId="8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83" fontId="6" fillId="0" borderId="10" xfId="0" applyNumberFormat="1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4" fontId="8" fillId="0" borderId="6" xfId="0" applyNumberFormat="1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3" fontId="10" fillId="0" borderId="13" xfId="0" applyNumberFormat="1" applyFont="1" applyBorder="1" applyAlignment="1">
      <alignment horizontal="center" vertical="center" wrapText="1"/>
    </xf>
    <xf numFmtId="10" fontId="11" fillId="0" borderId="13" xfId="0" applyNumberFormat="1" applyFont="1" applyBorder="1" applyAlignment="1">
      <alignment horizontal="center" vertical="center" wrapText="1"/>
    </xf>
    <xf numFmtId="57" fontId="0" fillId="0" borderId="0" xfId="0" applyNumberFormat="1" applyAlignment="1">
      <alignment horizontal="center"/>
    </xf>
    <xf numFmtId="57" fontId="0" fillId="4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57" fontId="12" fillId="5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178" fontId="0" fillId="0" borderId="0" xfId="1" applyFont="1" applyAlignment="1">
      <alignment horizontal="center"/>
    </xf>
    <xf numFmtId="0" fontId="13" fillId="0" borderId="1" xfId="0" applyFont="1" applyBorder="1" applyAlignment="1">
      <alignment horizontal="center" wrapText="1"/>
    </xf>
    <xf numFmtId="180" fontId="14" fillId="0" borderId="1" xfId="1" applyNumberFormat="1" applyFont="1" applyBorder="1" applyAlignment="1">
      <alignment horizontal="right"/>
    </xf>
    <xf numFmtId="178" fontId="0" fillId="0" borderId="0" xfId="1" applyFont="1" applyAlignment="1">
      <alignment horizontal="center" vertical="center"/>
    </xf>
    <xf numFmtId="14" fontId="15" fillId="6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4" fontId="15" fillId="0" borderId="1" xfId="0" applyNumberFormat="1" applyFont="1" applyBorder="1" applyAlignment="1" applyProtection="1">
      <alignment horizontal="center" vertical="center"/>
      <protection locked="0"/>
    </xf>
    <xf numFmtId="18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80" fontId="15" fillId="0" borderId="1" xfId="0" applyNumberFormat="1" applyFont="1" applyBorder="1" applyAlignment="1">
      <alignment horizontal="left" vertical="center"/>
    </xf>
    <xf numFmtId="180" fontId="15" fillId="0" borderId="1" xfId="0" applyNumberFormat="1" applyFont="1" applyBorder="1" applyAlignment="1" applyProtection="1">
      <alignment horizontal="center" vertical="center"/>
      <protection locked="0"/>
    </xf>
    <xf numFmtId="180" fontId="15" fillId="0" borderId="1" xfId="0" applyNumberFormat="1" applyFont="1" applyBorder="1" applyAlignment="1" applyProtection="1">
      <alignment horizontal="right" vertical="center"/>
      <protection locked="0"/>
    </xf>
    <xf numFmtId="184" fontId="15" fillId="6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57" fontId="0" fillId="0" borderId="1" xfId="0" applyNumberFormat="1" applyBorder="1"/>
    <xf numFmtId="185" fontId="0" fillId="0" borderId="1" xfId="0" applyNumberFormat="1" applyBorder="1"/>
    <xf numFmtId="0" fontId="17" fillId="7" borderId="1" xfId="0" applyFont="1" applyFill="1" applyBorder="1" applyAlignment="1">
      <alignment horizontal="center" vertical="center"/>
    </xf>
    <xf numFmtId="57" fontId="9" fillId="7" borderId="1" xfId="0" applyNumberFormat="1" applyFont="1" applyFill="1" applyBorder="1" applyAlignment="1">
      <alignment horizontal="center" vertical="center"/>
    </xf>
    <xf numFmtId="178" fontId="0" fillId="8" borderId="1" xfId="1" applyFont="1" applyFill="1" applyBorder="1" applyAlignment="1"/>
    <xf numFmtId="0" fontId="17" fillId="0" borderId="1" xfId="0" applyFont="1" applyBorder="1" applyAlignment="1">
      <alignment horizontal="center" vertical="center"/>
    </xf>
    <xf numFmtId="186" fontId="8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78" fontId="0" fillId="0" borderId="1" xfId="1" applyFont="1" applyBorder="1" applyAlignment="1"/>
    <xf numFmtId="0" fontId="9" fillId="0" borderId="1" xfId="0" applyFont="1" applyBorder="1" applyAlignment="1">
      <alignment horizontal="center" vertical="center"/>
    </xf>
    <xf numFmtId="186" fontId="11" fillId="0" borderId="1" xfId="1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85" fontId="9" fillId="7" borderId="1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21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86" fontId="21" fillId="0" borderId="1" xfId="0" applyNumberFormat="1" applyFont="1" applyBorder="1" applyAlignment="1">
      <alignment horizontal="center" vertical="center"/>
    </xf>
    <xf numFmtId="10" fontId="21" fillId="0" borderId="1" xfId="2" applyNumberFormat="1" applyFont="1" applyBorder="1" applyAlignment="1">
      <alignment horizontal="center" vertical="center"/>
    </xf>
    <xf numFmtId="186" fontId="21" fillId="0" borderId="1" xfId="1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186" fontId="20" fillId="0" borderId="1" xfId="0" applyNumberFormat="1" applyFont="1" applyBorder="1" applyAlignment="1">
      <alignment horizontal="center" vertical="center"/>
    </xf>
    <xf numFmtId="10" fontId="20" fillId="0" borderId="1" xfId="2" applyNumberFormat="1" applyFont="1" applyBorder="1" applyAlignment="1">
      <alignment horizontal="center" vertical="center"/>
    </xf>
    <xf numFmtId="186" fontId="20" fillId="0" borderId="1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3" fontId="21" fillId="0" borderId="0" xfId="0" applyNumberFormat="1" applyFont="1" applyAlignment="1">
      <alignment horizontal="center" vertical="center"/>
    </xf>
    <xf numFmtId="10" fontId="21" fillId="0" borderId="0" xfId="2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80" fontId="21" fillId="0" borderId="1" xfId="1" applyNumberFormat="1" applyFont="1" applyBorder="1" applyAlignment="1">
      <alignment horizontal="center" vertical="center"/>
    </xf>
    <xf numFmtId="0" fontId="24" fillId="0" borderId="0" xfId="3">
      <alignment vertical="center"/>
    </xf>
    <xf numFmtId="0" fontId="24" fillId="0" borderId="0" xfId="3" applyAlignment="1">
      <alignment horizontal="center" vertical="center"/>
    </xf>
    <xf numFmtId="0" fontId="25" fillId="7" borderId="1" xfId="3" applyFont="1" applyFill="1" applyBorder="1" applyAlignment="1">
      <alignment horizontal="center" wrapText="1"/>
    </xf>
    <xf numFmtId="14" fontId="26" fillId="9" borderId="1" xfId="3" applyNumberFormat="1" applyFont="1" applyFill="1" applyBorder="1" applyAlignment="1">
      <alignment horizontal="center" wrapText="1"/>
    </xf>
    <xf numFmtId="14" fontId="26" fillId="9" borderId="1" xfId="3" applyNumberFormat="1" applyFont="1" applyFill="1" applyBorder="1" applyAlignment="1">
      <alignment horizontal="center"/>
    </xf>
    <xf numFmtId="0" fontId="25" fillId="0" borderId="1" xfId="3" applyFont="1" applyBorder="1" applyAlignment="1">
      <alignment horizontal="center" wrapText="1"/>
    </xf>
    <xf numFmtId="3" fontId="27" fillId="0" borderId="1" xfId="3" applyNumberFormat="1" applyFont="1" applyBorder="1" applyAlignment="1">
      <alignment horizontal="center" wrapText="1"/>
    </xf>
    <xf numFmtId="0" fontId="28" fillId="10" borderId="0" xfId="3" applyFont="1" applyFill="1">
      <alignment vertical="center"/>
    </xf>
    <xf numFmtId="0" fontId="29" fillId="0" borderId="0" xfId="3" applyFont="1" applyAlignment="1">
      <alignment horizontal="center" wrapText="1"/>
    </xf>
    <xf numFmtId="177" fontId="30" fillId="0" borderId="1" xfId="3" applyNumberFormat="1" applyFont="1" applyBorder="1" applyAlignment="1">
      <alignment horizontal="center" wrapText="1"/>
    </xf>
    <xf numFmtId="10" fontId="30" fillId="0" borderId="1" xfId="2" applyNumberFormat="1" applyFont="1" applyBorder="1" applyAlignment="1">
      <alignment horizontal="center" wrapText="1"/>
    </xf>
    <xf numFmtId="10" fontId="30" fillId="0" borderId="1" xfId="2" applyNumberFormat="1" applyFont="1" applyFill="1" applyBorder="1" applyAlignment="1">
      <alignment horizontal="center" wrapText="1"/>
    </xf>
    <xf numFmtId="10" fontId="30" fillId="0" borderId="1" xfId="3" applyNumberFormat="1" applyFont="1" applyBorder="1" applyAlignment="1">
      <alignment horizontal="center" wrapText="1"/>
    </xf>
    <xf numFmtId="0" fontId="25" fillId="7" borderId="19" xfId="3" applyFont="1" applyFill="1" applyBorder="1" applyAlignment="1">
      <alignment horizontal="center" wrapText="1"/>
    </xf>
    <xf numFmtId="14" fontId="26" fillId="9" borderId="19" xfId="3" applyNumberFormat="1" applyFont="1" applyFill="1" applyBorder="1" applyAlignment="1">
      <alignment horizontal="center" wrapText="1"/>
    </xf>
    <xf numFmtId="184" fontId="31" fillId="0" borderId="22" xfId="0" applyNumberFormat="1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 wrapText="1"/>
    </xf>
    <xf numFmtId="180" fontId="6" fillId="0" borderId="13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left" vertical="center" wrapText="1"/>
    </xf>
    <xf numFmtId="0" fontId="31" fillId="0" borderId="12" xfId="0" applyFont="1" applyBorder="1" applyAlignment="1">
      <alignment horizontal="left" vertical="center"/>
    </xf>
    <xf numFmtId="180" fontId="6" fillId="0" borderId="13" xfId="2" applyNumberFormat="1" applyFont="1" applyBorder="1" applyAlignment="1">
      <alignment horizontal="right" vertical="center"/>
    </xf>
    <xf numFmtId="10" fontId="6" fillId="0" borderId="13" xfId="2" applyNumberFormat="1" applyFont="1" applyBorder="1" applyAlignment="1">
      <alignment horizontal="right" vertical="center"/>
    </xf>
    <xf numFmtId="0" fontId="6" fillId="0" borderId="13" xfId="0" applyFont="1" applyBorder="1" applyAlignment="1">
      <alignment horizontal="right" vertical="center"/>
    </xf>
    <xf numFmtId="180" fontId="6" fillId="0" borderId="6" xfId="0" applyNumberFormat="1" applyFont="1" applyBorder="1" applyAlignment="1">
      <alignment horizontal="right" vertical="center"/>
    </xf>
    <xf numFmtId="0" fontId="31" fillId="0" borderId="12" xfId="0" applyFont="1" applyBorder="1" applyAlignment="1">
      <alignment horizontal="left" vertical="center" wrapText="1"/>
    </xf>
    <xf numFmtId="0" fontId="15" fillId="6" borderId="0" xfId="0" applyFont="1" applyFill="1" applyAlignment="1">
      <alignment horizontal="center" vertical="center"/>
    </xf>
    <xf numFmtId="14" fontId="15" fillId="6" borderId="0" xfId="0" applyNumberFormat="1" applyFont="1" applyFill="1" applyAlignment="1">
      <alignment horizontal="center" vertical="center"/>
    </xf>
    <xf numFmtId="184" fontId="15" fillId="6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  <xf numFmtId="4" fontId="15" fillId="0" borderId="0" xfId="0" applyNumberFormat="1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4" fontId="15" fillId="0" borderId="0" xfId="0" applyNumberFormat="1" applyFont="1" applyAlignment="1" applyProtection="1">
      <alignment horizontal="right" vertical="center"/>
      <protection locked="0"/>
    </xf>
    <xf numFmtId="4" fontId="15" fillId="8" borderId="0" xfId="0" applyNumberFormat="1" applyFont="1" applyFill="1" applyAlignment="1" applyProtection="1">
      <alignment horizontal="right" vertical="center"/>
      <protection locked="0"/>
    </xf>
    <xf numFmtId="179" fontId="0" fillId="0" borderId="0" xfId="0" applyNumberFormat="1"/>
    <xf numFmtId="179" fontId="15" fillId="8" borderId="0" xfId="0" applyNumberFormat="1" applyFont="1" applyFill="1" applyAlignment="1" applyProtection="1">
      <alignment horizontal="right" vertical="center"/>
      <protection locked="0"/>
    </xf>
    <xf numFmtId="179" fontId="15" fillId="0" borderId="0" xfId="0" applyNumberFormat="1" applyFont="1" applyAlignment="1" applyProtection="1">
      <alignment horizontal="right" vertical="center"/>
      <protection locked="0"/>
    </xf>
    <xf numFmtId="187" fontId="15" fillId="0" borderId="0" xfId="0" applyNumberFormat="1" applyFont="1" applyAlignment="1" applyProtection="1">
      <alignment horizontal="right" vertical="center"/>
      <protection locked="0"/>
    </xf>
    <xf numFmtId="188" fontId="15" fillId="0" borderId="0" xfId="0" applyNumberFormat="1" applyFont="1" applyAlignment="1" applyProtection="1">
      <alignment horizontal="right" vertical="center"/>
      <protection locked="0"/>
    </xf>
    <xf numFmtId="179" fontId="0" fillId="0" borderId="0" xfId="0" applyNumberFormat="1" applyAlignment="1">
      <alignment vertical="center"/>
    </xf>
    <xf numFmtId="0" fontId="32" fillId="0" borderId="0" xfId="0" applyFont="1"/>
    <xf numFmtId="4" fontId="15" fillId="12" borderId="0" xfId="0" applyNumberFormat="1" applyFont="1" applyFill="1" applyAlignment="1" applyProtection="1">
      <alignment horizontal="right" vertical="center"/>
      <protection locked="0"/>
    </xf>
    <xf numFmtId="0" fontId="33" fillId="0" borderId="0" xfId="0" applyFont="1" applyAlignment="1">
      <alignment horizontal="left" vertical="center"/>
    </xf>
    <xf numFmtId="4" fontId="33" fillId="13" borderId="0" xfId="0" applyNumberFormat="1" applyFont="1" applyFill="1" applyAlignment="1" applyProtection="1">
      <alignment horizontal="right" vertical="center"/>
      <protection locked="0"/>
    </xf>
    <xf numFmtId="4" fontId="15" fillId="13" borderId="0" xfId="0" applyNumberFormat="1" applyFont="1" applyFill="1" applyAlignment="1" applyProtection="1">
      <alignment horizontal="right" vertical="center"/>
      <protection locked="0"/>
    </xf>
    <xf numFmtId="0" fontId="34" fillId="0" borderId="0" xfId="0" applyFont="1" applyAlignment="1">
      <alignment horizontal="left" vertical="center"/>
    </xf>
    <xf numFmtId="0" fontId="15" fillId="12" borderId="0" xfId="0" applyFont="1" applyFill="1" applyAlignment="1" applyProtection="1">
      <alignment horizontal="right" vertical="center"/>
      <protection locked="0"/>
    </xf>
    <xf numFmtId="0" fontId="35" fillId="0" borderId="0" xfId="0" applyFont="1" applyAlignment="1">
      <alignment horizontal="left" vertical="center"/>
    </xf>
    <xf numFmtId="180" fontId="0" fillId="0" borderId="0" xfId="0" applyNumberFormat="1"/>
    <xf numFmtId="49" fontId="40" fillId="0" borderId="0" xfId="0" applyNumberFormat="1" applyFont="1"/>
    <xf numFmtId="0" fontId="31" fillId="11" borderId="12" xfId="0" applyFont="1" applyFill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11" borderId="2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31" fillId="11" borderId="8" xfId="0" applyFont="1" applyFill="1" applyBorder="1" applyAlignment="1">
      <alignment horizontal="center" vertical="center"/>
    </xf>
    <xf numFmtId="0" fontId="31" fillId="0" borderId="20" xfId="0" applyFont="1" applyBorder="1" applyAlignment="1">
      <alignment horizontal="right" vertical="center"/>
    </xf>
    <xf numFmtId="0" fontId="6" fillId="0" borderId="13" xfId="0" applyFont="1" applyBorder="1" applyAlignment="1">
      <alignment horizontal="justify" vertical="center"/>
    </xf>
    <xf numFmtId="0" fontId="25" fillId="0" borderId="14" xfId="3" applyFont="1" applyBorder="1" applyAlignment="1">
      <alignment horizontal="center" wrapText="1"/>
    </xf>
    <xf numFmtId="0" fontId="25" fillId="0" borderId="18" xfId="3" applyFont="1" applyBorder="1" applyAlignment="1">
      <alignment horizontal="center" wrapText="1"/>
    </xf>
    <xf numFmtId="0" fontId="25" fillId="0" borderId="17" xfId="3" applyFont="1" applyBorder="1" applyAlignment="1">
      <alignment horizontal="center" wrapText="1"/>
    </xf>
    <xf numFmtId="0" fontId="25" fillId="0" borderId="16" xfId="3" applyFont="1" applyBorder="1" applyAlignment="1">
      <alignment horizontal="center"/>
    </xf>
    <xf numFmtId="0" fontId="25" fillId="0" borderId="17" xfId="3" applyFont="1" applyBorder="1" applyAlignment="1">
      <alignment horizontal="center"/>
    </xf>
    <xf numFmtId="0" fontId="23" fillId="0" borderId="1" xfId="0" applyFont="1" applyBorder="1" applyAlignment="1">
      <alignment horizontal="center" vertical="center" wrapText="1"/>
    </xf>
    <xf numFmtId="14" fontId="21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14" fontId="21" fillId="0" borderId="14" xfId="0" applyNumberFormat="1" applyFont="1" applyBorder="1" applyAlignment="1">
      <alignment horizontal="center" vertical="center"/>
    </xf>
    <xf numFmtId="14" fontId="21" fillId="0" borderId="15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</cellXfs>
  <cellStyles count="4">
    <cellStyle name="百分比" xfId="2" builtinId="5"/>
    <cellStyle name="常规" xfId="0" builtinId="0"/>
    <cellStyle name="常规_可行报告财务计算表-yingkougang" xfId="3" xr:uid="{00000000-0005-0000-0000-000031000000}"/>
    <cellStyle name="千位分隔" xfId="1" builtinId="3"/>
  </cellStyles>
  <dxfs count="0"/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13"/>
  </sheetPr>
  <dimension ref="A1:M69"/>
  <sheetViews>
    <sheetView tabSelected="1" workbookViewId="0">
      <pane ySplit="1" topLeftCell="A27" activePane="bottomLeft" state="frozen"/>
      <selection pane="bottomLeft" activeCell="J31" sqref="J31"/>
    </sheetView>
  </sheetViews>
  <sheetFormatPr defaultColWidth="9" defaultRowHeight="12.75"/>
  <cols>
    <col min="1" max="1" width="8.5703125" customWidth="1"/>
    <col min="2" max="2" width="25.5703125" customWidth="1"/>
    <col min="3" max="3" width="18.42578125" hidden="1" customWidth="1"/>
    <col min="4" max="4" width="10.42578125" hidden="1" customWidth="1"/>
    <col min="5" max="5" width="18.5703125" hidden="1" customWidth="1"/>
    <col min="6" max="7" width="20.28515625" customWidth="1"/>
    <col min="8" max="8" width="18.5703125" hidden="1" customWidth="1"/>
    <col min="9" max="10" width="19.28515625" customWidth="1"/>
    <col min="11" max="11" width="64" customWidth="1"/>
    <col min="12" max="12" width="15.42578125"/>
  </cols>
  <sheetData>
    <row r="1" spans="1:13" ht="22.15" customHeight="1">
      <c r="A1" s="110" t="s">
        <v>0</v>
      </c>
      <c r="B1" s="110" t="s">
        <v>1</v>
      </c>
      <c r="C1" s="110" t="s">
        <v>2</v>
      </c>
      <c r="D1" s="111">
        <v>43100</v>
      </c>
      <c r="E1" s="111">
        <v>43465</v>
      </c>
      <c r="F1" s="111">
        <v>44196</v>
      </c>
      <c r="G1" s="111">
        <v>44561</v>
      </c>
      <c r="H1" s="112">
        <v>44530</v>
      </c>
      <c r="I1" s="112">
        <v>44926</v>
      </c>
      <c r="J1" s="111">
        <v>44957</v>
      </c>
    </row>
    <row r="2" spans="1:13" ht="14.1" customHeight="1">
      <c r="A2" s="113" t="s">
        <v>3</v>
      </c>
      <c r="B2" s="113" t="s">
        <v>4</v>
      </c>
      <c r="C2" s="125"/>
      <c r="D2" s="125"/>
      <c r="E2" s="125"/>
      <c r="F2" s="125"/>
      <c r="G2" s="125"/>
      <c r="H2" s="125"/>
      <c r="I2" s="125"/>
      <c r="J2" s="125"/>
      <c r="L2" t="str">
        <f>B2</f>
        <v>货币资金</v>
      </c>
      <c r="M2" s="113" t="str">
        <f>CONCATENATE("近三年及一期，拟承租人",B2,"分别为",ROUND(F2/100000000,2),"亿元、",ROUND(G2/100000000,2),"亿元、",ROUND(I2/100000000,2),"亿元及",ROUND(J2/100000000,2),"亿元。")</f>
        <v>近三年及一期，拟承租人货币资金分别为0亿元、0亿元、0亿元及0亿元。</v>
      </c>
    </row>
    <row r="3" spans="1:13" ht="14.1" customHeight="1">
      <c r="A3" s="113" t="s">
        <v>5</v>
      </c>
      <c r="B3" s="113" t="s">
        <v>6</v>
      </c>
      <c r="C3" s="125"/>
      <c r="D3" s="125"/>
      <c r="E3" s="125"/>
      <c r="F3" s="125"/>
      <c r="G3" s="125"/>
      <c r="H3" s="125"/>
      <c r="I3" s="125"/>
      <c r="J3" s="125"/>
      <c r="L3" t="str">
        <f t="shared" ref="L3:L34" si="0">B3</f>
        <v>交易性金融资产</v>
      </c>
      <c r="M3" s="113" t="str">
        <f t="shared" ref="M3:M13" si="1">CONCATENATE("近三年及一期，拟承租人",B3,"分别为",ROUND(F3/100000000,2),"亿元、",ROUND(G3/100000000,2),"亿元、",ROUND(I3/100000000,2),"亿元及",ROUND(J3/100000000,2),"亿元。")</f>
        <v>近三年及一期，拟承租人交易性金融资产分别为0亿元、0亿元、0亿元及0亿元。</v>
      </c>
    </row>
    <row r="4" spans="1:13" ht="14.1" customHeight="1">
      <c r="A4" s="113">
        <v>40003</v>
      </c>
      <c r="B4" s="113" t="s">
        <v>7</v>
      </c>
      <c r="C4" s="125"/>
      <c r="D4" s="125"/>
      <c r="E4" s="125"/>
      <c r="F4" s="125"/>
      <c r="G4" s="125"/>
      <c r="H4" s="125"/>
      <c r="I4" s="125"/>
      <c r="J4" s="125"/>
      <c r="K4" s="132"/>
      <c r="L4" t="str">
        <f t="shared" si="0"/>
        <v>应收票据</v>
      </c>
      <c r="M4" s="113" t="str">
        <f t="shared" si="1"/>
        <v>近三年及一期，拟承租人应收票据分别为0亿元、0亿元、0亿元及0亿元。</v>
      </c>
    </row>
    <row r="5" spans="1:13" ht="14.1" customHeight="1">
      <c r="A5" s="113" t="s">
        <v>8</v>
      </c>
      <c r="B5" s="113" t="s">
        <v>9</v>
      </c>
      <c r="C5" s="125"/>
      <c r="D5" s="125"/>
      <c r="E5" s="125"/>
      <c r="F5" s="125"/>
      <c r="G5" s="125"/>
      <c r="H5" s="125"/>
      <c r="I5" s="125"/>
      <c r="J5" s="125"/>
      <c r="L5" t="str">
        <f t="shared" si="0"/>
        <v>应收账款</v>
      </c>
      <c r="M5" s="113" t="str">
        <f t="shared" si="1"/>
        <v>近三年及一期，拟承租人应收账款分别为0亿元、0亿元、0亿元及0亿元。</v>
      </c>
    </row>
    <row r="6" spans="1:13" ht="14.1" customHeight="1">
      <c r="A6" s="113" t="s">
        <v>10</v>
      </c>
      <c r="B6" s="113" t="s">
        <v>11</v>
      </c>
      <c r="C6" s="125"/>
      <c r="D6" s="125"/>
      <c r="E6" s="125"/>
      <c r="F6" s="125"/>
      <c r="G6" s="125"/>
      <c r="H6" s="125"/>
      <c r="I6" s="125"/>
      <c r="J6" s="125"/>
      <c r="L6" t="str">
        <f t="shared" si="0"/>
        <v>预付账款</v>
      </c>
      <c r="M6" s="113" t="str">
        <f t="shared" si="1"/>
        <v>近三年及一期，拟承租人预付账款分别为0亿元、0亿元、0亿元及0亿元。</v>
      </c>
    </row>
    <row r="7" spans="1:13" ht="14.1" customHeight="1">
      <c r="A7" s="113" t="s">
        <v>12</v>
      </c>
      <c r="B7" s="113" t="s">
        <v>13</v>
      </c>
      <c r="C7" s="125"/>
      <c r="D7" s="125"/>
      <c r="E7" s="125"/>
      <c r="F7" s="125"/>
      <c r="G7" s="125"/>
      <c r="H7" s="125"/>
      <c r="I7" s="125"/>
      <c r="J7" s="125"/>
      <c r="L7" t="str">
        <f t="shared" si="0"/>
        <v>存货</v>
      </c>
      <c r="M7" s="113" t="str">
        <f t="shared" si="1"/>
        <v>近三年及一期，拟承租人存货分别为0亿元、0亿元、0亿元及0亿元。</v>
      </c>
    </row>
    <row r="8" spans="1:13" ht="14.1" customHeight="1">
      <c r="A8" s="113" t="s">
        <v>14</v>
      </c>
      <c r="B8" s="113" t="s">
        <v>15</v>
      </c>
      <c r="C8" s="125"/>
      <c r="D8" s="125"/>
      <c r="E8" s="125"/>
      <c r="F8" s="125"/>
      <c r="G8" s="125"/>
      <c r="H8" s="125"/>
      <c r="I8" s="125"/>
      <c r="J8" s="125"/>
      <c r="L8" t="str">
        <f t="shared" si="0"/>
        <v>应收利息</v>
      </c>
      <c r="M8" s="113" t="str">
        <f t="shared" si="1"/>
        <v>近三年及一期，拟承租人应收利息分别为0亿元、0亿元、0亿元及0亿元。</v>
      </c>
    </row>
    <row r="9" spans="1:13" ht="14.1" customHeight="1">
      <c r="A9" s="113" t="s">
        <v>16</v>
      </c>
      <c r="B9" s="113" t="s">
        <v>17</v>
      </c>
      <c r="C9" s="125"/>
      <c r="D9" s="125"/>
      <c r="E9" s="125"/>
      <c r="F9" s="125"/>
      <c r="G9" s="125"/>
      <c r="H9" s="125"/>
      <c r="I9" s="125"/>
      <c r="J9" s="125"/>
      <c r="L9" t="str">
        <f t="shared" si="0"/>
        <v>应收股利</v>
      </c>
      <c r="M9" s="113" t="str">
        <f t="shared" si="1"/>
        <v>近三年及一期，拟承租人应收股利分别为0亿元、0亿元、0亿元及0亿元。</v>
      </c>
    </row>
    <row r="10" spans="1:13" ht="14.1" customHeight="1">
      <c r="A10" s="113" t="s">
        <v>18</v>
      </c>
      <c r="B10" s="113" t="s">
        <v>19</v>
      </c>
      <c r="C10" s="125"/>
      <c r="D10" s="125"/>
      <c r="E10" s="125"/>
      <c r="F10" s="125"/>
      <c r="G10" s="125"/>
      <c r="H10" s="125"/>
      <c r="I10" s="125"/>
      <c r="J10" s="125"/>
      <c r="L10" t="str">
        <f t="shared" si="0"/>
        <v>其他应收款</v>
      </c>
      <c r="M10" s="113" t="str">
        <f t="shared" si="1"/>
        <v>近三年及一期，拟承租人其他应收款分别为0亿元、0亿元、0亿元及0亿元。</v>
      </c>
    </row>
    <row r="11" spans="1:13" ht="14.1" customHeight="1">
      <c r="A11" s="113" t="s">
        <v>20</v>
      </c>
      <c r="B11" s="113" t="s">
        <v>21</v>
      </c>
      <c r="C11" s="125"/>
      <c r="D11" s="125"/>
      <c r="E11" s="125"/>
      <c r="F11" s="125"/>
      <c r="G11" s="125"/>
      <c r="H11" s="125"/>
      <c r="I11" s="125"/>
      <c r="J11" s="125"/>
      <c r="L11" t="str">
        <f t="shared" si="0"/>
        <v>一年内到期的非流动资产</v>
      </c>
      <c r="M11" s="113" t="str">
        <f t="shared" si="1"/>
        <v>近三年及一期，拟承租人一年内到期的非流动资产分别为0亿元、0亿元、0亿元及0亿元。</v>
      </c>
    </row>
    <row r="12" spans="1:13" ht="14.1" customHeight="1">
      <c r="A12" s="113" t="s">
        <v>22</v>
      </c>
      <c r="B12" s="113" t="s">
        <v>23</v>
      </c>
      <c r="C12" s="125"/>
      <c r="D12" s="125"/>
      <c r="E12" s="125"/>
      <c r="F12" s="125"/>
      <c r="G12" s="125"/>
      <c r="H12" s="125"/>
      <c r="I12" s="125"/>
      <c r="J12" s="125"/>
      <c r="L12" t="str">
        <f t="shared" si="0"/>
        <v>其他流动资产</v>
      </c>
      <c r="M12" s="113" t="str">
        <f t="shared" si="1"/>
        <v>近三年及一期，拟承租人其他流动资产分别为0亿元、0亿元、0亿元及0亿元。</v>
      </c>
    </row>
    <row r="13" spans="1:13" s="124" customFormat="1" ht="14.1" customHeight="1">
      <c r="A13" s="126" t="s">
        <v>24</v>
      </c>
      <c r="B13" s="126" t="s">
        <v>25</v>
      </c>
      <c r="C13" s="127">
        <f t="shared" ref="C13:J13" si="2">SUM(C2:C12)</f>
        <v>0</v>
      </c>
      <c r="D13" s="127">
        <f t="shared" si="2"/>
        <v>0</v>
      </c>
      <c r="E13" s="127">
        <f t="shared" si="2"/>
        <v>0</v>
      </c>
      <c r="F13" s="127">
        <f t="shared" si="2"/>
        <v>0</v>
      </c>
      <c r="G13" s="127">
        <f t="shared" si="2"/>
        <v>0</v>
      </c>
      <c r="H13" s="127">
        <f t="shared" si="2"/>
        <v>0</v>
      </c>
      <c r="I13" s="127">
        <f t="shared" si="2"/>
        <v>0</v>
      </c>
      <c r="J13" s="127">
        <f t="shared" si="2"/>
        <v>0</v>
      </c>
      <c r="L13" t="str">
        <f t="shared" si="0"/>
        <v>流动资产合计</v>
      </c>
      <c r="M13" s="113" t="str">
        <f t="shared" si="1"/>
        <v>近三年及一期，拟承租人流动资产合计分别为0亿元、0亿元、0亿元及0亿元。</v>
      </c>
    </row>
    <row r="14" spans="1:13" ht="14.1" customHeight="1">
      <c r="A14" s="113" t="s">
        <v>26</v>
      </c>
      <c r="B14" s="113" t="s">
        <v>27</v>
      </c>
      <c r="C14" s="125"/>
      <c r="D14" s="125"/>
      <c r="E14" s="125"/>
      <c r="F14" s="125"/>
      <c r="G14" s="125"/>
      <c r="H14" s="125"/>
      <c r="I14" s="125"/>
      <c r="J14" s="125"/>
      <c r="L14" t="str">
        <f t="shared" si="0"/>
        <v>可供出售金融资产</v>
      </c>
      <c r="M14" s="113" t="str">
        <f t="shared" ref="M14:M45" si="3">CONCATENATE("近三年及一期，拟承租人",B14,"分别为",ROUND(F14/100000000,2),"亿元、",ROUND(G14/100000000,2),"亿元、",ROUND(I14/100000000,2),"亿元及",ROUND(J14/100000000,2),"亿元。")</f>
        <v>近三年及一期，拟承租人可供出售金融资产分别为0亿元、0亿元、0亿元及0亿元。</v>
      </c>
    </row>
    <row r="15" spans="1:13" ht="14.1" customHeight="1">
      <c r="A15" s="113" t="s">
        <v>28</v>
      </c>
      <c r="B15" s="113" t="s">
        <v>29</v>
      </c>
      <c r="C15" s="125"/>
      <c r="D15" s="125"/>
      <c r="E15" s="125"/>
      <c r="F15" s="125"/>
      <c r="G15" s="125"/>
      <c r="H15" s="125"/>
      <c r="I15" s="125"/>
      <c r="J15" s="125"/>
      <c r="L15" t="str">
        <f t="shared" si="0"/>
        <v>持有至到期投资</v>
      </c>
      <c r="M15" s="113" t="str">
        <f t="shared" si="3"/>
        <v>近三年及一期，拟承租人持有至到期投资分别为0亿元、0亿元、0亿元及0亿元。</v>
      </c>
    </row>
    <row r="16" spans="1:13" ht="14.1" customHeight="1">
      <c r="A16" s="113" t="s">
        <v>30</v>
      </c>
      <c r="B16" s="113" t="s">
        <v>31</v>
      </c>
      <c r="C16" s="125"/>
      <c r="D16" s="125"/>
      <c r="E16" s="125"/>
      <c r="F16" s="125"/>
      <c r="G16" s="125"/>
      <c r="H16" s="125"/>
      <c r="I16" s="125"/>
      <c r="J16" s="125"/>
      <c r="L16" t="str">
        <f t="shared" si="0"/>
        <v>长期应收款</v>
      </c>
      <c r="M16" s="113" t="str">
        <f t="shared" si="3"/>
        <v>近三年及一期，拟承租人长期应收款分别为0亿元、0亿元、0亿元及0亿元。</v>
      </c>
    </row>
    <row r="17" spans="1:13" ht="14.1" customHeight="1">
      <c r="A17" s="113" t="s">
        <v>32</v>
      </c>
      <c r="B17" s="113" t="s">
        <v>33</v>
      </c>
      <c r="C17" s="125"/>
      <c r="D17" s="125"/>
      <c r="E17" s="125"/>
      <c r="F17" s="125"/>
      <c r="G17" s="125"/>
      <c r="H17" s="125"/>
      <c r="I17" s="125"/>
      <c r="J17" s="125"/>
      <c r="L17" t="str">
        <f t="shared" si="0"/>
        <v>长期股权投资</v>
      </c>
      <c r="M17" s="113" t="str">
        <f t="shared" si="3"/>
        <v>近三年及一期，拟承租人长期股权投资分别为0亿元、0亿元、0亿元及0亿元。</v>
      </c>
    </row>
    <row r="18" spans="1:13" ht="14.1" customHeight="1">
      <c r="A18" s="113" t="s">
        <v>34</v>
      </c>
      <c r="B18" s="113" t="s">
        <v>35</v>
      </c>
      <c r="C18" s="125"/>
      <c r="D18" s="125"/>
      <c r="E18" s="125"/>
      <c r="F18" s="125"/>
      <c r="G18" s="125"/>
      <c r="H18" s="125"/>
      <c r="I18" s="125"/>
      <c r="J18" s="125"/>
      <c r="L18" t="str">
        <f t="shared" si="0"/>
        <v>投资性房地产</v>
      </c>
      <c r="M18" s="113" t="str">
        <f t="shared" si="3"/>
        <v>近三年及一期，拟承租人投资性房地产分别为0亿元、0亿元、0亿元及0亿元。</v>
      </c>
    </row>
    <row r="19" spans="1:13" ht="14.1" customHeight="1">
      <c r="A19" s="113" t="s">
        <v>36</v>
      </c>
      <c r="B19" s="113" t="s">
        <v>37</v>
      </c>
      <c r="C19" s="125"/>
      <c r="D19" s="125"/>
      <c r="E19" s="125"/>
      <c r="F19" s="125"/>
      <c r="G19" s="125"/>
      <c r="H19" s="125"/>
      <c r="I19" s="125"/>
      <c r="J19" s="125"/>
      <c r="L19" t="str">
        <f t="shared" si="0"/>
        <v>固定资产</v>
      </c>
      <c r="M19" s="113" t="str">
        <f t="shared" si="3"/>
        <v>近三年及一期，拟承租人固定资产分别为0亿元、0亿元、0亿元及0亿元。</v>
      </c>
    </row>
    <row r="20" spans="1:13" ht="14.1" customHeight="1">
      <c r="A20" s="113" t="s">
        <v>38</v>
      </c>
      <c r="B20" s="113" t="s">
        <v>39</v>
      </c>
      <c r="C20" s="125"/>
      <c r="D20" s="125"/>
      <c r="E20" s="125"/>
      <c r="F20" s="125"/>
      <c r="G20" s="125"/>
      <c r="H20" s="125"/>
      <c r="I20" s="125"/>
      <c r="J20" s="125"/>
      <c r="L20" t="str">
        <f t="shared" si="0"/>
        <v>累计折旧</v>
      </c>
      <c r="M20" s="113" t="str">
        <f t="shared" si="3"/>
        <v>近三年及一期，拟承租人累计折旧分别为0亿元、0亿元、0亿元及0亿元。</v>
      </c>
    </row>
    <row r="21" spans="1:13" ht="14.1" customHeight="1">
      <c r="A21" s="113" t="s">
        <v>40</v>
      </c>
      <c r="B21" s="113" t="s">
        <v>41</v>
      </c>
      <c r="C21" s="125"/>
      <c r="D21" s="125"/>
      <c r="E21" s="125"/>
      <c r="F21" s="125"/>
      <c r="G21" s="125"/>
      <c r="H21" s="125"/>
      <c r="I21" s="125"/>
      <c r="J21" s="125"/>
      <c r="L21" t="str">
        <f t="shared" si="0"/>
        <v>固定资产减值准备</v>
      </c>
      <c r="M21" s="113" t="str">
        <f t="shared" si="3"/>
        <v>近三年及一期，拟承租人固定资产减值准备分别为0亿元、0亿元、0亿元及0亿元。</v>
      </c>
    </row>
    <row r="22" spans="1:13" ht="14.1" customHeight="1">
      <c r="A22" s="113" t="s">
        <v>42</v>
      </c>
      <c r="B22" s="113" t="s">
        <v>43</v>
      </c>
      <c r="C22" s="128">
        <f t="shared" ref="C22:J22" si="4">C19-C20-C21</f>
        <v>0</v>
      </c>
      <c r="D22" s="128">
        <f t="shared" si="4"/>
        <v>0</v>
      </c>
      <c r="E22" s="128">
        <f t="shared" si="4"/>
        <v>0</v>
      </c>
      <c r="F22" s="128">
        <f t="shared" si="4"/>
        <v>0</v>
      </c>
      <c r="G22" s="128">
        <f t="shared" si="4"/>
        <v>0</v>
      </c>
      <c r="H22" s="128">
        <f t="shared" si="4"/>
        <v>0</v>
      </c>
      <c r="I22" s="128">
        <f t="shared" si="4"/>
        <v>0</v>
      </c>
      <c r="J22" s="128">
        <f t="shared" si="4"/>
        <v>0</v>
      </c>
      <c r="L22" t="str">
        <f t="shared" si="0"/>
        <v>固定资产净额</v>
      </c>
      <c r="M22" s="113" t="str">
        <f t="shared" si="3"/>
        <v>近三年及一期，拟承租人固定资产净额分别为0亿元、0亿元、0亿元及0亿元。</v>
      </c>
    </row>
    <row r="23" spans="1:13" ht="14.1" customHeight="1">
      <c r="A23" s="113" t="s">
        <v>44</v>
      </c>
      <c r="B23" s="113" t="s">
        <v>45</v>
      </c>
      <c r="C23" s="125"/>
      <c r="D23" s="125"/>
      <c r="E23" s="125"/>
      <c r="F23" s="125"/>
      <c r="G23" s="125"/>
      <c r="H23" s="125"/>
      <c r="I23" s="125"/>
      <c r="J23" s="125"/>
      <c r="L23" t="str">
        <f t="shared" si="0"/>
        <v>工程物资</v>
      </c>
      <c r="M23" s="113" t="str">
        <f t="shared" si="3"/>
        <v>近三年及一期，拟承租人工程物资分别为0亿元、0亿元、0亿元及0亿元。</v>
      </c>
    </row>
    <row r="24" spans="1:13" ht="14.1" customHeight="1">
      <c r="A24" s="113" t="s">
        <v>46</v>
      </c>
      <c r="B24" s="113" t="s">
        <v>47</v>
      </c>
      <c r="C24" s="125"/>
      <c r="D24" s="125"/>
      <c r="E24" s="125"/>
      <c r="F24" s="125"/>
      <c r="G24" s="125"/>
      <c r="H24" s="125"/>
      <c r="I24" s="125"/>
      <c r="J24" s="125"/>
      <c r="L24" t="str">
        <f t="shared" si="0"/>
        <v>在建工程</v>
      </c>
      <c r="M24" s="113" t="str">
        <f t="shared" si="3"/>
        <v>近三年及一期，拟承租人在建工程分别为0亿元、0亿元、0亿元及0亿元。</v>
      </c>
    </row>
    <row r="25" spans="1:13" ht="14.1" customHeight="1">
      <c r="A25" s="113" t="s">
        <v>48</v>
      </c>
      <c r="B25" s="113" t="s">
        <v>49</v>
      </c>
      <c r="C25" s="125"/>
      <c r="D25" s="125"/>
      <c r="E25" s="125"/>
      <c r="F25" s="125"/>
      <c r="G25" s="125"/>
      <c r="H25" s="125"/>
      <c r="I25" s="125"/>
      <c r="J25" s="125"/>
      <c r="L25" t="str">
        <f t="shared" si="0"/>
        <v>固定资产清理</v>
      </c>
      <c r="M25" s="113" t="str">
        <f t="shared" si="3"/>
        <v>近三年及一期，拟承租人固定资产清理分别为0亿元、0亿元、0亿元及0亿元。</v>
      </c>
    </row>
    <row r="26" spans="1:13" ht="14.1" customHeight="1">
      <c r="A26" s="113" t="s">
        <v>50</v>
      </c>
      <c r="B26" s="113" t="s">
        <v>51</v>
      </c>
      <c r="C26" s="125"/>
      <c r="D26" s="125"/>
      <c r="E26" s="125"/>
      <c r="F26" s="125"/>
      <c r="G26" s="125"/>
      <c r="H26" s="125"/>
      <c r="I26" s="125"/>
      <c r="J26" s="125"/>
      <c r="L26" t="str">
        <f t="shared" si="0"/>
        <v>生产性生物资产</v>
      </c>
      <c r="M26" s="113" t="str">
        <f t="shared" si="3"/>
        <v>近三年及一期，拟承租人生产性生物资产分别为0亿元、0亿元、0亿元及0亿元。</v>
      </c>
    </row>
    <row r="27" spans="1:13" ht="14.1" customHeight="1">
      <c r="A27" s="113" t="s">
        <v>52</v>
      </c>
      <c r="B27" s="113" t="s">
        <v>53</v>
      </c>
      <c r="C27" s="125"/>
      <c r="D27" s="125"/>
      <c r="E27" s="125"/>
      <c r="F27" s="125"/>
      <c r="G27" s="125"/>
      <c r="H27" s="125"/>
      <c r="I27" s="125"/>
      <c r="J27" s="125"/>
      <c r="L27" t="str">
        <f t="shared" si="0"/>
        <v>油气资产</v>
      </c>
      <c r="M27" s="113" t="str">
        <f t="shared" si="3"/>
        <v>近三年及一期，拟承租人油气资产分别为0亿元、0亿元、0亿元及0亿元。</v>
      </c>
    </row>
    <row r="28" spans="1:13" ht="14.1" customHeight="1">
      <c r="A28" s="113" t="s">
        <v>54</v>
      </c>
      <c r="B28" s="113" t="s">
        <v>55</v>
      </c>
      <c r="C28" s="125"/>
      <c r="D28" s="125"/>
      <c r="E28" s="125"/>
      <c r="F28" s="125"/>
      <c r="G28" s="125"/>
      <c r="H28" s="125"/>
      <c r="I28" s="125"/>
      <c r="J28" s="125"/>
      <c r="L28" t="str">
        <f t="shared" si="0"/>
        <v>无形资产</v>
      </c>
      <c r="M28" s="113" t="str">
        <f t="shared" si="3"/>
        <v>近三年及一期，拟承租人无形资产分别为0亿元、0亿元、0亿元及0亿元。</v>
      </c>
    </row>
    <row r="29" spans="1:13" ht="14.1" customHeight="1">
      <c r="A29" s="113" t="s">
        <v>56</v>
      </c>
      <c r="B29" s="113" t="s">
        <v>57</v>
      </c>
      <c r="C29" s="125"/>
      <c r="D29" s="125"/>
      <c r="E29" s="125"/>
      <c r="F29" s="125"/>
      <c r="G29" s="125"/>
      <c r="H29" s="125"/>
      <c r="I29" s="125"/>
      <c r="J29" s="125"/>
      <c r="L29" t="str">
        <f t="shared" si="0"/>
        <v>开发支出</v>
      </c>
      <c r="M29" s="113" t="str">
        <f t="shared" si="3"/>
        <v>近三年及一期，拟承租人开发支出分别为0亿元、0亿元、0亿元及0亿元。</v>
      </c>
    </row>
    <row r="30" spans="1:13" ht="14.1" customHeight="1">
      <c r="A30" s="113" t="s">
        <v>58</v>
      </c>
      <c r="B30" s="113" t="s">
        <v>59</v>
      </c>
      <c r="C30" s="125"/>
      <c r="D30" s="125"/>
      <c r="E30" s="125"/>
      <c r="F30" s="125"/>
      <c r="G30" s="125"/>
      <c r="H30" s="125"/>
      <c r="I30" s="125"/>
      <c r="J30" s="125"/>
      <c r="L30" t="str">
        <f t="shared" si="0"/>
        <v>商誉</v>
      </c>
      <c r="M30" s="113" t="str">
        <f t="shared" si="3"/>
        <v>近三年及一期，拟承租人商誉分别为0亿元、0亿元、0亿元及0亿元。</v>
      </c>
    </row>
    <row r="31" spans="1:13" ht="14.1" customHeight="1">
      <c r="A31" s="113" t="s">
        <v>60</v>
      </c>
      <c r="B31" s="113" t="s">
        <v>61</v>
      </c>
      <c r="C31" s="125"/>
      <c r="D31" s="125"/>
      <c r="E31" s="125"/>
      <c r="F31" s="125"/>
      <c r="G31" s="125"/>
      <c r="H31" s="125"/>
      <c r="I31" s="125"/>
      <c r="J31" s="125"/>
      <c r="L31" t="str">
        <f t="shared" si="0"/>
        <v>长期待摊费用</v>
      </c>
      <c r="M31" s="113" t="str">
        <f t="shared" si="3"/>
        <v>近三年及一期，拟承租人长期待摊费用分别为0亿元、0亿元、0亿元及0亿元。</v>
      </c>
    </row>
    <row r="32" spans="1:13" ht="14.1" customHeight="1">
      <c r="A32" s="113" t="s">
        <v>62</v>
      </c>
      <c r="B32" s="113" t="s">
        <v>63</v>
      </c>
      <c r="C32" s="125"/>
      <c r="D32" s="125"/>
      <c r="E32" s="125"/>
      <c r="F32" s="125"/>
      <c r="G32" s="125"/>
      <c r="H32" s="125"/>
      <c r="I32" s="125"/>
      <c r="J32" s="125"/>
      <c r="L32" t="str">
        <f t="shared" si="0"/>
        <v>递延所得税资产</v>
      </c>
      <c r="M32" s="113" t="str">
        <f t="shared" si="3"/>
        <v>近三年及一期，拟承租人递延所得税资产分别为0亿元、0亿元、0亿元及0亿元。</v>
      </c>
    </row>
    <row r="33" spans="1:13" ht="14.1" customHeight="1">
      <c r="A33" s="113" t="s">
        <v>64</v>
      </c>
      <c r="B33" s="113" t="s">
        <v>65</v>
      </c>
      <c r="C33" s="125"/>
      <c r="D33" s="125"/>
      <c r="E33" s="125"/>
      <c r="F33" s="125"/>
      <c r="G33" s="125"/>
      <c r="H33" s="125"/>
      <c r="I33" s="125"/>
      <c r="J33" s="125"/>
      <c r="L33" t="str">
        <f t="shared" si="0"/>
        <v>其他非流动资产</v>
      </c>
      <c r="M33" s="113" t="str">
        <f t="shared" si="3"/>
        <v>近三年及一期，拟承租人其他非流动资产分别为0亿元、0亿元、0亿元及0亿元。</v>
      </c>
    </row>
    <row r="34" spans="1:13" s="124" customFormat="1" ht="14.1" customHeight="1">
      <c r="A34" s="126" t="s">
        <v>66</v>
      </c>
      <c r="B34" s="126" t="s">
        <v>67</v>
      </c>
      <c r="C34" s="127">
        <f t="shared" ref="C34:J34" si="5">SUM(C14:C33)-C19-C20-C21</f>
        <v>0</v>
      </c>
      <c r="D34" s="127">
        <f t="shared" si="5"/>
        <v>0</v>
      </c>
      <c r="E34" s="127">
        <f t="shared" si="5"/>
        <v>0</v>
      </c>
      <c r="F34" s="127">
        <f t="shared" si="5"/>
        <v>0</v>
      </c>
      <c r="G34" s="127">
        <f t="shared" si="5"/>
        <v>0</v>
      </c>
      <c r="H34" s="127">
        <f t="shared" si="5"/>
        <v>0</v>
      </c>
      <c r="I34" s="127">
        <f t="shared" si="5"/>
        <v>0</v>
      </c>
      <c r="J34" s="127">
        <f t="shared" si="5"/>
        <v>0</v>
      </c>
      <c r="L34" t="str">
        <f t="shared" si="0"/>
        <v>非流动资产合计</v>
      </c>
      <c r="M34" s="113" t="str">
        <f t="shared" si="3"/>
        <v>近三年及一期，拟承租人非流动资产合计分别为0亿元、0亿元、0亿元及0亿元。</v>
      </c>
    </row>
    <row r="35" spans="1:13" s="124" customFormat="1" ht="14.1" customHeight="1">
      <c r="A35" s="126" t="s">
        <v>68</v>
      </c>
      <c r="B35" s="126" t="s">
        <v>69</v>
      </c>
      <c r="C35" s="127">
        <f t="shared" ref="C35:J35" si="6">C34+C13</f>
        <v>0</v>
      </c>
      <c r="D35" s="127">
        <f t="shared" si="6"/>
        <v>0</v>
      </c>
      <c r="E35" s="127">
        <f t="shared" si="6"/>
        <v>0</v>
      </c>
      <c r="F35" s="127">
        <f t="shared" si="6"/>
        <v>0</v>
      </c>
      <c r="G35" s="127">
        <f t="shared" si="6"/>
        <v>0</v>
      </c>
      <c r="H35" s="127">
        <f t="shared" si="6"/>
        <v>0</v>
      </c>
      <c r="I35" s="127">
        <f t="shared" si="6"/>
        <v>0</v>
      </c>
      <c r="J35" s="127">
        <f t="shared" si="6"/>
        <v>0</v>
      </c>
      <c r="L35" t="str">
        <f t="shared" ref="L35:L68" si="7">B35</f>
        <v>资产总计</v>
      </c>
      <c r="M35" s="113" t="str">
        <f t="shared" si="3"/>
        <v>近三年及一期，拟承租人资产总计分别为0亿元、0亿元、0亿元及0亿元。</v>
      </c>
    </row>
    <row r="36" spans="1:13" ht="14.1" customHeight="1">
      <c r="A36" s="113" t="s">
        <v>70</v>
      </c>
      <c r="B36" s="113" t="s">
        <v>71</v>
      </c>
      <c r="C36" s="125"/>
      <c r="D36" s="125"/>
      <c r="E36" s="125"/>
      <c r="F36" s="125"/>
      <c r="G36" s="125"/>
      <c r="H36" s="125"/>
      <c r="I36" s="125"/>
      <c r="J36" s="125"/>
      <c r="K36" t="str">
        <f>刚性负债情况!A11</f>
        <v>刚性债务=短期借款+应付票据+一年内到期的长期借款+应付短期融资券+长期借款+应付债券+其他具期债务</v>
      </c>
      <c r="L36" t="str">
        <f t="shared" si="7"/>
        <v>短期借款</v>
      </c>
      <c r="M36" s="113" t="str">
        <f t="shared" si="3"/>
        <v>近三年及一期，拟承租人短期借款分别为0亿元、0亿元、0亿元及0亿元。</v>
      </c>
    </row>
    <row r="37" spans="1:13" ht="14.1" customHeight="1">
      <c r="A37" s="113" t="s">
        <v>72</v>
      </c>
      <c r="B37" s="113" t="s">
        <v>73</v>
      </c>
      <c r="C37" s="125"/>
      <c r="D37" s="125"/>
      <c r="E37" s="125"/>
      <c r="F37" s="125"/>
      <c r="G37" s="125"/>
      <c r="H37" s="125"/>
      <c r="I37" s="125"/>
      <c r="J37" s="125"/>
      <c r="L37" t="str">
        <f t="shared" si="7"/>
        <v>交易性金融负债</v>
      </c>
      <c r="M37" s="113" t="str">
        <f t="shared" si="3"/>
        <v>近三年及一期，拟承租人交易性金融负债分别为0亿元、0亿元、0亿元及0亿元。</v>
      </c>
    </row>
    <row r="38" spans="1:13" ht="14.1" customHeight="1">
      <c r="A38" s="113" t="s">
        <v>74</v>
      </c>
      <c r="B38" s="113" t="s">
        <v>75</v>
      </c>
      <c r="C38" s="125"/>
      <c r="D38" s="125"/>
      <c r="E38" s="125"/>
      <c r="F38" s="125"/>
      <c r="G38" s="125"/>
      <c r="H38" s="125"/>
      <c r="I38" s="125"/>
      <c r="J38" s="125"/>
      <c r="L38" t="str">
        <f t="shared" si="7"/>
        <v>应付票据</v>
      </c>
      <c r="M38" s="113" t="str">
        <f t="shared" si="3"/>
        <v>近三年及一期，拟承租人应付票据分别为0亿元、0亿元、0亿元及0亿元。</v>
      </c>
    </row>
    <row r="39" spans="1:13" ht="14.1" customHeight="1">
      <c r="A39" s="113" t="s">
        <v>76</v>
      </c>
      <c r="B39" s="113" t="s">
        <v>77</v>
      </c>
      <c r="C39" s="125"/>
      <c r="D39" s="125"/>
      <c r="E39" s="125"/>
      <c r="F39" s="125"/>
      <c r="G39" s="125"/>
      <c r="H39" s="125"/>
      <c r="I39" s="125"/>
      <c r="J39" s="125"/>
      <c r="L39" t="str">
        <f t="shared" si="7"/>
        <v>应付账款</v>
      </c>
      <c r="M39" s="113" t="str">
        <f t="shared" si="3"/>
        <v>近三年及一期，拟承租人应付账款分别为0亿元、0亿元、0亿元及0亿元。</v>
      </c>
    </row>
    <row r="40" spans="1:13" ht="14.1" customHeight="1">
      <c r="A40" s="113" t="s">
        <v>78</v>
      </c>
      <c r="B40" s="113" t="s">
        <v>79</v>
      </c>
      <c r="C40" s="125"/>
      <c r="D40" s="125"/>
      <c r="E40" s="125"/>
      <c r="F40" s="125"/>
      <c r="G40" s="125"/>
      <c r="H40" s="125"/>
      <c r="I40" s="125"/>
      <c r="J40" s="125"/>
      <c r="L40" t="str">
        <f t="shared" si="7"/>
        <v>预收账款</v>
      </c>
      <c r="M40" s="113" t="str">
        <f t="shared" si="3"/>
        <v>近三年及一期，拟承租人预收账款分别为0亿元、0亿元、0亿元及0亿元。</v>
      </c>
    </row>
    <row r="41" spans="1:13" ht="14.1" customHeight="1">
      <c r="A41" s="113" t="s">
        <v>80</v>
      </c>
      <c r="B41" s="113" t="s">
        <v>81</v>
      </c>
      <c r="C41" s="125"/>
      <c r="D41" s="125"/>
      <c r="E41" s="125"/>
      <c r="F41" s="125"/>
      <c r="G41" s="125"/>
      <c r="H41" s="125"/>
      <c r="I41" s="125"/>
      <c r="J41" s="125"/>
      <c r="L41" t="str">
        <f t="shared" si="7"/>
        <v>应付职工薪酬</v>
      </c>
      <c r="M41" s="113" t="str">
        <f t="shared" si="3"/>
        <v>近三年及一期，拟承租人应付职工薪酬分别为0亿元、0亿元、0亿元及0亿元。</v>
      </c>
    </row>
    <row r="42" spans="1:13" ht="14.1" customHeight="1">
      <c r="A42" s="113" t="s">
        <v>82</v>
      </c>
      <c r="B42" s="113" t="s">
        <v>83</v>
      </c>
      <c r="C42" s="125"/>
      <c r="D42" s="125"/>
      <c r="E42" s="125"/>
      <c r="F42" s="125"/>
      <c r="G42" s="125"/>
      <c r="H42" s="125"/>
      <c r="I42" s="125"/>
      <c r="J42" s="125"/>
      <c r="L42" t="str">
        <f t="shared" si="7"/>
        <v>应交税费</v>
      </c>
      <c r="M42" s="113" t="str">
        <f t="shared" si="3"/>
        <v>近三年及一期，拟承租人应交税费分别为0亿元、0亿元、0亿元及0亿元。</v>
      </c>
    </row>
    <row r="43" spans="1:13" ht="14.1" customHeight="1">
      <c r="A43" s="113" t="s">
        <v>84</v>
      </c>
      <c r="B43" s="113" t="s">
        <v>85</v>
      </c>
      <c r="C43" s="125"/>
      <c r="D43" s="125"/>
      <c r="E43" s="125"/>
      <c r="F43" s="125"/>
      <c r="G43" s="125"/>
      <c r="H43" s="125"/>
      <c r="I43" s="125"/>
      <c r="J43" s="125"/>
      <c r="L43" t="str">
        <f t="shared" si="7"/>
        <v>应付利息</v>
      </c>
      <c r="M43" s="113" t="str">
        <f t="shared" si="3"/>
        <v>近三年及一期，拟承租人应付利息分别为0亿元、0亿元、0亿元及0亿元。</v>
      </c>
    </row>
    <row r="44" spans="1:13" ht="14.1" customHeight="1">
      <c r="A44" s="113" t="s">
        <v>86</v>
      </c>
      <c r="B44" s="113" t="s">
        <v>87</v>
      </c>
      <c r="C44" s="125"/>
      <c r="D44" s="125"/>
      <c r="E44" s="125"/>
      <c r="F44" s="125"/>
      <c r="G44" s="125"/>
      <c r="H44" s="125"/>
      <c r="I44" s="125"/>
      <c r="J44" s="125"/>
      <c r="L44" t="str">
        <f t="shared" si="7"/>
        <v>应付股利</v>
      </c>
      <c r="M44" s="113" t="str">
        <f t="shared" si="3"/>
        <v>近三年及一期，拟承租人应付股利分别为0亿元、0亿元、0亿元及0亿元。</v>
      </c>
    </row>
    <row r="45" spans="1:13" ht="14.1" customHeight="1">
      <c r="A45" s="113" t="s">
        <v>88</v>
      </c>
      <c r="B45" s="113" t="s">
        <v>89</v>
      </c>
      <c r="C45" s="125"/>
      <c r="D45" s="125"/>
      <c r="E45" s="125"/>
      <c r="F45" s="125"/>
      <c r="G45" s="125"/>
      <c r="H45" s="125"/>
      <c r="I45" s="125"/>
      <c r="J45" s="125"/>
      <c r="L45" t="str">
        <f t="shared" si="7"/>
        <v>其他应付款</v>
      </c>
      <c r="M45" s="113" t="str">
        <f t="shared" si="3"/>
        <v>近三年及一期，拟承租人其他应付款分别为0亿元、0亿元、0亿元及0亿元。</v>
      </c>
    </row>
    <row r="46" spans="1:13" ht="14.1" customHeight="1">
      <c r="A46" s="113" t="s">
        <v>90</v>
      </c>
      <c r="B46" s="113" t="s">
        <v>91</v>
      </c>
      <c r="C46" s="125"/>
      <c r="D46" s="125"/>
      <c r="E46" s="125"/>
      <c r="F46" s="125"/>
      <c r="G46" s="125"/>
      <c r="H46" s="125"/>
      <c r="I46" s="125"/>
      <c r="J46" s="125"/>
      <c r="L46" t="str">
        <f t="shared" si="7"/>
        <v>一年内到期的非流动负债</v>
      </c>
      <c r="M46" s="113" t="str">
        <f t="shared" ref="M46:M68" si="8">CONCATENATE("近三年及一期，拟承租人",B46,"分别为",ROUND(F46/100000000,2),"亿元、",ROUND(G46/100000000,2),"亿元、",ROUND(I46/100000000,2),"亿元及",ROUND(J46/100000000,2),"亿元。")</f>
        <v>近三年及一期，拟承租人一年内到期的非流动负债分别为0亿元、0亿元、0亿元及0亿元。</v>
      </c>
    </row>
    <row r="47" spans="1:13" ht="14.1" customHeight="1">
      <c r="A47" s="113" t="s">
        <v>92</v>
      </c>
      <c r="B47" s="113" t="s">
        <v>93</v>
      </c>
      <c r="C47" s="125"/>
      <c r="D47" s="125"/>
      <c r="E47" s="125"/>
      <c r="F47" s="125"/>
      <c r="G47" s="125"/>
      <c r="H47" s="125"/>
      <c r="I47" s="125"/>
      <c r="J47" s="125"/>
      <c r="L47" t="str">
        <f t="shared" si="7"/>
        <v>其他流动负债</v>
      </c>
      <c r="M47" s="113" t="str">
        <f t="shared" si="8"/>
        <v>近三年及一期，拟承租人其他流动负债分别为0亿元、0亿元、0亿元及0亿元。</v>
      </c>
    </row>
    <row r="48" spans="1:13" s="124" customFormat="1" ht="14.1" customHeight="1">
      <c r="A48" s="126" t="s">
        <v>94</v>
      </c>
      <c r="B48" s="126" t="s">
        <v>95</v>
      </c>
      <c r="C48" s="127">
        <f t="shared" ref="C48:J48" si="9">SUM(C36:C47)</f>
        <v>0</v>
      </c>
      <c r="D48" s="127">
        <f t="shared" si="9"/>
        <v>0</v>
      </c>
      <c r="E48" s="127">
        <f t="shared" si="9"/>
        <v>0</v>
      </c>
      <c r="F48" s="127">
        <f t="shared" si="9"/>
        <v>0</v>
      </c>
      <c r="G48" s="127">
        <f t="shared" si="9"/>
        <v>0</v>
      </c>
      <c r="H48" s="127">
        <f t="shared" si="9"/>
        <v>0</v>
      </c>
      <c r="I48" s="127">
        <f t="shared" si="9"/>
        <v>0</v>
      </c>
      <c r="J48" s="127">
        <f t="shared" si="9"/>
        <v>0</v>
      </c>
      <c r="L48" t="str">
        <f t="shared" si="7"/>
        <v>流动负债合计</v>
      </c>
      <c r="M48" s="113" t="str">
        <f t="shared" si="8"/>
        <v>近三年及一期，拟承租人流动负债合计分别为0亿元、0亿元、0亿元及0亿元。</v>
      </c>
    </row>
    <row r="49" spans="1:13" ht="14.1" customHeight="1">
      <c r="A49" s="113" t="s">
        <v>96</v>
      </c>
      <c r="B49" s="113" t="s">
        <v>97</v>
      </c>
      <c r="C49" s="125"/>
      <c r="D49" s="125"/>
      <c r="E49" s="125"/>
      <c r="F49" s="125"/>
      <c r="G49" s="125"/>
      <c r="H49" s="125"/>
      <c r="I49" s="125"/>
      <c r="J49" s="125"/>
      <c r="L49" t="str">
        <f t="shared" si="7"/>
        <v>长期借款</v>
      </c>
      <c r="M49" s="113" t="str">
        <f t="shared" si="8"/>
        <v>近三年及一期，拟承租人长期借款分别为0亿元、0亿元、0亿元及0亿元。</v>
      </c>
    </row>
    <row r="50" spans="1:13" ht="14.1" customHeight="1">
      <c r="A50" s="113" t="s">
        <v>98</v>
      </c>
      <c r="B50" s="113" t="s">
        <v>99</v>
      </c>
      <c r="C50" s="125"/>
      <c r="D50" s="125"/>
      <c r="E50" s="125"/>
      <c r="F50" s="125"/>
      <c r="G50" s="125"/>
      <c r="H50" s="125"/>
      <c r="I50" s="125"/>
      <c r="J50" s="125"/>
      <c r="L50" t="str">
        <f t="shared" si="7"/>
        <v>应付债券</v>
      </c>
      <c r="M50" s="113" t="str">
        <f t="shared" si="8"/>
        <v>近三年及一期，拟承租人应付债券分别为0亿元、0亿元、0亿元及0亿元。</v>
      </c>
    </row>
    <row r="51" spans="1:13" ht="14.1" customHeight="1">
      <c r="A51" s="113" t="s">
        <v>100</v>
      </c>
      <c r="B51" s="113" t="s">
        <v>101</v>
      </c>
      <c r="C51" s="125"/>
      <c r="D51" s="125"/>
      <c r="E51" s="125"/>
      <c r="F51" s="125"/>
      <c r="G51" s="125"/>
      <c r="H51" s="125"/>
      <c r="I51" s="125"/>
      <c r="J51" s="125"/>
      <c r="L51" t="str">
        <f t="shared" si="7"/>
        <v>长期应付款</v>
      </c>
      <c r="M51" s="113" t="str">
        <f t="shared" si="8"/>
        <v>近三年及一期，拟承租人长期应付款分别为0亿元、0亿元、0亿元及0亿元。</v>
      </c>
    </row>
    <row r="52" spans="1:13" ht="14.1" customHeight="1">
      <c r="A52" s="113" t="s">
        <v>102</v>
      </c>
      <c r="B52" s="113" t="s">
        <v>103</v>
      </c>
      <c r="C52" s="125"/>
      <c r="D52" s="125"/>
      <c r="E52" s="125"/>
      <c r="F52" s="125"/>
      <c r="G52" s="125"/>
      <c r="H52" s="125"/>
      <c r="I52" s="125"/>
      <c r="J52" s="125"/>
      <c r="L52" t="str">
        <f t="shared" si="7"/>
        <v>专项应付款</v>
      </c>
      <c r="M52" s="113" t="str">
        <f t="shared" si="8"/>
        <v>近三年及一期，拟承租人专项应付款分别为0亿元、0亿元、0亿元及0亿元。</v>
      </c>
    </row>
    <row r="53" spans="1:13" ht="14.1" customHeight="1">
      <c r="A53" s="113" t="s">
        <v>104</v>
      </c>
      <c r="B53" s="113" t="s">
        <v>105</v>
      </c>
      <c r="C53" s="125"/>
      <c r="D53" s="125"/>
      <c r="E53" s="125"/>
      <c r="F53" s="125"/>
      <c r="G53" s="125"/>
      <c r="H53" s="125"/>
      <c r="I53" s="125"/>
      <c r="J53" s="125"/>
      <c r="L53" t="str">
        <f t="shared" si="7"/>
        <v>预计负债</v>
      </c>
      <c r="M53" s="113" t="str">
        <f t="shared" si="8"/>
        <v>近三年及一期，拟承租人预计负债分别为0亿元、0亿元、0亿元及0亿元。</v>
      </c>
    </row>
    <row r="54" spans="1:13" ht="14.1" customHeight="1">
      <c r="A54" s="113" t="s">
        <v>106</v>
      </c>
      <c r="B54" s="113" t="s">
        <v>107</v>
      </c>
      <c r="C54" s="125"/>
      <c r="D54" s="125"/>
      <c r="E54" s="125"/>
      <c r="F54" s="125"/>
      <c r="G54" s="125"/>
      <c r="H54" s="125"/>
      <c r="I54" s="125"/>
      <c r="J54" s="125"/>
      <c r="L54" t="str">
        <f t="shared" si="7"/>
        <v>递延所得税负债</v>
      </c>
      <c r="M54" s="113" t="str">
        <f t="shared" si="8"/>
        <v>近三年及一期，拟承租人递延所得税负债分别为0亿元、0亿元、0亿元及0亿元。</v>
      </c>
    </row>
    <row r="55" spans="1:13" ht="14.1" customHeight="1">
      <c r="A55" s="113" t="s">
        <v>108</v>
      </c>
      <c r="B55" s="113" t="s">
        <v>109</v>
      </c>
      <c r="C55" s="125"/>
      <c r="D55" s="125"/>
      <c r="E55" s="125"/>
      <c r="F55" s="125"/>
      <c r="G55" s="125"/>
      <c r="H55" s="125"/>
      <c r="I55" s="125"/>
      <c r="J55" s="125"/>
      <c r="L55" t="str">
        <f t="shared" si="7"/>
        <v>其他非流动负债</v>
      </c>
      <c r="M55" s="113" t="str">
        <f t="shared" si="8"/>
        <v>近三年及一期，拟承租人其他非流动负债分别为0亿元、0亿元、0亿元及0亿元。</v>
      </c>
    </row>
    <row r="56" spans="1:13" s="124" customFormat="1" ht="14.1" customHeight="1">
      <c r="A56" s="126" t="s">
        <v>110</v>
      </c>
      <c r="B56" s="126" t="s">
        <v>111</v>
      </c>
      <c r="C56" s="127">
        <f t="shared" ref="C56:J56" si="10">SUM(C49:C55)</f>
        <v>0</v>
      </c>
      <c r="D56" s="127">
        <f t="shared" si="10"/>
        <v>0</v>
      </c>
      <c r="E56" s="127">
        <f t="shared" si="10"/>
        <v>0</v>
      </c>
      <c r="F56" s="127">
        <f t="shared" si="10"/>
        <v>0</v>
      </c>
      <c r="G56" s="127">
        <f t="shared" si="10"/>
        <v>0</v>
      </c>
      <c r="H56" s="127">
        <f t="shared" si="10"/>
        <v>0</v>
      </c>
      <c r="I56" s="127">
        <f t="shared" si="10"/>
        <v>0</v>
      </c>
      <c r="J56" s="127">
        <f t="shared" si="10"/>
        <v>0</v>
      </c>
      <c r="L56" t="str">
        <f t="shared" si="7"/>
        <v>非流动负债合计</v>
      </c>
      <c r="M56" s="113" t="str">
        <f t="shared" si="8"/>
        <v>近三年及一期，拟承租人非流动负债合计分别为0亿元、0亿元、0亿元及0亿元。</v>
      </c>
    </row>
    <row r="57" spans="1:13" s="124" customFormat="1" ht="14.1" customHeight="1">
      <c r="A57" s="126" t="s">
        <v>112</v>
      </c>
      <c r="B57" s="126" t="s">
        <v>113</v>
      </c>
      <c r="C57" s="127">
        <f t="shared" ref="C57:J57" si="11">C48+C56</f>
        <v>0</v>
      </c>
      <c r="D57" s="127">
        <f t="shared" si="11"/>
        <v>0</v>
      </c>
      <c r="E57" s="127">
        <f t="shared" si="11"/>
        <v>0</v>
      </c>
      <c r="F57" s="127">
        <f t="shared" si="11"/>
        <v>0</v>
      </c>
      <c r="G57" s="127">
        <f t="shared" si="11"/>
        <v>0</v>
      </c>
      <c r="H57" s="127">
        <f t="shared" si="11"/>
        <v>0</v>
      </c>
      <c r="I57" s="127">
        <f t="shared" si="11"/>
        <v>0</v>
      </c>
      <c r="J57" s="127">
        <f t="shared" si="11"/>
        <v>0</v>
      </c>
      <c r="L57" t="str">
        <f t="shared" si="7"/>
        <v>负债合计</v>
      </c>
      <c r="M57" s="113" t="str">
        <f>CONCATENATE("近三年及一期，拟承租人总负债分别为",ROUND(F57/100000000,2),"亿元、",ROUND(G57/100000000,2),"亿元、",ROUND(I57/100000000,2),"亿元及",ROUND(J57/100000000,2),"亿元。")</f>
        <v>近三年及一期，拟承租人总负债分别为0亿元、0亿元、0亿元及0亿元。</v>
      </c>
    </row>
    <row r="58" spans="1:13" ht="14.1" customHeight="1">
      <c r="A58" s="113" t="s">
        <v>114</v>
      </c>
      <c r="B58" s="129" t="s">
        <v>115</v>
      </c>
      <c r="C58" s="125"/>
      <c r="D58" s="125"/>
      <c r="E58" s="125"/>
      <c r="F58" s="125"/>
      <c r="G58" s="125"/>
      <c r="H58" s="125"/>
      <c r="I58" s="125"/>
      <c r="J58" s="125"/>
      <c r="L58" t="str">
        <f t="shared" si="7"/>
        <v>实收资本（或股本）</v>
      </c>
      <c r="M58" s="113" t="str">
        <f t="shared" si="8"/>
        <v>近三年及一期，拟承租人实收资本（或股本）分别为0亿元、0亿元、0亿元及0亿元。</v>
      </c>
    </row>
    <row r="59" spans="1:13" ht="14.1" customHeight="1">
      <c r="A59" s="113" t="s">
        <v>116</v>
      </c>
      <c r="B59" s="113" t="s">
        <v>117</v>
      </c>
      <c r="C59" s="125"/>
      <c r="D59" s="125"/>
      <c r="E59" s="125"/>
      <c r="F59" s="125"/>
      <c r="G59" s="125"/>
      <c r="H59" s="125"/>
      <c r="I59" s="125"/>
      <c r="J59" s="125"/>
      <c r="L59" t="str">
        <f t="shared" si="7"/>
        <v>资本公积</v>
      </c>
      <c r="M59" s="113" t="str">
        <f t="shared" si="8"/>
        <v>近三年及一期，拟承租人资本公积分别为0亿元、0亿元、0亿元及0亿元。</v>
      </c>
    </row>
    <row r="60" spans="1:13" ht="14.1" customHeight="1">
      <c r="A60" s="113" t="s">
        <v>118</v>
      </c>
      <c r="B60" s="113" t="s">
        <v>119</v>
      </c>
      <c r="C60" s="125"/>
      <c r="D60" s="125"/>
      <c r="E60" s="130"/>
      <c r="F60" s="130"/>
      <c r="G60" s="130"/>
      <c r="H60" s="125"/>
      <c r="I60" s="125"/>
      <c r="J60" s="125"/>
      <c r="L60" t="str">
        <f t="shared" si="7"/>
        <v>库存股</v>
      </c>
      <c r="M60" s="113" t="str">
        <f t="shared" si="8"/>
        <v>近三年及一期，拟承租人库存股分别为0亿元、0亿元、0亿元及0亿元。</v>
      </c>
    </row>
    <row r="61" spans="1:13" ht="14.1" customHeight="1">
      <c r="A61" s="113"/>
      <c r="B61" s="131" t="s">
        <v>120</v>
      </c>
      <c r="C61" s="125"/>
      <c r="D61" s="125"/>
      <c r="E61" s="125"/>
      <c r="F61" s="125"/>
      <c r="G61" s="125"/>
      <c r="H61" s="125"/>
      <c r="I61" s="125"/>
      <c r="J61" s="125"/>
      <c r="L61" t="str">
        <f t="shared" si="7"/>
        <v>专项储备</v>
      </c>
      <c r="M61" s="113" t="str">
        <f t="shared" si="8"/>
        <v>近三年及一期，拟承租人专项储备分别为0亿元、0亿元、0亿元及0亿元。</v>
      </c>
    </row>
    <row r="62" spans="1:13" ht="14.1" customHeight="1">
      <c r="A62" s="113" t="s">
        <v>121</v>
      </c>
      <c r="B62" s="113" t="s">
        <v>122</v>
      </c>
      <c r="C62" s="125"/>
      <c r="D62" s="125"/>
      <c r="E62" s="125"/>
      <c r="F62" s="125"/>
      <c r="G62" s="125"/>
      <c r="H62" s="125"/>
      <c r="I62" s="125"/>
      <c r="J62" s="125"/>
      <c r="L62" t="str">
        <f t="shared" si="7"/>
        <v>盈余公积</v>
      </c>
      <c r="M62" s="113" t="str">
        <f t="shared" si="8"/>
        <v>近三年及一期，拟承租人盈余公积分别为0亿元、0亿元、0亿元及0亿元。</v>
      </c>
    </row>
    <row r="63" spans="1:13" ht="14.1" customHeight="1">
      <c r="A63" s="113" t="s">
        <v>123</v>
      </c>
      <c r="B63" s="113" t="s">
        <v>124</v>
      </c>
      <c r="C63" s="125"/>
      <c r="D63" s="125"/>
      <c r="E63" s="125"/>
      <c r="F63" s="125"/>
      <c r="G63" s="125"/>
      <c r="H63" s="125"/>
      <c r="I63" s="125"/>
      <c r="J63" s="125"/>
      <c r="L63" t="str">
        <f t="shared" si="7"/>
        <v>未分配利润</v>
      </c>
      <c r="M63" s="113" t="str">
        <f t="shared" si="8"/>
        <v>近三年及一期，拟承租人未分配利润分别为0亿元、0亿元、0亿元及0亿元。</v>
      </c>
    </row>
    <row r="64" spans="1:13" ht="14.1" customHeight="1">
      <c r="A64" s="113" t="s">
        <v>125</v>
      </c>
      <c r="B64" s="113" t="s">
        <v>126</v>
      </c>
      <c r="C64" s="125"/>
      <c r="D64" s="125"/>
      <c r="E64" s="125"/>
      <c r="F64" s="125"/>
      <c r="G64" s="125"/>
      <c r="H64" s="125"/>
      <c r="I64" s="125"/>
      <c r="J64" s="125"/>
      <c r="L64" t="str">
        <f t="shared" si="7"/>
        <v>外币报表折算差额</v>
      </c>
      <c r="M64" s="113" t="str">
        <f t="shared" si="8"/>
        <v>近三年及一期，拟承租人外币报表折算差额分别为0亿元、0亿元、0亿元及0亿元。</v>
      </c>
    </row>
    <row r="65" spans="1:13" s="124" customFormat="1" ht="14.1" customHeight="1">
      <c r="A65" s="126" t="s">
        <v>127</v>
      </c>
      <c r="B65" s="126" t="s">
        <v>128</v>
      </c>
      <c r="C65" s="127">
        <f t="shared" ref="C65:J65" si="12">SUM(C58:C64)</f>
        <v>0</v>
      </c>
      <c r="D65" s="127">
        <f t="shared" si="12"/>
        <v>0</v>
      </c>
      <c r="E65" s="127">
        <f t="shared" si="12"/>
        <v>0</v>
      </c>
      <c r="F65" s="127">
        <f t="shared" si="12"/>
        <v>0</v>
      </c>
      <c r="G65" s="127">
        <f t="shared" si="12"/>
        <v>0</v>
      </c>
      <c r="H65" s="127">
        <f t="shared" si="12"/>
        <v>0</v>
      </c>
      <c r="I65" s="127">
        <f t="shared" si="12"/>
        <v>0</v>
      </c>
      <c r="J65" s="127">
        <f t="shared" si="12"/>
        <v>0</v>
      </c>
      <c r="L65" t="str">
        <f t="shared" si="7"/>
        <v>归属母公司所有者权益合计</v>
      </c>
      <c r="M65" s="113" t="str">
        <f t="shared" si="8"/>
        <v>近三年及一期，拟承租人归属母公司所有者权益合计分别为0亿元、0亿元、0亿元及0亿元。</v>
      </c>
    </row>
    <row r="66" spans="1:13" ht="14.1" customHeight="1">
      <c r="A66" s="113" t="s">
        <v>129</v>
      </c>
      <c r="B66" s="113" t="s">
        <v>130</v>
      </c>
      <c r="C66" s="125"/>
      <c r="D66" s="125"/>
      <c r="E66" s="125"/>
      <c r="F66" s="125"/>
      <c r="G66" s="125"/>
      <c r="H66" s="125"/>
      <c r="I66" s="125"/>
      <c r="J66" s="125"/>
      <c r="L66" t="str">
        <f t="shared" si="7"/>
        <v>少数股东权益</v>
      </c>
      <c r="M66" s="113" t="str">
        <f t="shared" si="8"/>
        <v>近三年及一期，拟承租人少数股东权益分别为0亿元、0亿元、0亿元及0亿元。</v>
      </c>
    </row>
    <row r="67" spans="1:13" s="124" customFormat="1" ht="14.1" customHeight="1">
      <c r="A67" s="126" t="s">
        <v>131</v>
      </c>
      <c r="B67" s="126" t="s">
        <v>132</v>
      </c>
      <c r="C67" s="127">
        <f t="shared" ref="C67:J67" si="13">C65+C66</f>
        <v>0</v>
      </c>
      <c r="D67" s="127">
        <f t="shared" si="13"/>
        <v>0</v>
      </c>
      <c r="E67" s="127">
        <f t="shared" si="13"/>
        <v>0</v>
      </c>
      <c r="F67" s="127">
        <f t="shared" si="13"/>
        <v>0</v>
      </c>
      <c r="G67" s="127">
        <f t="shared" si="13"/>
        <v>0</v>
      </c>
      <c r="H67" s="127">
        <f t="shared" si="13"/>
        <v>0</v>
      </c>
      <c r="I67" s="127">
        <f t="shared" si="13"/>
        <v>0</v>
      </c>
      <c r="J67" s="127">
        <f t="shared" si="13"/>
        <v>0</v>
      </c>
      <c r="L67" t="str">
        <f t="shared" si="7"/>
        <v>所有者权益合计</v>
      </c>
      <c r="M67" s="113" t="str">
        <f t="shared" si="8"/>
        <v>近三年及一期，拟承租人所有者权益合计分别为0亿元、0亿元、0亿元及0亿元。</v>
      </c>
    </row>
    <row r="68" spans="1:13" s="124" customFormat="1" ht="14.1" customHeight="1">
      <c r="A68" s="126" t="s">
        <v>133</v>
      </c>
      <c r="B68" s="126" t="s">
        <v>134</v>
      </c>
      <c r="C68" s="127">
        <f t="shared" ref="C68:J68" si="14">C67+C57</f>
        <v>0</v>
      </c>
      <c r="D68" s="127">
        <f t="shared" si="14"/>
        <v>0</v>
      </c>
      <c r="E68" s="127">
        <f t="shared" si="14"/>
        <v>0</v>
      </c>
      <c r="F68" s="127">
        <f t="shared" si="14"/>
        <v>0</v>
      </c>
      <c r="G68" s="127">
        <f t="shared" si="14"/>
        <v>0</v>
      </c>
      <c r="H68" s="127">
        <f t="shared" si="14"/>
        <v>0</v>
      </c>
      <c r="I68" s="127">
        <f t="shared" si="14"/>
        <v>0</v>
      </c>
      <c r="J68" s="127">
        <f t="shared" si="14"/>
        <v>0</v>
      </c>
      <c r="L68" t="str">
        <f t="shared" si="7"/>
        <v>负债及股东权益总计</v>
      </c>
      <c r="M68" s="113" t="str">
        <f t="shared" si="8"/>
        <v>近三年及一期，拟承租人负债及股东权益总计分别为0亿元、0亿元、0亿元及0亿元。</v>
      </c>
    </row>
    <row r="69" spans="1:13">
      <c r="C69" s="132">
        <f t="shared" ref="C69:J69" si="15">C68-C35</f>
        <v>0</v>
      </c>
      <c r="D69" s="132">
        <f t="shared" si="15"/>
        <v>0</v>
      </c>
      <c r="E69" s="132">
        <f t="shared" si="15"/>
        <v>0</v>
      </c>
      <c r="F69" s="132">
        <f t="shared" si="15"/>
        <v>0</v>
      </c>
      <c r="G69" s="132">
        <f t="shared" si="15"/>
        <v>0</v>
      </c>
      <c r="H69" s="132">
        <f t="shared" si="15"/>
        <v>0</v>
      </c>
      <c r="I69" s="132">
        <f t="shared" si="15"/>
        <v>0</v>
      </c>
      <c r="J69" s="132">
        <f t="shared" si="15"/>
        <v>0</v>
      </c>
    </row>
  </sheetData>
  <autoFilter ref="A1:H69" xr:uid="{00000000-0009-0000-0000-000000000000}"/>
  <customSheetViews>
    <customSheetView guid="{EFE5EB9F-962C-4232-9E60-22B2AE19D01B}" scale="115">
      <pane xSplit="1" ySplit="1" topLeftCell="B2" state="frozen"/>
      <selection activeCell="D27" sqref="D27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39" type="noConversion"/>
  <pageMargins left="0.75" right="0.75" top="1" bottom="1" header="0.5" footer="0.5"/>
  <pageSetup orientation="portrait" horizontalDpi="300" verticalDpi="30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13"/>
  </sheetPr>
  <dimension ref="A1:J43"/>
  <sheetViews>
    <sheetView zoomScale="115" zoomScaleNormal="115" workbookViewId="0">
      <pane xSplit="1" ySplit="1" topLeftCell="B2" activePane="bottomRight" state="frozen"/>
      <selection pane="topRight"/>
      <selection pane="bottomLeft"/>
      <selection pane="bottomRight" activeCell="F9" sqref="F9:I14"/>
    </sheetView>
  </sheetViews>
  <sheetFormatPr defaultColWidth="9" defaultRowHeight="12.75"/>
  <cols>
    <col min="1" max="1" width="8.5703125" customWidth="1"/>
    <col min="2" max="2" width="31.5703125" customWidth="1"/>
    <col min="3" max="3" width="12.7109375" hidden="1" customWidth="1"/>
    <col min="4" max="4" width="10.42578125" style="118" hidden="1" customWidth="1"/>
    <col min="5" max="5" width="14.5703125" hidden="1" customWidth="1"/>
    <col min="6" max="7" width="16.42578125" customWidth="1"/>
    <col min="8" max="8" width="17" hidden="1" customWidth="1"/>
    <col min="9" max="9" width="17.28515625"/>
    <col min="10" max="10" width="15.5703125" customWidth="1"/>
  </cols>
  <sheetData>
    <row r="1" spans="1:10" ht="22.15" customHeight="1">
      <c r="A1" s="110" t="s">
        <v>0</v>
      </c>
      <c r="B1" s="110" t="s">
        <v>1</v>
      </c>
      <c r="C1" s="110" t="s">
        <v>135</v>
      </c>
      <c r="D1" s="111">
        <v>43100</v>
      </c>
      <c r="E1" s="111">
        <v>43465</v>
      </c>
      <c r="F1" s="111">
        <v>44196</v>
      </c>
      <c r="G1" s="111">
        <v>44561</v>
      </c>
      <c r="H1" s="112">
        <v>44530</v>
      </c>
      <c r="I1" s="112">
        <v>44926</v>
      </c>
      <c r="J1" s="111" t="s">
        <v>414</v>
      </c>
    </row>
    <row r="2" spans="1:10" ht="14.1" customHeight="1">
      <c r="A2" s="113" t="s">
        <v>136</v>
      </c>
      <c r="B2" s="113" t="s">
        <v>137</v>
      </c>
      <c r="C2" s="117">
        <f t="shared" ref="C2:J2" si="0">C3+C4</f>
        <v>0</v>
      </c>
      <c r="D2" s="119">
        <f t="shared" si="0"/>
        <v>0</v>
      </c>
      <c r="E2" s="119">
        <f t="shared" si="0"/>
        <v>0</v>
      </c>
      <c r="F2" s="119">
        <f t="shared" si="0"/>
        <v>0</v>
      </c>
      <c r="G2" s="119">
        <f t="shared" si="0"/>
        <v>0</v>
      </c>
      <c r="H2" s="119">
        <f t="shared" si="0"/>
        <v>0</v>
      </c>
      <c r="I2" s="119">
        <f t="shared" si="0"/>
        <v>0</v>
      </c>
      <c r="J2" s="119">
        <f t="shared" si="0"/>
        <v>0</v>
      </c>
    </row>
    <row r="3" spans="1:10" ht="14.1" customHeight="1">
      <c r="A3" s="113" t="s">
        <v>138</v>
      </c>
      <c r="B3" s="113" t="s">
        <v>139</v>
      </c>
      <c r="C3" s="116"/>
      <c r="E3" s="118"/>
      <c r="F3" s="120"/>
      <c r="G3" s="120"/>
      <c r="H3" s="120"/>
      <c r="I3" s="118"/>
      <c r="J3" s="118"/>
    </row>
    <row r="4" spans="1:10" ht="14.1" customHeight="1">
      <c r="A4" s="113" t="s">
        <v>140</v>
      </c>
      <c r="B4" s="113" t="s">
        <v>141</v>
      </c>
      <c r="C4" s="116"/>
      <c r="D4" s="120"/>
      <c r="E4" s="120"/>
      <c r="F4" s="120"/>
      <c r="G4" s="120"/>
      <c r="H4" s="120"/>
      <c r="I4" s="120"/>
      <c r="J4" s="120"/>
    </row>
    <row r="5" spans="1:10" ht="14.1" customHeight="1">
      <c r="A5" s="113" t="s">
        <v>142</v>
      </c>
      <c r="B5" s="113" t="s">
        <v>143</v>
      </c>
      <c r="C5" s="117">
        <f t="shared" ref="C5:J5" si="1">C6+C7</f>
        <v>0</v>
      </c>
      <c r="D5" s="119">
        <f t="shared" si="1"/>
        <v>0</v>
      </c>
      <c r="E5" s="119">
        <f t="shared" si="1"/>
        <v>0</v>
      </c>
      <c r="F5" s="119">
        <f t="shared" si="1"/>
        <v>0</v>
      </c>
      <c r="G5" s="119">
        <f t="shared" si="1"/>
        <v>0</v>
      </c>
      <c r="H5" s="119">
        <f t="shared" si="1"/>
        <v>0</v>
      </c>
      <c r="I5" s="119">
        <f t="shared" si="1"/>
        <v>0</v>
      </c>
      <c r="J5" s="119">
        <f t="shared" si="1"/>
        <v>0</v>
      </c>
    </row>
    <row r="6" spans="1:10" ht="14.1" customHeight="1">
      <c r="A6" s="113" t="s">
        <v>144</v>
      </c>
      <c r="B6" s="113" t="s">
        <v>145</v>
      </c>
      <c r="C6" s="116"/>
      <c r="E6" s="118"/>
      <c r="F6" s="118"/>
      <c r="G6" s="120"/>
      <c r="H6" s="120"/>
      <c r="I6" s="118"/>
      <c r="J6" s="118"/>
    </row>
    <row r="7" spans="1:10" ht="14.1" customHeight="1">
      <c r="A7" s="113" t="s">
        <v>146</v>
      </c>
      <c r="B7" s="113" t="s">
        <v>147</v>
      </c>
      <c r="C7" s="116"/>
      <c r="D7" s="120"/>
      <c r="E7" s="120"/>
      <c r="F7" s="118"/>
      <c r="G7" s="120"/>
      <c r="H7" s="120"/>
      <c r="I7" s="120"/>
      <c r="J7" s="120"/>
    </row>
    <row r="8" spans="1:10" ht="14.1" customHeight="1">
      <c r="A8" s="113" t="s">
        <v>148</v>
      </c>
      <c r="B8" s="113" t="s">
        <v>149</v>
      </c>
      <c r="C8" s="116"/>
      <c r="D8" s="120"/>
      <c r="E8" s="120"/>
      <c r="F8" s="118"/>
      <c r="G8" s="120"/>
      <c r="H8" s="120"/>
      <c r="I8" s="120"/>
      <c r="J8" s="120"/>
    </row>
    <row r="9" spans="1:10" ht="14.1" customHeight="1">
      <c r="A9" s="113" t="s">
        <v>150</v>
      </c>
      <c r="B9" s="113" t="s">
        <v>151</v>
      </c>
      <c r="C9" s="116"/>
      <c r="D9" s="120"/>
      <c r="E9" s="120"/>
      <c r="F9" s="118"/>
      <c r="G9" s="120"/>
      <c r="H9" s="120"/>
      <c r="I9" s="120"/>
      <c r="J9" s="120"/>
    </row>
    <row r="10" spans="1:10" ht="14.1" customHeight="1">
      <c r="A10" s="113" t="s">
        <v>152</v>
      </c>
      <c r="B10" s="113" t="s">
        <v>153</v>
      </c>
      <c r="C10" s="116"/>
      <c r="D10" s="120"/>
      <c r="E10" s="120"/>
      <c r="F10" s="118"/>
      <c r="G10" s="120"/>
      <c r="H10" s="120"/>
      <c r="I10" s="120"/>
      <c r="J10" s="120"/>
    </row>
    <row r="11" spans="1:10" ht="13.5" customHeight="1">
      <c r="A11" s="113" t="s">
        <v>154</v>
      </c>
      <c r="B11" s="113" t="s">
        <v>155</v>
      </c>
      <c r="C11" s="116"/>
      <c r="D11" s="120"/>
      <c r="E11" s="120"/>
      <c r="F11" s="118"/>
      <c r="G11" s="120"/>
      <c r="H11" s="120"/>
      <c r="I11" s="120"/>
      <c r="J11" s="120"/>
    </row>
    <row r="12" spans="1:10" ht="13.5" customHeight="1">
      <c r="A12" s="113" t="s">
        <v>156</v>
      </c>
      <c r="B12" s="113" t="s">
        <v>157</v>
      </c>
      <c r="C12" s="116"/>
      <c r="D12" s="120"/>
      <c r="E12" s="120"/>
      <c r="F12" s="118"/>
      <c r="G12" s="120"/>
      <c r="H12" s="120"/>
      <c r="I12" s="120"/>
      <c r="J12" s="120"/>
    </row>
    <row r="13" spans="1:10" ht="14.1" customHeight="1">
      <c r="A13" s="113" t="s">
        <v>158</v>
      </c>
      <c r="B13" s="113" t="s">
        <v>159</v>
      </c>
      <c r="C13" s="116"/>
      <c r="D13" s="120"/>
      <c r="E13" s="120"/>
      <c r="F13" s="120"/>
      <c r="G13" s="120"/>
      <c r="H13" s="120"/>
      <c r="I13" s="120"/>
      <c r="J13" s="120"/>
    </row>
    <row r="14" spans="1:10" ht="14.1" customHeight="1">
      <c r="A14" s="113" t="s">
        <v>160</v>
      </c>
      <c r="B14" s="113" t="s">
        <v>161</v>
      </c>
      <c r="C14" s="116"/>
      <c r="D14" s="120"/>
      <c r="E14" s="120"/>
      <c r="F14" s="118"/>
      <c r="G14" s="120"/>
      <c r="H14" s="120"/>
      <c r="I14" s="120"/>
      <c r="J14" s="120"/>
    </row>
    <row r="15" spans="1:10" ht="14.1" customHeight="1">
      <c r="A15" s="113" t="s">
        <v>162</v>
      </c>
      <c r="B15" s="113" t="s">
        <v>163</v>
      </c>
      <c r="C15" s="117">
        <f t="shared" ref="C15:J15" si="2">C2-C5-C8-C9-C10-C11-C12+C13+C14</f>
        <v>0</v>
      </c>
      <c r="D15" s="119">
        <f t="shared" si="2"/>
        <v>0</v>
      </c>
      <c r="E15" s="119">
        <f>E2-E5-E8-E9-E10-E11+E12+E13+E14</f>
        <v>0</v>
      </c>
      <c r="F15" s="119">
        <f>F2-F5-F8-F9-F10-F11-F12+F13+F14</f>
        <v>0</v>
      </c>
      <c r="G15" s="119">
        <f>G2-G5-G8-G9-G10-G11-G12+G13+G14</f>
        <v>0</v>
      </c>
      <c r="H15" s="119">
        <f t="shared" si="2"/>
        <v>0</v>
      </c>
      <c r="I15" s="119">
        <f t="shared" si="2"/>
        <v>0</v>
      </c>
      <c r="J15" s="119">
        <f t="shared" si="2"/>
        <v>0</v>
      </c>
    </row>
    <row r="16" spans="1:10" ht="14.1" customHeight="1">
      <c r="A16" s="113" t="s">
        <v>164</v>
      </c>
      <c r="B16" s="113" t="s">
        <v>165</v>
      </c>
      <c r="C16" s="116"/>
      <c r="D16" s="120"/>
      <c r="E16" s="120"/>
      <c r="F16" s="118"/>
      <c r="G16" s="120"/>
      <c r="H16" s="120"/>
      <c r="I16" s="120"/>
      <c r="J16" s="120"/>
    </row>
    <row r="17" spans="1:10" ht="14.1" customHeight="1">
      <c r="A17" s="113" t="s">
        <v>166</v>
      </c>
      <c r="B17" s="113" t="s">
        <v>167</v>
      </c>
      <c r="C17" s="116"/>
      <c r="D17" s="120"/>
      <c r="E17" s="120"/>
      <c r="F17" s="118"/>
      <c r="G17" s="120"/>
      <c r="H17" s="120"/>
      <c r="I17" s="120"/>
      <c r="J17" s="120"/>
    </row>
    <row r="18" spans="1:10" ht="14.1" customHeight="1">
      <c r="A18" s="113" t="s">
        <v>168</v>
      </c>
      <c r="B18" s="113" t="s">
        <v>169</v>
      </c>
      <c r="C18" s="117">
        <f t="shared" ref="C18:J18" si="3">C15+C16-C17</f>
        <v>0</v>
      </c>
      <c r="D18" s="119">
        <f t="shared" si="3"/>
        <v>0</v>
      </c>
      <c r="E18" s="119">
        <f t="shared" si="3"/>
        <v>0</v>
      </c>
      <c r="F18" s="119">
        <f t="shared" si="3"/>
        <v>0</v>
      </c>
      <c r="G18" s="119">
        <f t="shared" si="3"/>
        <v>0</v>
      </c>
      <c r="H18" s="119">
        <f t="shared" si="3"/>
        <v>0</v>
      </c>
      <c r="I18" s="119">
        <f t="shared" si="3"/>
        <v>0</v>
      </c>
      <c r="J18" s="119">
        <f t="shared" si="3"/>
        <v>0</v>
      </c>
    </row>
    <row r="19" spans="1:10" ht="14.1" customHeight="1">
      <c r="A19" s="113" t="s">
        <v>170</v>
      </c>
      <c r="B19" s="113" t="s">
        <v>171</v>
      </c>
      <c r="C19" s="116"/>
      <c r="D19" s="120"/>
      <c r="E19" s="120"/>
      <c r="F19" s="120"/>
      <c r="G19" s="120"/>
      <c r="H19" s="120"/>
      <c r="I19" s="120"/>
      <c r="J19" s="120"/>
    </row>
    <row r="20" spans="1:10" ht="14.1" customHeight="1">
      <c r="A20" s="113" t="s">
        <v>172</v>
      </c>
      <c r="B20" s="113" t="s">
        <v>173</v>
      </c>
      <c r="C20" s="117">
        <f t="shared" ref="C20:J20" si="4">C18-C19</f>
        <v>0</v>
      </c>
      <c r="D20" s="119">
        <f t="shared" si="4"/>
        <v>0</v>
      </c>
      <c r="E20" s="119">
        <f t="shared" si="4"/>
        <v>0</v>
      </c>
      <c r="F20" s="119">
        <f t="shared" si="4"/>
        <v>0</v>
      </c>
      <c r="G20" s="119">
        <f t="shared" si="4"/>
        <v>0</v>
      </c>
      <c r="H20" s="119">
        <f t="shared" si="4"/>
        <v>0</v>
      </c>
      <c r="I20" s="119">
        <f t="shared" si="4"/>
        <v>0</v>
      </c>
      <c r="J20" s="119">
        <f t="shared" si="4"/>
        <v>0</v>
      </c>
    </row>
    <row r="21" spans="1:10" ht="14.1" customHeight="1">
      <c r="A21" s="113" t="s">
        <v>174</v>
      </c>
      <c r="B21" s="113" t="s">
        <v>175</v>
      </c>
      <c r="C21" s="116"/>
      <c r="D21" s="120"/>
      <c r="E21" s="120"/>
      <c r="F21" s="120"/>
      <c r="G21" s="120"/>
      <c r="H21" s="120"/>
      <c r="I21" s="120"/>
      <c r="J21" s="120"/>
    </row>
    <row r="22" spans="1:10" ht="14.1" customHeight="1">
      <c r="A22" s="113" t="s">
        <v>176</v>
      </c>
      <c r="B22" s="113" t="s">
        <v>177</v>
      </c>
      <c r="C22" s="117">
        <f t="shared" ref="C22:J22" si="5">C20-C21</f>
        <v>0</v>
      </c>
      <c r="D22" s="119">
        <f t="shared" si="5"/>
        <v>0</v>
      </c>
      <c r="E22" s="119">
        <f t="shared" si="5"/>
        <v>0</v>
      </c>
      <c r="F22" s="119">
        <f t="shared" si="5"/>
        <v>0</v>
      </c>
      <c r="G22" s="119">
        <f t="shared" si="5"/>
        <v>0</v>
      </c>
      <c r="H22" s="119">
        <f t="shared" si="5"/>
        <v>0</v>
      </c>
      <c r="I22" s="119">
        <f t="shared" si="5"/>
        <v>0</v>
      </c>
      <c r="J22" s="119">
        <f t="shared" si="5"/>
        <v>0</v>
      </c>
    </row>
    <row r="23" spans="1:10" ht="14.1" customHeight="1">
      <c r="A23" s="113" t="s">
        <v>178</v>
      </c>
      <c r="B23" s="113" t="s">
        <v>179</v>
      </c>
      <c r="C23" s="116"/>
      <c r="D23" s="120"/>
      <c r="E23" s="120"/>
      <c r="F23" s="120"/>
      <c r="G23" s="120"/>
      <c r="H23" s="120"/>
      <c r="I23" s="120"/>
      <c r="J23" s="120"/>
    </row>
    <row r="24" spans="1:10" ht="14.1" customHeight="1">
      <c r="A24" s="113" t="s">
        <v>180</v>
      </c>
      <c r="B24" s="113" t="s">
        <v>181</v>
      </c>
      <c r="C24" s="116"/>
      <c r="D24" s="120"/>
      <c r="E24" s="121"/>
      <c r="F24" s="121"/>
      <c r="G24" s="121"/>
      <c r="H24" s="120"/>
      <c r="I24" s="120"/>
      <c r="J24" s="120"/>
    </row>
    <row r="25" spans="1:10" ht="14.1" customHeight="1">
      <c r="A25" s="113" t="s">
        <v>182</v>
      </c>
      <c r="B25" s="113" t="s">
        <v>183</v>
      </c>
      <c r="C25" s="116"/>
      <c r="D25" s="120"/>
      <c r="E25" s="122"/>
      <c r="F25" s="122"/>
      <c r="G25" s="122"/>
      <c r="H25" s="120"/>
      <c r="I25" s="120"/>
      <c r="J25" s="120"/>
    </row>
    <row r="26" spans="1:10" ht="14.1" customHeight="1">
      <c r="A26" s="113" t="s">
        <v>184</v>
      </c>
      <c r="B26" s="113" t="s">
        <v>185</v>
      </c>
      <c r="C26" s="116"/>
      <c r="E26" s="118"/>
      <c r="F26" s="118"/>
      <c r="G26" s="118"/>
      <c r="H26" s="118"/>
      <c r="I26" s="118"/>
      <c r="J26" s="118"/>
    </row>
    <row r="27" spans="1:10" ht="14.1" customHeight="1">
      <c r="A27" s="113" t="s">
        <v>186</v>
      </c>
      <c r="B27" s="113" t="s">
        <v>187</v>
      </c>
      <c r="C27" s="116"/>
      <c r="D27" s="120"/>
      <c r="E27" s="120"/>
      <c r="F27" s="120"/>
      <c r="G27" s="120"/>
      <c r="H27" s="120"/>
      <c r="I27" s="120"/>
      <c r="J27" s="120"/>
    </row>
    <row r="28" spans="1:10" ht="14.1" customHeight="1">
      <c r="A28" s="113" t="s">
        <v>188</v>
      </c>
      <c r="B28" s="113" t="s">
        <v>189</v>
      </c>
      <c r="C28" s="116"/>
      <c r="E28" s="118"/>
      <c r="F28" s="118"/>
      <c r="G28" s="118"/>
      <c r="H28" s="118"/>
      <c r="I28" s="118"/>
      <c r="J28" s="118"/>
    </row>
    <row r="29" spans="1:10" ht="14.1" customHeight="1">
      <c r="A29" s="113" t="s">
        <v>190</v>
      </c>
      <c r="B29" s="113" t="s">
        <v>191</v>
      </c>
      <c r="C29" s="116"/>
      <c r="D29" s="120"/>
      <c r="E29" s="120"/>
      <c r="F29" s="120"/>
      <c r="G29" s="120"/>
      <c r="H29" s="120"/>
      <c r="I29" s="120"/>
      <c r="J29" s="120"/>
    </row>
    <row r="30" spans="1:10" ht="14.1" customHeight="1">
      <c r="A30" s="113" t="s">
        <v>192</v>
      </c>
      <c r="B30" s="113" t="s">
        <v>193</v>
      </c>
      <c r="C30" s="116"/>
      <c r="D30" s="120"/>
      <c r="E30" s="120"/>
      <c r="F30" s="120"/>
      <c r="G30" s="120"/>
      <c r="H30" s="120"/>
      <c r="I30" s="120"/>
      <c r="J30" s="120"/>
    </row>
    <row r="31" spans="1:10" ht="14.1" customHeight="1">
      <c r="A31" s="113" t="s">
        <v>194</v>
      </c>
      <c r="B31" s="113" t="s">
        <v>195</v>
      </c>
      <c r="C31" s="116"/>
      <c r="D31" s="120"/>
      <c r="E31" s="120"/>
      <c r="F31" s="120"/>
      <c r="G31" s="120"/>
      <c r="H31" s="120"/>
      <c r="I31" s="120"/>
      <c r="J31" s="120"/>
    </row>
    <row r="32" spans="1:10" ht="14.1" customHeight="1">
      <c r="A32" s="113" t="s">
        <v>196</v>
      </c>
      <c r="B32" s="113" t="s">
        <v>197</v>
      </c>
      <c r="C32" s="116"/>
      <c r="D32" s="120"/>
      <c r="E32" s="120"/>
      <c r="F32" s="120"/>
      <c r="G32" s="120"/>
      <c r="H32" s="120"/>
      <c r="I32" s="120"/>
      <c r="J32" s="120"/>
    </row>
    <row r="33" spans="1:10" ht="14.1" customHeight="1">
      <c r="A33" s="113" t="s">
        <v>198</v>
      </c>
      <c r="B33" s="113" t="s">
        <v>199</v>
      </c>
      <c r="C33" s="117">
        <f t="shared" ref="C33:J33" si="6">C22+C26+C32</f>
        <v>0</v>
      </c>
      <c r="D33" s="119">
        <f t="shared" si="6"/>
        <v>0</v>
      </c>
      <c r="E33" s="119">
        <f t="shared" si="6"/>
        <v>0</v>
      </c>
      <c r="F33" s="119">
        <f t="shared" si="6"/>
        <v>0</v>
      </c>
      <c r="G33" s="119">
        <f t="shared" si="6"/>
        <v>0</v>
      </c>
      <c r="H33" s="119">
        <f t="shared" si="6"/>
        <v>0</v>
      </c>
      <c r="I33" s="119">
        <f t="shared" si="6"/>
        <v>0</v>
      </c>
      <c r="J33" s="119">
        <f t="shared" si="6"/>
        <v>0</v>
      </c>
    </row>
    <row r="34" spans="1:10" ht="14.1" customHeight="1">
      <c r="A34" s="113" t="s">
        <v>200</v>
      </c>
      <c r="B34" s="113" t="s">
        <v>201</v>
      </c>
      <c r="C34" s="116"/>
      <c r="D34" s="120"/>
      <c r="E34" s="120"/>
      <c r="F34" s="120"/>
      <c r="G34" s="120"/>
      <c r="H34" s="120"/>
      <c r="I34" s="120"/>
      <c r="J34" s="120"/>
    </row>
    <row r="35" spans="1:10" ht="14.1" customHeight="1">
      <c r="A35" s="113" t="s">
        <v>202</v>
      </c>
      <c r="B35" s="113" t="s">
        <v>203</v>
      </c>
      <c r="C35" s="116"/>
      <c r="D35" s="120"/>
      <c r="E35" s="120"/>
      <c r="F35" s="120"/>
      <c r="G35" s="120"/>
      <c r="H35" s="120"/>
      <c r="I35" s="120"/>
      <c r="J35" s="120"/>
    </row>
    <row r="36" spans="1:10" ht="14.1" customHeight="1">
      <c r="A36" s="113" t="s">
        <v>204</v>
      </c>
      <c r="B36" s="113" t="s">
        <v>205</v>
      </c>
      <c r="C36" s="116"/>
      <c r="D36" s="120"/>
      <c r="E36" s="120"/>
      <c r="F36" s="120"/>
      <c r="G36" s="120"/>
      <c r="H36" s="120"/>
      <c r="I36" s="120"/>
      <c r="J36" s="120"/>
    </row>
    <row r="37" spans="1:10" ht="14.1" customHeight="1">
      <c r="A37" s="113" t="s">
        <v>206</v>
      </c>
      <c r="B37" s="113" t="s">
        <v>207</v>
      </c>
      <c r="C37" s="116"/>
      <c r="D37" s="120"/>
      <c r="E37" s="120"/>
      <c r="F37" s="120"/>
      <c r="G37" s="120"/>
      <c r="H37" s="120"/>
      <c r="I37" s="120"/>
      <c r="J37" s="120"/>
    </row>
    <row r="38" spans="1:10" ht="14.1" customHeight="1">
      <c r="A38" s="113" t="s">
        <v>208</v>
      </c>
      <c r="B38" s="113" t="s">
        <v>209</v>
      </c>
      <c r="C38" s="116"/>
      <c r="D38" s="120"/>
      <c r="E38" s="120"/>
      <c r="F38" s="120"/>
      <c r="G38" s="120"/>
      <c r="H38" s="120"/>
      <c r="I38" s="120"/>
      <c r="J38" s="120"/>
    </row>
    <row r="39" spans="1:10" ht="14.1" customHeight="1">
      <c r="A39" s="113" t="s">
        <v>210</v>
      </c>
      <c r="B39" s="113" t="s">
        <v>124</v>
      </c>
      <c r="C39" s="117">
        <f t="shared" ref="C39:G39" si="7">C33-C36</f>
        <v>0</v>
      </c>
      <c r="D39" s="119">
        <f t="shared" ref="D39:J39" si="8">D33-D36-D38</f>
        <v>0</v>
      </c>
      <c r="E39" s="119">
        <f>E33-E36</f>
        <v>0</v>
      </c>
      <c r="F39" s="119">
        <f>F33-F36</f>
        <v>0</v>
      </c>
      <c r="G39" s="119">
        <f t="shared" si="7"/>
        <v>0</v>
      </c>
      <c r="H39" s="119">
        <f t="shared" si="8"/>
        <v>0</v>
      </c>
      <c r="I39" s="119">
        <f t="shared" si="8"/>
        <v>0</v>
      </c>
      <c r="J39" s="119">
        <f t="shared" si="8"/>
        <v>0</v>
      </c>
    </row>
    <row r="40" spans="1:10" ht="14.1" customHeight="1">
      <c r="A40" s="113" t="s">
        <v>211</v>
      </c>
      <c r="B40" s="113" t="s">
        <v>212</v>
      </c>
      <c r="C40" s="116"/>
      <c r="D40" s="120"/>
      <c r="E40" s="120"/>
      <c r="F40" s="120"/>
      <c r="G40" s="120"/>
      <c r="I40" s="120"/>
      <c r="J40" s="120"/>
    </row>
    <row r="41" spans="1:10" ht="14.1" customHeight="1">
      <c r="A41" s="113" t="s">
        <v>213</v>
      </c>
      <c r="B41" s="113" t="s">
        <v>214</v>
      </c>
      <c r="C41" s="116"/>
      <c r="D41" s="120"/>
      <c r="E41" s="120"/>
      <c r="F41" s="120"/>
      <c r="G41" s="120"/>
      <c r="H41" s="120"/>
      <c r="I41" s="120"/>
      <c r="J41" s="120"/>
    </row>
    <row r="42" spans="1:10" ht="14.1" customHeight="1">
      <c r="A42" s="113" t="s">
        <v>215</v>
      </c>
      <c r="B42" s="113" t="s">
        <v>216</v>
      </c>
      <c r="C42" s="116"/>
      <c r="D42" s="120"/>
      <c r="E42" s="123"/>
      <c r="F42" s="120"/>
      <c r="G42" s="120"/>
      <c r="H42" s="120"/>
      <c r="I42" s="120"/>
      <c r="J42" s="120"/>
    </row>
    <row r="43" spans="1:10" ht="14.1" customHeight="1">
      <c r="A43" s="113" t="s">
        <v>217</v>
      </c>
      <c r="B43" s="113" t="s">
        <v>218</v>
      </c>
      <c r="C43" s="116"/>
      <c r="D43" s="120">
        <v>0</v>
      </c>
      <c r="E43" s="123"/>
      <c r="F43" s="120"/>
      <c r="G43" s="120"/>
      <c r="H43" s="120"/>
      <c r="I43" s="120"/>
      <c r="J43" s="120"/>
    </row>
  </sheetData>
  <autoFilter ref="A1:H43" xr:uid="{00000000-0009-0000-0000-000001000000}"/>
  <customSheetViews>
    <customSheetView guid="{EFE5EB9F-962C-4232-9E60-22B2AE19D01B}" scale="115">
      <pane xSplit="1" ySplit="1" topLeftCell="B2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honeticPr fontId="39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13"/>
  </sheetPr>
  <dimension ref="A1:I43"/>
  <sheetViews>
    <sheetView workbookViewId="0">
      <pane xSplit="1" ySplit="1" topLeftCell="B23" activePane="bottomRight" state="frozen"/>
      <selection pane="topRight"/>
      <selection pane="bottomLeft"/>
      <selection pane="bottomRight" activeCell="E2" sqref="E2"/>
    </sheetView>
  </sheetViews>
  <sheetFormatPr defaultColWidth="9" defaultRowHeight="12.75"/>
  <cols>
    <col min="1" max="1" width="8.5703125" customWidth="1"/>
    <col min="2" max="2" width="25.5703125" customWidth="1"/>
    <col min="3" max="3" width="10.140625" hidden="1" customWidth="1"/>
    <col min="4" max="4" width="16.28515625" hidden="1" customWidth="1"/>
    <col min="5" max="6" width="16.28515625" customWidth="1"/>
    <col min="7" max="7" width="15" hidden="1" customWidth="1"/>
    <col min="8" max="8" width="20.85546875" customWidth="1"/>
    <col min="9" max="9" width="14.28515625"/>
  </cols>
  <sheetData>
    <row r="1" spans="1:9" ht="22.15" customHeight="1">
      <c r="A1" s="110" t="s">
        <v>0</v>
      </c>
      <c r="B1" s="110" t="s">
        <v>1</v>
      </c>
      <c r="C1" s="111">
        <v>43100</v>
      </c>
      <c r="D1" s="111">
        <v>43465</v>
      </c>
      <c r="E1" s="111">
        <v>44196</v>
      </c>
      <c r="F1" s="111">
        <v>44561</v>
      </c>
      <c r="G1" s="112">
        <v>44530</v>
      </c>
      <c r="H1" s="111">
        <v>44926</v>
      </c>
      <c r="I1" s="111">
        <v>44957</v>
      </c>
    </row>
    <row r="2" spans="1:9" ht="14.1" customHeight="1">
      <c r="A2" s="113" t="s">
        <v>219</v>
      </c>
      <c r="B2" s="113" t="s">
        <v>220</v>
      </c>
      <c r="C2" s="114"/>
      <c r="D2" s="115"/>
      <c r="E2" s="115"/>
      <c r="F2" s="115"/>
      <c r="G2" s="114"/>
      <c r="H2" s="114"/>
      <c r="I2" s="114"/>
    </row>
    <row r="3" spans="1:9" ht="14.1" customHeight="1">
      <c r="A3" s="113" t="s">
        <v>221</v>
      </c>
      <c r="B3" s="113" t="s">
        <v>222</v>
      </c>
      <c r="C3" s="116"/>
      <c r="D3" s="116"/>
      <c r="E3" s="116"/>
      <c r="F3" s="116"/>
      <c r="G3" s="116"/>
      <c r="H3" s="116"/>
      <c r="I3" s="116"/>
    </row>
    <row r="4" spans="1:9" ht="14.1" customHeight="1">
      <c r="A4" s="113" t="s">
        <v>223</v>
      </c>
      <c r="B4" s="113" t="s">
        <v>224</v>
      </c>
      <c r="C4" s="116"/>
      <c r="D4" s="116"/>
      <c r="E4" s="116"/>
      <c r="F4" s="116"/>
      <c r="G4" s="116"/>
      <c r="H4" s="116"/>
      <c r="I4" s="116"/>
    </row>
    <row r="5" spans="1:9" ht="14.1" customHeight="1">
      <c r="A5" s="113" t="s">
        <v>225</v>
      </c>
      <c r="B5" s="113" t="s">
        <v>226</v>
      </c>
      <c r="C5" s="116"/>
      <c r="D5" s="116"/>
      <c r="E5" s="116"/>
      <c r="F5" s="116"/>
      <c r="G5" s="116"/>
      <c r="H5" s="116"/>
      <c r="I5" s="116"/>
    </row>
    <row r="6" spans="1:9" ht="14.1" customHeight="1">
      <c r="A6" s="113" t="s">
        <v>227</v>
      </c>
      <c r="B6" s="113" t="s">
        <v>228</v>
      </c>
      <c r="C6" s="117">
        <f t="shared" ref="C6:I6" si="0">SUM(C3:C5)</f>
        <v>0</v>
      </c>
      <c r="D6" s="117">
        <f t="shared" si="0"/>
        <v>0</v>
      </c>
      <c r="E6" s="117">
        <f t="shared" si="0"/>
        <v>0</v>
      </c>
      <c r="F6" s="117">
        <f t="shared" si="0"/>
        <v>0</v>
      </c>
      <c r="G6" s="117">
        <f t="shared" si="0"/>
        <v>0</v>
      </c>
      <c r="H6" s="117">
        <f t="shared" si="0"/>
        <v>0</v>
      </c>
      <c r="I6" s="117">
        <f t="shared" si="0"/>
        <v>0</v>
      </c>
    </row>
    <row r="7" spans="1:9" ht="14.1" customHeight="1">
      <c r="A7" s="113" t="s">
        <v>229</v>
      </c>
      <c r="B7" s="113" t="s">
        <v>230</v>
      </c>
      <c r="C7" s="116"/>
      <c r="D7" s="116"/>
      <c r="E7" s="116"/>
      <c r="F7" s="116"/>
      <c r="G7" s="116"/>
      <c r="H7" s="116"/>
      <c r="I7" s="116"/>
    </row>
    <row r="8" spans="1:9" ht="14.1" customHeight="1">
      <c r="A8" s="113" t="s">
        <v>231</v>
      </c>
      <c r="B8" s="113" t="s">
        <v>232</v>
      </c>
      <c r="C8" s="116"/>
      <c r="D8" s="116"/>
      <c r="E8" s="116"/>
      <c r="F8" s="116"/>
      <c r="G8" s="116"/>
      <c r="H8" s="116"/>
      <c r="I8" s="116"/>
    </row>
    <row r="9" spans="1:9" ht="14.1" customHeight="1">
      <c r="A9" s="113" t="s">
        <v>233</v>
      </c>
      <c r="B9" s="113" t="s">
        <v>234</v>
      </c>
      <c r="C9" s="116"/>
      <c r="D9" s="116"/>
      <c r="E9" s="116"/>
      <c r="F9" s="116"/>
      <c r="G9" s="116"/>
      <c r="H9" s="116"/>
      <c r="I9" s="116"/>
    </row>
    <row r="10" spans="1:9" ht="14.1" customHeight="1">
      <c r="A10" s="113" t="s">
        <v>235</v>
      </c>
      <c r="B10" s="113" t="s">
        <v>236</v>
      </c>
      <c r="C10" s="116"/>
      <c r="D10" s="116"/>
      <c r="E10" s="116"/>
      <c r="F10" s="116"/>
      <c r="G10" s="116"/>
      <c r="H10" s="116"/>
      <c r="I10" s="116"/>
    </row>
    <row r="11" spans="1:9" ht="14.1" customHeight="1">
      <c r="A11" s="113" t="s">
        <v>237</v>
      </c>
      <c r="B11" s="113" t="s">
        <v>238</v>
      </c>
      <c r="C11" s="117">
        <f t="shared" ref="C11:I11" si="1">SUM(C7:C10)</f>
        <v>0</v>
      </c>
      <c r="D11" s="117">
        <f t="shared" si="1"/>
        <v>0</v>
      </c>
      <c r="E11" s="117">
        <f t="shared" si="1"/>
        <v>0</v>
      </c>
      <c r="F11" s="117">
        <f t="shared" si="1"/>
        <v>0</v>
      </c>
      <c r="G11" s="117">
        <f t="shared" si="1"/>
        <v>0</v>
      </c>
      <c r="H11" s="117">
        <f t="shared" si="1"/>
        <v>0</v>
      </c>
      <c r="I11" s="117">
        <f t="shared" si="1"/>
        <v>0</v>
      </c>
    </row>
    <row r="12" spans="1:9" ht="14.1" customHeight="1">
      <c r="A12" s="113" t="s">
        <v>239</v>
      </c>
      <c r="B12" s="113" t="s">
        <v>240</v>
      </c>
      <c r="C12" s="117">
        <f t="shared" ref="C12:I12" si="2">C6-C11</f>
        <v>0</v>
      </c>
      <c r="D12" s="117">
        <f t="shared" si="2"/>
        <v>0</v>
      </c>
      <c r="E12" s="117">
        <f t="shared" si="2"/>
        <v>0</v>
      </c>
      <c r="F12" s="117">
        <f t="shared" si="2"/>
        <v>0</v>
      </c>
      <c r="G12" s="117">
        <f t="shared" si="2"/>
        <v>0</v>
      </c>
      <c r="H12" s="117">
        <f t="shared" si="2"/>
        <v>0</v>
      </c>
      <c r="I12" s="117">
        <f t="shared" si="2"/>
        <v>0</v>
      </c>
    </row>
    <row r="13" spans="1:9" ht="14.1" customHeight="1">
      <c r="A13" s="113" t="s">
        <v>241</v>
      </c>
      <c r="B13" s="113" t="s">
        <v>242</v>
      </c>
      <c r="C13" s="116"/>
      <c r="D13" s="116"/>
      <c r="E13" s="116"/>
      <c r="F13" s="116"/>
      <c r="G13" s="116"/>
      <c r="H13" s="116"/>
      <c r="I13" s="116"/>
    </row>
    <row r="14" spans="1:9" ht="14.1" customHeight="1">
      <c r="A14" s="113" t="s">
        <v>243</v>
      </c>
      <c r="B14" s="113" t="s">
        <v>244</v>
      </c>
      <c r="C14" s="116"/>
      <c r="D14" s="116"/>
      <c r="E14" s="116"/>
      <c r="F14" s="116"/>
      <c r="G14" s="116"/>
      <c r="H14" s="116"/>
      <c r="I14" s="116"/>
    </row>
    <row r="15" spans="1:9" ht="14.1" customHeight="1">
      <c r="A15" s="113" t="s">
        <v>245</v>
      </c>
      <c r="B15" s="113" t="s">
        <v>246</v>
      </c>
      <c r="C15" s="116"/>
      <c r="D15" s="116"/>
      <c r="E15" s="116"/>
      <c r="F15" s="116"/>
      <c r="G15" s="116"/>
      <c r="H15" s="116"/>
      <c r="I15" s="116"/>
    </row>
    <row r="16" spans="1:9" ht="23.25" customHeight="1">
      <c r="A16" s="113" t="s">
        <v>247</v>
      </c>
      <c r="B16" s="113" t="s">
        <v>248</v>
      </c>
      <c r="C16" s="116"/>
      <c r="D16" s="116">
        <v>2000</v>
      </c>
      <c r="E16" s="116"/>
      <c r="F16" s="116"/>
      <c r="G16" s="116"/>
      <c r="H16" s="116"/>
      <c r="I16" s="116"/>
    </row>
    <row r="17" spans="1:9" ht="14.1" customHeight="1">
      <c r="A17" s="113" t="s">
        <v>249</v>
      </c>
      <c r="B17" s="113" t="s">
        <v>250</v>
      </c>
      <c r="C17" s="116"/>
      <c r="D17" s="116"/>
      <c r="E17" s="116"/>
      <c r="F17" s="116"/>
      <c r="G17" s="116"/>
      <c r="H17" s="116"/>
      <c r="I17" s="116"/>
    </row>
    <row r="18" spans="1:9" ht="14.1" customHeight="1">
      <c r="A18" s="113" t="s">
        <v>251</v>
      </c>
      <c r="B18" s="113" t="s">
        <v>252</v>
      </c>
      <c r="C18" s="116"/>
      <c r="D18" s="116"/>
      <c r="E18" s="116"/>
      <c r="F18" s="116"/>
      <c r="G18" s="116"/>
      <c r="H18" s="116"/>
      <c r="I18" s="116"/>
    </row>
    <row r="19" spans="1:9" ht="14.1" customHeight="1">
      <c r="A19" s="113" t="s">
        <v>253</v>
      </c>
      <c r="B19" s="113" t="s">
        <v>254</v>
      </c>
      <c r="C19" s="117">
        <f t="shared" ref="C19:I19" si="3">SUM(C14:C18)</f>
        <v>0</v>
      </c>
      <c r="D19" s="117">
        <f t="shared" si="3"/>
        <v>2000</v>
      </c>
      <c r="E19" s="117">
        <f t="shared" si="3"/>
        <v>0</v>
      </c>
      <c r="F19" s="117">
        <f t="shared" si="3"/>
        <v>0</v>
      </c>
      <c r="G19" s="117">
        <f t="shared" si="3"/>
        <v>0</v>
      </c>
      <c r="H19" s="117">
        <f t="shared" si="3"/>
        <v>0</v>
      </c>
      <c r="I19" s="117">
        <f t="shared" si="3"/>
        <v>0</v>
      </c>
    </row>
    <row r="20" spans="1:9" ht="14.1" customHeight="1">
      <c r="A20" s="113" t="s">
        <v>255</v>
      </c>
      <c r="B20" s="113" t="s">
        <v>256</v>
      </c>
      <c r="C20" s="116"/>
      <c r="D20" s="116"/>
      <c r="E20" s="116"/>
      <c r="F20" s="116"/>
      <c r="G20" s="116"/>
      <c r="H20" s="116"/>
      <c r="I20" s="116"/>
    </row>
    <row r="21" spans="1:9" ht="14.1" customHeight="1">
      <c r="A21" s="113" t="s">
        <v>257</v>
      </c>
      <c r="B21" s="113" t="s">
        <v>258</v>
      </c>
      <c r="C21" s="116"/>
      <c r="D21" s="116"/>
      <c r="E21" s="116"/>
      <c r="F21" s="116"/>
      <c r="G21" s="116"/>
      <c r="H21" s="116"/>
      <c r="I21" s="116"/>
    </row>
    <row r="22" spans="1:9" ht="14.1" customHeight="1">
      <c r="A22" s="113" t="s">
        <v>259</v>
      </c>
      <c r="B22" s="113" t="s">
        <v>260</v>
      </c>
      <c r="C22" s="116"/>
      <c r="D22" s="116"/>
      <c r="E22" s="116"/>
      <c r="F22" s="116"/>
      <c r="G22" s="116"/>
      <c r="H22" s="116"/>
      <c r="I22" s="116"/>
    </row>
    <row r="23" spans="1:9" ht="14.1" customHeight="1">
      <c r="A23" s="113" t="s">
        <v>261</v>
      </c>
      <c r="B23" s="113" t="s">
        <v>262</v>
      </c>
      <c r="C23" s="116"/>
      <c r="D23" s="116"/>
      <c r="E23" s="116"/>
      <c r="F23" s="116"/>
      <c r="G23" s="116"/>
      <c r="H23" s="116"/>
      <c r="I23" s="116"/>
    </row>
    <row r="24" spans="1:9" ht="14.1" customHeight="1">
      <c r="A24" s="113" t="s">
        <v>263</v>
      </c>
      <c r="B24" s="113" t="s">
        <v>264</v>
      </c>
      <c r="C24" s="117">
        <f t="shared" ref="C24:I24" si="4">SUM(C20:C23)</f>
        <v>0</v>
      </c>
      <c r="D24" s="117">
        <f t="shared" si="4"/>
        <v>0</v>
      </c>
      <c r="E24" s="117">
        <f t="shared" si="4"/>
        <v>0</v>
      </c>
      <c r="F24" s="117">
        <f t="shared" si="4"/>
        <v>0</v>
      </c>
      <c r="G24" s="117">
        <f t="shared" si="4"/>
        <v>0</v>
      </c>
      <c r="H24" s="117">
        <f t="shared" si="4"/>
        <v>0</v>
      </c>
      <c r="I24" s="117">
        <f t="shared" si="4"/>
        <v>0</v>
      </c>
    </row>
    <row r="25" spans="1:9" ht="14.1" customHeight="1">
      <c r="A25" s="113" t="s">
        <v>265</v>
      </c>
      <c r="B25" s="113" t="s">
        <v>266</v>
      </c>
      <c r="C25" s="117">
        <f t="shared" ref="C25:I25" si="5">C19-C24</f>
        <v>0</v>
      </c>
      <c r="D25" s="117">
        <f t="shared" si="5"/>
        <v>2000</v>
      </c>
      <c r="E25" s="117">
        <f t="shared" si="5"/>
        <v>0</v>
      </c>
      <c r="F25" s="117">
        <f t="shared" si="5"/>
        <v>0</v>
      </c>
      <c r="G25" s="117">
        <f t="shared" si="5"/>
        <v>0</v>
      </c>
      <c r="H25" s="117">
        <f t="shared" si="5"/>
        <v>0</v>
      </c>
      <c r="I25" s="117">
        <f t="shared" si="5"/>
        <v>0</v>
      </c>
    </row>
    <row r="26" spans="1:9" ht="14.1" customHeight="1">
      <c r="A26" s="113" t="s">
        <v>267</v>
      </c>
      <c r="B26" s="113" t="s">
        <v>268</v>
      </c>
      <c r="C26" s="116"/>
      <c r="D26" s="116"/>
      <c r="E26" s="116"/>
      <c r="F26" s="116"/>
      <c r="G26" s="116"/>
      <c r="H26" s="116"/>
      <c r="I26" s="116"/>
    </row>
    <row r="27" spans="1:9" ht="14.1" customHeight="1">
      <c r="A27" s="113" t="s">
        <v>269</v>
      </c>
      <c r="B27" s="113" t="s">
        <v>270</v>
      </c>
      <c r="C27" s="116"/>
      <c r="D27" s="116"/>
      <c r="E27" s="116"/>
      <c r="F27" s="116"/>
      <c r="G27" s="116"/>
      <c r="H27" s="116"/>
      <c r="I27" s="116"/>
    </row>
    <row r="28" spans="1:9" ht="14.1" customHeight="1">
      <c r="A28" s="113" t="s">
        <v>271</v>
      </c>
      <c r="B28" s="113" t="s">
        <v>272</v>
      </c>
      <c r="C28" s="116"/>
      <c r="D28" s="116"/>
      <c r="E28" s="116"/>
      <c r="F28" s="116"/>
      <c r="G28" s="116"/>
      <c r="H28" s="116"/>
      <c r="I28" s="116"/>
    </row>
    <row r="29" spans="1:9" ht="14.1" customHeight="1">
      <c r="A29" s="113" t="s">
        <v>273</v>
      </c>
      <c r="B29" s="113" t="s">
        <v>274</v>
      </c>
      <c r="C29" s="116"/>
      <c r="D29" s="116"/>
      <c r="E29" s="116"/>
      <c r="F29" s="116"/>
      <c r="G29" s="116"/>
      <c r="H29" s="116"/>
      <c r="I29" s="116"/>
    </row>
    <row r="30" spans="1:9" ht="14.1" customHeight="1">
      <c r="A30" s="113" t="s">
        <v>275</v>
      </c>
      <c r="B30" s="113" t="s">
        <v>276</v>
      </c>
      <c r="C30" s="117">
        <f t="shared" ref="C30:I30" si="6">SUM(C27:C29)</f>
        <v>0</v>
      </c>
      <c r="D30" s="117">
        <f t="shared" si="6"/>
        <v>0</v>
      </c>
      <c r="E30" s="117">
        <f t="shared" si="6"/>
        <v>0</v>
      </c>
      <c r="F30" s="117">
        <f t="shared" si="6"/>
        <v>0</v>
      </c>
      <c r="G30" s="117">
        <f t="shared" si="6"/>
        <v>0</v>
      </c>
      <c r="H30" s="117">
        <f t="shared" si="6"/>
        <v>0</v>
      </c>
      <c r="I30" s="117">
        <f t="shared" si="6"/>
        <v>0</v>
      </c>
    </row>
    <row r="31" spans="1:9" ht="14.1" customHeight="1">
      <c r="A31" s="113" t="s">
        <v>277</v>
      </c>
      <c r="B31" s="113" t="s">
        <v>278</v>
      </c>
      <c r="C31" s="116"/>
      <c r="D31" s="116"/>
      <c r="E31" s="116"/>
      <c r="F31" s="116"/>
      <c r="G31" s="116"/>
      <c r="H31" s="116"/>
      <c r="I31" s="116"/>
    </row>
    <row r="32" spans="1:9" ht="14.1" customHeight="1">
      <c r="A32" s="113" t="s">
        <v>279</v>
      </c>
      <c r="B32" s="113" t="s">
        <v>280</v>
      </c>
      <c r="C32" s="116"/>
      <c r="D32" s="116"/>
      <c r="E32" s="116"/>
      <c r="F32" s="116"/>
      <c r="G32" s="116"/>
      <c r="H32" s="116"/>
      <c r="I32" s="116"/>
    </row>
    <row r="33" spans="1:9" ht="14.1" customHeight="1">
      <c r="A33" s="113" t="s">
        <v>281</v>
      </c>
      <c r="B33" s="113" t="s">
        <v>282</v>
      </c>
      <c r="C33" s="116"/>
      <c r="D33" s="116"/>
      <c r="E33" s="116"/>
      <c r="F33" s="116"/>
      <c r="G33" s="116"/>
      <c r="H33" s="116"/>
      <c r="I33" s="116"/>
    </row>
    <row r="34" spans="1:9" ht="14.1" customHeight="1">
      <c r="A34" s="113" t="s">
        <v>283</v>
      </c>
      <c r="B34" s="113" t="s">
        <v>284</v>
      </c>
      <c r="C34" s="117">
        <f t="shared" ref="C34:I34" si="7">SUM(C31:C33)</f>
        <v>0</v>
      </c>
      <c r="D34" s="117">
        <f t="shared" si="7"/>
        <v>0</v>
      </c>
      <c r="E34" s="117">
        <f t="shared" si="7"/>
        <v>0</v>
      </c>
      <c r="F34" s="117">
        <f t="shared" si="7"/>
        <v>0</v>
      </c>
      <c r="G34" s="117">
        <f t="shared" si="7"/>
        <v>0</v>
      </c>
      <c r="H34" s="117">
        <f t="shared" si="7"/>
        <v>0</v>
      </c>
      <c r="I34" s="117">
        <f t="shared" si="7"/>
        <v>0</v>
      </c>
    </row>
    <row r="35" spans="1:9" ht="14.1" customHeight="1">
      <c r="A35" s="113" t="s">
        <v>285</v>
      </c>
      <c r="B35" s="113" t="s">
        <v>286</v>
      </c>
      <c r="C35" s="117">
        <f t="shared" ref="C35:I35" si="8">C30-C34</f>
        <v>0</v>
      </c>
      <c r="D35" s="117">
        <f t="shared" si="8"/>
        <v>0</v>
      </c>
      <c r="E35" s="117">
        <f t="shared" si="8"/>
        <v>0</v>
      </c>
      <c r="F35" s="117">
        <f t="shared" si="8"/>
        <v>0</v>
      </c>
      <c r="G35" s="117">
        <f t="shared" si="8"/>
        <v>0</v>
      </c>
      <c r="H35" s="117">
        <f t="shared" si="8"/>
        <v>0</v>
      </c>
      <c r="I35" s="117">
        <f t="shared" si="8"/>
        <v>0</v>
      </c>
    </row>
    <row r="36" spans="1:9" ht="14.1" customHeight="1">
      <c r="A36" s="113" t="s">
        <v>287</v>
      </c>
      <c r="B36" s="113" t="s">
        <v>288</v>
      </c>
      <c r="C36" s="116"/>
      <c r="D36" s="116"/>
      <c r="E36" s="116"/>
      <c r="F36" s="116"/>
      <c r="G36" s="116"/>
      <c r="H36" s="116"/>
      <c r="I36" s="116"/>
    </row>
    <row r="37" spans="1:9" ht="14.1" customHeight="1">
      <c r="A37" s="113" t="s">
        <v>289</v>
      </c>
      <c r="B37" s="113" t="s">
        <v>290</v>
      </c>
      <c r="C37" s="117">
        <f t="shared" ref="C37:I37" si="9">C12+C25+C35+C36</f>
        <v>0</v>
      </c>
      <c r="D37" s="117">
        <f t="shared" si="9"/>
        <v>2000</v>
      </c>
      <c r="E37" s="117">
        <f t="shared" si="9"/>
        <v>0</v>
      </c>
      <c r="F37" s="117">
        <f t="shared" si="9"/>
        <v>0</v>
      </c>
      <c r="G37" s="117">
        <f t="shared" si="9"/>
        <v>0</v>
      </c>
      <c r="H37" s="117">
        <f t="shared" si="9"/>
        <v>0</v>
      </c>
      <c r="I37" s="117">
        <f t="shared" si="9"/>
        <v>0</v>
      </c>
    </row>
    <row r="38" spans="1:9" ht="14.1" customHeight="1">
      <c r="A38" s="113" t="s">
        <v>291</v>
      </c>
      <c r="B38" s="113" t="s">
        <v>292</v>
      </c>
      <c r="C38" s="116"/>
      <c r="D38" s="116"/>
      <c r="E38" s="116"/>
      <c r="F38" s="116"/>
      <c r="G38" s="116"/>
      <c r="H38" s="116"/>
      <c r="I38" s="116"/>
    </row>
    <row r="39" spans="1:9" ht="14.1" customHeight="1">
      <c r="A39" s="113" t="s">
        <v>293</v>
      </c>
      <c r="B39" s="113" t="s">
        <v>294</v>
      </c>
      <c r="C39" s="117">
        <f t="shared" ref="C39:I39" si="10">C37+C38</f>
        <v>0</v>
      </c>
      <c r="D39" s="117">
        <f t="shared" si="10"/>
        <v>2000</v>
      </c>
      <c r="E39" s="117">
        <f t="shared" si="10"/>
        <v>0</v>
      </c>
      <c r="F39" s="117">
        <f t="shared" si="10"/>
        <v>0</v>
      </c>
      <c r="G39" s="117">
        <f t="shared" si="10"/>
        <v>0</v>
      </c>
      <c r="H39" s="117">
        <f t="shared" si="10"/>
        <v>0</v>
      </c>
      <c r="I39" s="117">
        <f t="shared" si="10"/>
        <v>0</v>
      </c>
    </row>
    <row r="43" spans="1:9">
      <c r="E43" t="s">
        <v>295</v>
      </c>
    </row>
  </sheetData>
  <autoFilter ref="A1:G39" xr:uid="{00000000-0009-0000-0000-000002000000}"/>
  <customSheetViews>
    <customSheetView guid="{EFE5EB9F-962C-4232-9E60-22B2AE19D01B}" scale="130">
      <pane xSplit="1" ySplit="1" topLeftCell="B2" state="frozen"/>
      <selection activeCell="B24" sqref="B24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39" type="noConversion"/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G93"/>
  <sheetViews>
    <sheetView zoomScale="85" zoomScaleNormal="85" workbookViewId="0">
      <selection activeCell="C4" sqref="C4"/>
    </sheetView>
  </sheetViews>
  <sheetFormatPr defaultColWidth="9.140625" defaultRowHeight="12.75"/>
  <cols>
    <col min="1" max="1" width="27.85546875" customWidth="1"/>
    <col min="2" max="2" width="34" customWidth="1"/>
    <col min="3" max="3" width="23.7109375" customWidth="1"/>
    <col min="4" max="5" width="22.42578125" customWidth="1"/>
  </cols>
  <sheetData>
    <row r="1" spans="1:7" ht="15.75" customHeight="1">
      <c r="A1" s="138" t="s">
        <v>296</v>
      </c>
      <c r="B1" s="138"/>
      <c r="C1" s="138"/>
      <c r="D1" s="138"/>
      <c r="E1" s="138"/>
    </row>
    <row r="2" spans="1:7" ht="15.75" customHeight="1">
      <c r="A2" s="139" t="s">
        <v>297</v>
      </c>
      <c r="B2" s="139"/>
      <c r="C2" s="139"/>
      <c r="D2" s="139"/>
      <c r="E2" s="139"/>
    </row>
    <row r="3" spans="1:7" ht="15.75" customHeight="1">
      <c r="A3" s="135"/>
      <c r="B3" s="99">
        <v>44957</v>
      </c>
      <c r="C3" s="99">
        <f>DATE(YEAR(B3)-1,12,31)</f>
        <v>44926</v>
      </c>
      <c r="D3" s="99">
        <f>DATE(YEAR(C3)-1,MONTH(C3),DAY(C3))</f>
        <v>44561</v>
      </c>
      <c r="E3" s="99">
        <f>DATE(YEAR(C3)-2,MONTH(C3),DAY(C3))</f>
        <v>44196</v>
      </c>
    </row>
    <row r="4" spans="1:7" ht="14.25">
      <c r="A4" s="135"/>
      <c r="B4" s="100" t="s">
        <v>298</v>
      </c>
      <c r="C4" s="100" t="s">
        <v>298</v>
      </c>
      <c r="D4" s="100" t="s">
        <v>298</v>
      </c>
      <c r="E4" s="100" t="s">
        <v>298</v>
      </c>
    </row>
    <row r="5" spans="1:7" ht="15.75" customHeight="1">
      <c r="A5" s="134" t="s">
        <v>299</v>
      </c>
      <c r="B5" s="134"/>
      <c r="C5" s="134"/>
      <c r="D5" s="134"/>
      <c r="E5" s="134"/>
    </row>
    <row r="6" spans="1:7" ht="14.25">
      <c r="A6" s="101" t="s">
        <v>4</v>
      </c>
      <c r="B6" s="102">
        <f>ROUND(HLOOKUP($B$3,bs!$D$1:$AE$68,MATCH(A6,bs!$B$1:$B$68,),FALSE),0)/IF(LEN($G$6)&gt;4,10000,1)</f>
        <v>0</v>
      </c>
      <c r="C6" s="102">
        <f>ROUND(HLOOKUP($C$3,bs!$D$1:$AE$68,MATCH(A6,bs!$B$1:$B$68,),FALSE),0)/IF(LEN($G$6)&gt;4,10000,1)</f>
        <v>0</v>
      </c>
      <c r="D6" s="102">
        <f>ROUND(HLOOKUP($D$3,bs!$D$1:$AE$68,MATCH(A6,bs!$B$1:$B$68,),FALSE),0)/IF(LEN($G$6)&gt;4,10000,1)</f>
        <v>0</v>
      </c>
      <c r="E6" s="102">
        <f>ROUND(HLOOKUP($E$3,bs!$D$1:$AE$68,MATCH(A6,bs!$B$1:$B$68,),FALSE),0)/IF(LEN($G$6)&gt;4,10000,1)</f>
        <v>0</v>
      </c>
      <c r="G6" t="s">
        <v>300</v>
      </c>
    </row>
    <row r="7" spans="1:7" ht="14.25">
      <c r="A7" s="101" t="s">
        <v>7</v>
      </c>
      <c r="B7" s="102">
        <f>ROUND(HLOOKUP($B$3,bs!$D$1:$AE$68,MATCH(A7,bs!$B$1:$B$68,),FALSE),0)/IF(LEN($G$6)&gt;4,10000,1)</f>
        <v>0</v>
      </c>
      <c r="C7" s="102">
        <f>ROUND(HLOOKUP($C$3,bs!$D$1:$AE$68,MATCH(A7,bs!$B$1:$B$68,),FALSE),0)/IF(LEN($G$6)&gt;4,10000,1)</f>
        <v>0</v>
      </c>
      <c r="D7" s="102">
        <f>ROUND(HLOOKUP($D$3,bs!$D$1:$AE$68,MATCH(A7,bs!$B$1:$B$68,),FALSE),0)/IF(LEN($G$6)&gt;4,10000,1)</f>
        <v>0</v>
      </c>
      <c r="E7" s="102">
        <f>ROUND(HLOOKUP($E$3,bs!$D$1:$AE$68,MATCH(A7,bs!$B$1:$B$68,),FALSE),0)/IF(LEN($G$6)&gt;4,10000,1)</f>
        <v>0</v>
      </c>
    </row>
    <row r="8" spans="1:7" ht="14.25">
      <c r="A8" s="101" t="s">
        <v>9</v>
      </c>
      <c r="B8" s="102">
        <f>ROUND(HLOOKUP($B$3,bs!$D$1:$AE$68,MATCH(A8,bs!$B$1:$B$68,),FALSE),0)/IF(LEN($G$6)&gt;4,10000,1)</f>
        <v>0</v>
      </c>
      <c r="C8" s="102">
        <f>ROUND(HLOOKUP($C$3,bs!$D$1:$AE$68,MATCH(A8,bs!$B$1:$B$68,),FALSE),0)/IF(LEN($G$6)&gt;4,10000,1)</f>
        <v>0</v>
      </c>
      <c r="D8" s="102">
        <f>ROUND(HLOOKUP($D$3,bs!$D$1:$AE$68,MATCH(A8,bs!$B$1:$B$68,),FALSE),0)/IF(LEN($G$6)&gt;4,10000,1)</f>
        <v>0</v>
      </c>
      <c r="E8" s="102">
        <f>ROUND(HLOOKUP($E$3,bs!$D$1:$AE$68,MATCH(A8,bs!$B$1:$B$68,),FALSE),0)/IF(LEN($G$6)&gt;4,10000,1)</f>
        <v>0</v>
      </c>
    </row>
    <row r="9" spans="1:7" ht="14.25">
      <c r="A9" s="101" t="s">
        <v>11</v>
      </c>
      <c r="B9" s="102">
        <f>ROUND(HLOOKUP($B$3,bs!$D$1:$AE$68,MATCH(A9,bs!$B$1:$B$68,),FALSE),0)/IF(LEN($G$6)&gt;4,10000,1)</f>
        <v>0</v>
      </c>
      <c r="C9" s="102">
        <f>ROUND(HLOOKUP($C$3,bs!$D$1:$AE$68,MATCH(A9,bs!$B$1:$B$68,),FALSE),0)/IF(LEN($G$6)&gt;4,10000,1)</f>
        <v>0</v>
      </c>
      <c r="D9" s="102">
        <f>ROUND(HLOOKUP($D$3,bs!$D$1:$AE$68,MATCH(A9,bs!$B$1:$B$68,),FALSE),0)/IF(LEN($G$6)&gt;4,10000,1)</f>
        <v>0</v>
      </c>
      <c r="E9" s="102">
        <f>ROUND(HLOOKUP($E$3,bs!$D$1:$AE$68,MATCH(A9,bs!$B$1:$B$68,),FALSE),0)/IF(LEN($G$6)&gt;4,10000,1)</f>
        <v>0</v>
      </c>
    </row>
    <row r="10" spans="1:7" ht="14.25">
      <c r="A10" s="101" t="s">
        <v>19</v>
      </c>
      <c r="B10" s="102">
        <f>ROUND(HLOOKUP($B$3,bs!$D$1:$AE$68,MATCH(A10,bs!$B$1:$B$68,),FALSE),0)/IF(LEN($G$6)&gt;4,10000,1)</f>
        <v>0</v>
      </c>
      <c r="C10" s="102">
        <f>ROUND(HLOOKUP($C$3,bs!$D$1:$AE$68,MATCH(A10,bs!$B$1:$B$68,),FALSE),0)/IF(LEN($G$6)&gt;4,10000,1)</f>
        <v>0</v>
      </c>
      <c r="D10" s="102">
        <f>ROUND(HLOOKUP($D$3,bs!$D$1:$AE$68,MATCH(A10,bs!$B$1:$B$68,),FALSE),0)/IF(LEN($G$6)&gt;4,10000,1)</f>
        <v>0</v>
      </c>
      <c r="E10" s="102">
        <f>ROUND(HLOOKUP($E$3,bs!$D$1:$AE$68,MATCH(A10,bs!$B$1:$B$68,),FALSE),0)/IF(LEN($G$6)&gt;4,10000,1)</f>
        <v>0</v>
      </c>
    </row>
    <row r="11" spans="1:7" ht="14.25">
      <c r="A11" s="101" t="s">
        <v>13</v>
      </c>
      <c r="B11" s="102">
        <f>ROUND(HLOOKUP($B$3,bs!$D$1:$AE$68,MATCH(A11,bs!$B$1:$B$68,),FALSE),0)/IF(LEN($G$6)&gt;4,10000,1)</f>
        <v>0</v>
      </c>
      <c r="C11" s="102">
        <f>ROUND(HLOOKUP($C$3,bs!$D$1:$AE$68,MATCH(A11,bs!$B$1:$B$68,),FALSE),0)/IF(LEN($G$6)&gt;4,10000,1)</f>
        <v>0</v>
      </c>
      <c r="D11" s="102">
        <f>ROUND(HLOOKUP($D$3,bs!$D$1:$AE$68,MATCH(A11,bs!$B$1:$B$68,),FALSE),0)/IF(LEN($G$6)&gt;4,10000,1)</f>
        <v>0</v>
      </c>
      <c r="E11" s="102">
        <f>ROUND(HLOOKUP($E$3,bs!$D$1:$AE$68,MATCH(A11,bs!$B$1:$B$68,),FALSE),0)/IF(LEN($G$6)&gt;4,10000,1)</f>
        <v>0</v>
      </c>
    </row>
    <row r="12" spans="1:7" ht="14.25">
      <c r="A12" s="103" t="s">
        <v>25</v>
      </c>
      <c r="B12" s="102">
        <f>ROUND(HLOOKUP($B$3,bs!$D$1:$AE$68,MATCH(A12,bs!$B$1:$B$68,),FALSE),0)/IF(LEN($G$6)&gt;4,10000,1)</f>
        <v>0</v>
      </c>
      <c r="C12" s="102">
        <f>ROUND(HLOOKUP($C$3,bs!$D$1:$AE$68,MATCH(A12,bs!$B$1:$B$68,),FALSE),0)/IF(LEN($G$6)&gt;4,10000,1)</f>
        <v>0</v>
      </c>
      <c r="D12" s="102">
        <f>ROUND(HLOOKUP($D$3,bs!$D$1:$AE$68,MATCH(A12,bs!$B$1:$B$68,),FALSE),0)/IF(LEN($G$6)&gt;4,10000,1)</f>
        <v>0</v>
      </c>
      <c r="E12" s="102">
        <f>ROUND(HLOOKUP($E$3,bs!$D$1:$AE$68,MATCH(A12,bs!$B$1:$B$68,),FALSE),0)/IF(LEN($G$6)&gt;4,10000,1)</f>
        <v>0</v>
      </c>
    </row>
    <row r="13" spans="1:7" ht="14.25">
      <c r="A13" s="101" t="s">
        <v>31</v>
      </c>
      <c r="B13" s="102">
        <f>ROUND(HLOOKUP($B$3,bs!$D$1:$AE$68,MATCH(A13,bs!$B$1:$B$68,),FALSE),0)/IF(LEN($G$6)&gt;4,10000,1)</f>
        <v>0</v>
      </c>
      <c r="C13" s="102">
        <f>ROUND(HLOOKUP($C$3,bs!$D$1:$AE$68,MATCH(A13,bs!$B$1:$B$68,),FALSE),0)/IF(LEN($G$6)&gt;4,10000,1)</f>
        <v>0</v>
      </c>
      <c r="D13" s="102">
        <f>ROUND(HLOOKUP($D$3,bs!$D$1:$AE$68,MATCH(A13,bs!$B$1:$B$68,),FALSE),0)/IF(LEN($G$6)&gt;4,10000,1)</f>
        <v>0</v>
      </c>
      <c r="E13" s="102">
        <f>ROUND(HLOOKUP($E$3,bs!$D$1:$AE$68,MATCH(A13,bs!$B$1:$B$68,),FALSE),0)/IF(LEN($G$6)&gt;4,10000,1)</f>
        <v>0</v>
      </c>
    </row>
    <row r="14" spans="1:7" ht="14.25">
      <c r="A14" s="101" t="s">
        <v>33</v>
      </c>
      <c r="B14" s="102">
        <f>ROUND(HLOOKUP($B$3,bs!$D$1:$AE$68,MATCH(A14,bs!$B$1:$B$68,),FALSE),0)/IF(LEN($G$6)&gt;4,10000,1)</f>
        <v>0</v>
      </c>
      <c r="C14" s="102">
        <f>ROUND(HLOOKUP($C$3,bs!$D$1:$AE$68,MATCH(A14,bs!$B$1:$B$68,),FALSE),0)/IF(LEN($G$6)&gt;4,10000,1)</f>
        <v>0</v>
      </c>
      <c r="D14" s="102">
        <f>ROUND(HLOOKUP($D$3,bs!$D$1:$AE$68,MATCH(A14,bs!$B$1:$B$68,),FALSE),0)/IF(LEN($G$6)&gt;4,10000,1)</f>
        <v>0</v>
      </c>
      <c r="E14" s="102">
        <f>ROUND(HLOOKUP($E$3,bs!$D$1:$AE$68,MATCH(A14,bs!$B$1:$B$68,),FALSE),0)/IF(LEN($G$6)&gt;4,10000,1)</f>
        <v>0</v>
      </c>
    </row>
    <row r="15" spans="1:7" ht="14.25">
      <c r="A15" s="101" t="s">
        <v>27</v>
      </c>
      <c r="B15" s="102">
        <f>ROUND(HLOOKUP($B$3,bs!$D$1:$AE$68,MATCH(A15,bs!$B$1:$B$68,),FALSE),0)/IF(LEN($G$6)&gt;4,10000,1)</f>
        <v>0</v>
      </c>
      <c r="C15" s="102">
        <f>ROUND(HLOOKUP($C$3,bs!$D$1:$AE$68,MATCH(A15,bs!$B$1:$B$68,),FALSE),0)/IF(LEN($G$6)&gt;4,10000,1)</f>
        <v>0</v>
      </c>
      <c r="D15" s="102">
        <f>ROUND(HLOOKUP($D$3,bs!$D$1:$AE$68,MATCH(A15,bs!$B$1:$B$68,),FALSE),0)/IF(LEN($G$6)&gt;4,10000,1)</f>
        <v>0</v>
      </c>
      <c r="E15" s="102">
        <f>ROUND(HLOOKUP($E$3,bs!$D$1:$AE$68,MATCH(A15,bs!$B$1:$B$68,),FALSE),0)/IF(LEN($G$6)&gt;4,10000,1)</f>
        <v>0</v>
      </c>
    </row>
    <row r="16" spans="1:7" ht="14.25">
      <c r="A16" s="101" t="s">
        <v>43</v>
      </c>
      <c r="B16" s="102">
        <f>ROUND(HLOOKUP($B$3,bs!$D$1:$AE$68,MATCH(A16,bs!$B$1:$B$68,),FALSE),0)/IF(LEN($G$6)&gt;4,10000,1)</f>
        <v>0</v>
      </c>
      <c r="C16" s="102">
        <f>ROUND(HLOOKUP($C$3,bs!$D$1:$AE$68,MATCH(A16,bs!$B$1:$B$68,),FALSE),0)/IF(LEN($G$6)&gt;4,10000,1)</f>
        <v>0</v>
      </c>
      <c r="D16" s="102">
        <f>ROUND(HLOOKUP($D$3,bs!$D$1:$AE$68,MATCH(A16,bs!$B$1:$B$68,),FALSE),0)/IF(LEN($G$6)&gt;4,10000,1)</f>
        <v>0</v>
      </c>
      <c r="E16" s="102">
        <f>ROUND(HLOOKUP($E$3,bs!$D$1:$AE$68,MATCH(A16,bs!$B$1:$B$68,),FALSE),0)/IF(LEN($G$6)&gt;4,10000,1)</f>
        <v>0</v>
      </c>
    </row>
    <row r="17" spans="1:5" ht="14.25">
      <c r="A17" s="101" t="s">
        <v>47</v>
      </c>
      <c r="B17" s="102">
        <f>ROUND(HLOOKUP($B$3,bs!$D$1:$AE$68,MATCH(A17,bs!$B$1:$B$68,),FALSE),0)/IF(LEN($G$6)&gt;4,10000,1)</f>
        <v>0</v>
      </c>
      <c r="C17" s="102">
        <f>ROUND(HLOOKUP($C$3,bs!$D$1:$AE$68,MATCH(A17,bs!$B$1:$B$68,),FALSE),0)/IF(LEN($G$6)&gt;4,10000,1)</f>
        <v>0</v>
      </c>
      <c r="D17" s="102">
        <f>ROUND(HLOOKUP($D$3,bs!$D$1:$AE$68,MATCH(A17,bs!$B$1:$B$68,),FALSE),0)/IF(LEN($G$6)&gt;4,10000,1)</f>
        <v>0</v>
      </c>
      <c r="E17" s="102">
        <f>ROUND(HLOOKUP($E$3,bs!$D$1:$AE$68,MATCH(A17,bs!$B$1:$B$68,),FALSE),0)/IF(LEN($G$6)&gt;4,10000,1)</f>
        <v>0</v>
      </c>
    </row>
    <row r="18" spans="1:5" ht="14.25">
      <c r="A18" s="101" t="s">
        <v>35</v>
      </c>
      <c r="B18" s="102">
        <f>ROUND(HLOOKUP($B$3,bs!$D$1:$AE$68,MATCH(A18,bs!$B$1:$B$68,),FALSE),0)/IF(LEN($G$6)&gt;4,10000,1)</f>
        <v>0</v>
      </c>
      <c r="C18" s="102">
        <f>ROUND(HLOOKUP($C$3,bs!$D$1:$AE$68,MATCH(A18,bs!$B$1:$B$68,),FALSE),0)/IF(LEN($G$6)&gt;4,10000,1)</f>
        <v>0</v>
      </c>
      <c r="D18" s="102">
        <f>ROUND(HLOOKUP($D$3,bs!$D$1:$AE$68,MATCH(A18,bs!$B$1:$B$68,),FALSE),0)/IF(LEN($G$6)&gt;4,10000,1)</f>
        <v>0</v>
      </c>
      <c r="E18" s="102">
        <f>ROUND(HLOOKUP($E$3,bs!$D$1:$AE$68,MATCH(A18,bs!$B$1:$B$68,),FALSE),0)/IF(LEN($G$6)&gt;4,10000,1)</f>
        <v>0</v>
      </c>
    </row>
    <row r="19" spans="1:5" ht="14.25">
      <c r="A19" s="101" t="s">
        <v>55</v>
      </c>
      <c r="B19" s="102">
        <f>ROUND(HLOOKUP($B$3,bs!$D$1:$AE$68,MATCH(A19,bs!$B$1:$B$68,),FALSE),0)/IF(LEN($G$6)&gt;4,10000,1)</f>
        <v>0</v>
      </c>
      <c r="C19" s="102">
        <f>ROUND(HLOOKUP($C$3,bs!$D$1:$AE$68,MATCH(A19,bs!$B$1:$B$68,),FALSE),0)/IF(LEN($G$6)&gt;4,10000,1)</f>
        <v>0</v>
      </c>
      <c r="D19" s="102">
        <f>ROUND(HLOOKUP($D$3,bs!$D$1:$AE$68,MATCH(A19,bs!$B$1:$B$68,),FALSE),0)/IF(LEN($G$6)&gt;4,10000,1)</f>
        <v>0</v>
      </c>
      <c r="E19" s="102">
        <f>ROUND(HLOOKUP($E$3,bs!$D$1:$AE$68,MATCH(A19,bs!$B$1:$B$68,),FALSE),0)/IF(LEN($G$6)&gt;4,10000,1)</f>
        <v>0</v>
      </c>
    </row>
    <row r="20" spans="1:5" ht="14.25">
      <c r="A20" s="103" t="s">
        <v>67</v>
      </c>
      <c r="B20" s="102">
        <f>ROUND(HLOOKUP($B$3,bs!$D$1:$AE$68,MATCH(A20,bs!$B$1:$B$68,),FALSE),0)/IF(LEN($G$6)&gt;4,10000,1)</f>
        <v>0</v>
      </c>
      <c r="C20" s="102">
        <f>ROUND(HLOOKUP($C$3,bs!$D$1:$AE$68,MATCH(A20,bs!$B$1:$B$68,),FALSE),0)/IF(LEN($G$6)&gt;4,10000,1)</f>
        <v>0</v>
      </c>
      <c r="D20" s="102">
        <f>ROUND(HLOOKUP($D$3,bs!$D$1:$AE$68,MATCH(A20,bs!$B$1:$B$68,),FALSE),0)/IF(LEN($G$6)&gt;4,10000,1)</f>
        <v>0</v>
      </c>
      <c r="E20" s="102">
        <f>ROUND(HLOOKUP($E$3,bs!$D$1:$AE$68,MATCH(A20,bs!$B$1:$B$68,),FALSE),0)/IF(LEN($G$6)&gt;4,10000,1)</f>
        <v>0</v>
      </c>
    </row>
    <row r="21" spans="1:5" ht="14.25">
      <c r="A21" s="103" t="s">
        <v>69</v>
      </c>
      <c r="B21" s="102">
        <f>ROUND(HLOOKUP($B$3,bs!$D$1:$AE$68,MATCH(A21,bs!$B$1:$B$68,),FALSE),0)/IF(LEN($G$6)&gt;4,10000,1)</f>
        <v>0</v>
      </c>
      <c r="C21" s="102">
        <f>ROUND(HLOOKUP($C$3,bs!$D$1:$AE$68,MATCH(A21,bs!$B$1:$B$68,),FALSE),0)/IF(LEN($G$6)&gt;4,10000,1)</f>
        <v>0</v>
      </c>
      <c r="D21" s="102">
        <f>ROUND(HLOOKUP($D$3,bs!$D$1:$AE$68,MATCH(A21,bs!$B$1:$B$68,),FALSE),0)/IF(LEN($G$6)&gt;4,10000,1)</f>
        <v>0</v>
      </c>
      <c r="E21" s="102">
        <f>ROUND(HLOOKUP($E$3,bs!$D$1:$AE$68,MATCH(A21,bs!$B$1:$B$68,),FALSE),0)/IF(LEN($G$6)&gt;4,10000,1)</f>
        <v>0</v>
      </c>
    </row>
    <row r="22" spans="1:5" ht="14.25">
      <c r="A22" s="101" t="s">
        <v>71</v>
      </c>
      <c r="B22" s="102">
        <f>ROUND(HLOOKUP($B$3,bs!$D$1:$AE$68,MATCH(A22,bs!$B$1:$B$68,),FALSE),0)/IF(LEN($G$6)&gt;4,10000,1)</f>
        <v>0</v>
      </c>
      <c r="C22" s="102">
        <f>ROUND(HLOOKUP($C$3,bs!$D$1:$AE$68,MATCH(A22,bs!$B$1:$B$68,),FALSE),0)/IF(LEN($G$6)&gt;4,10000,1)</f>
        <v>0</v>
      </c>
      <c r="D22" s="102">
        <f>ROUND(HLOOKUP($D$3,bs!$D$1:$AE$68,MATCH(A22,bs!$B$1:$B$68,),FALSE),0)/IF(LEN($G$6)&gt;4,10000,1)</f>
        <v>0</v>
      </c>
      <c r="E22" s="102">
        <f>ROUND(HLOOKUP($E$3,bs!$D$1:$AE$68,MATCH(A22,bs!$B$1:$B$68,),FALSE),0)/IF(LEN($G$6)&gt;4,10000,1)</f>
        <v>0</v>
      </c>
    </row>
    <row r="23" spans="1:5" ht="14.25">
      <c r="A23" s="101" t="s">
        <v>77</v>
      </c>
      <c r="B23" s="102">
        <f>ROUND(HLOOKUP($B$3,bs!$D$1:$AE$68,MATCH(A23,bs!$B$1:$B$68,),FALSE),0)/IF(LEN($G$6)&gt;4,10000,1)</f>
        <v>0</v>
      </c>
      <c r="C23" s="102">
        <f>ROUND(HLOOKUP($C$3,bs!$D$1:$AE$68,MATCH(A23,bs!$B$1:$B$68,),FALSE),0)/IF(LEN($G$6)&gt;4,10000,1)</f>
        <v>0</v>
      </c>
      <c r="D23" s="102">
        <f>ROUND(HLOOKUP($D$3,bs!$D$1:$AE$68,MATCH(A23,bs!$B$1:$B$68,),FALSE),0)/IF(LEN($G$6)&gt;4,10000,1)</f>
        <v>0</v>
      </c>
      <c r="E23" s="102">
        <f>ROUND(HLOOKUP($E$3,bs!$D$1:$AE$68,MATCH(A23,bs!$B$1:$B$68,),FALSE),0)/IF(LEN($G$6)&gt;4,10000,1)</f>
        <v>0</v>
      </c>
    </row>
    <row r="24" spans="1:5" ht="14.25">
      <c r="A24" s="101" t="s">
        <v>79</v>
      </c>
      <c r="B24" s="102">
        <f>ROUND(HLOOKUP($B$3,bs!$D$1:$AE$68,MATCH(A24,bs!$B$1:$B$68,),FALSE),0)/IF(LEN($G$6)&gt;4,10000,1)</f>
        <v>0</v>
      </c>
      <c r="C24" s="102">
        <f>ROUND(HLOOKUP($C$3,bs!$D$1:$AE$68,MATCH(A24,bs!$B$1:$B$68,),FALSE),0)/IF(LEN($G$6)&gt;4,10000,1)</f>
        <v>0</v>
      </c>
      <c r="D24" s="102">
        <f>ROUND(HLOOKUP($D$3,bs!$D$1:$AE$68,MATCH(A24,bs!$B$1:$B$68,),FALSE),0)/IF(LEN($G$6)&gt;4,10000,1)</f>
        <v>0</v>
      </c>
      <c r="E24" s="102">
        <f>ROUND(HLOOKUP($E$3,bs!$D$1:$AE$68,MATCH(A24,bs!$B$1:$B$68,),FALSE),0)/IF(LEN($G$6)&gt;4,10000,1)</f>
        <v>0</v>
      </c>
    </row>
    <row r="25" spans="1:5" ht="14.25">
      <c r="A25" s="101" t="s">
        <v>89</v>
      </c>
      <c r="B25" s="102">
        <f>ROUND(HLOOKUP($B$3,bs!$D$1:$AE$68,MATCH(A25,bs!$B$1:$B$68,),FALSE),0)/IF(LEN($G$6)&gt;4,10000,1)</f>
        <v>0</v>
      </c>
      <c r="C25" s="102">
        <f>ROUND(HLOOKUP($C$3,bs!$D$1:$AE$68,MATCH(A25,bs!$B$1:$B$68,),FALSE),0)/IF(LEN($G$6)&gt;4,10000,1)</f>
        <v>0</v>
      </c>
      <c r="D25" s="102">
        <f>ROUND(HLOOKUP($D$3,bs!$D$1:$AE$68,MATCH(A25,bs!$B$1:$B$68,),FALSE),0)/IF(LEN($G$6)&gt;4,10000,1)</f>
        <v>0</v>
      </c>
      <c r="E25" s="102">
        <f>ROUND(HLOOKUP($E$3,bs!$D$1:$AE$68,MATCH(A25,bs!$B$1:$B$68,),FALSE),0)/IF(LEN($G$6)&gt;4,10000,1)</f>
        <v>0</v>
      </c>
    </row>
    <row r="26" spans="1:5" ht="14.25">
      <c r="A26" s="101" t="s">
        <v>91</v>
      </c>
      <c r="B26" s="102">
        <f>ROUND(HLOOKUP($B$3,bs!$D$1:$AE$68,MATCH(A26,bs!$B$1:$B$68,),FALSE),0)/IF(LEN($G$6)&gt;4,10000,1)</f>
        <v>0</v>
      </c>
      <c r="C26" s="102">
        <f>ROUND(HLOOKUP($C$3,bs!$D$1:$AE$68,MATCH(A26,bs!$B$1:$B$68,),FALSE),0)/IF(LEN($G$6)&gt;4,10000,1)</f>
        <v>0</v>
      </c>
      <c r="D26" s="102">
        <f>ROUND(HLOOKUP($D$3,bs!$D$1:$AE$68,MATCH(A26,bs!$B$1:$B$68,),FALSE),0)/IF(LEN($G$6)&gt;4,10000,1)</f>
        <v>0</v>
      </c>
      <c r="E26" s="102">
        <f>ROUND(HLOOKUP($E$3,bs!$D$1:$AE$68,MATCH(A26,bs!$B$1:$B$68,),FALSE),0)/IF(LEN($G$6)&gt;4,10000,1)</f>
        <v>0</v>
      </c>
    </row>
    <row r="27" spans="1:5" ht="14.25">
      <c r="A27" s="103" t="s">
        <v>95</v>
      </c>
      <c r="B27" s="102">
        <f>ROUND(HLOOKUP($B$3,bs!$D$1:$AE$68,MATCH(A27,bs!$B$1:$B$68,),FALSE),0)/IF(LEN($G$6)&gt;4,10000,1)</f>
        <v>0</v>
      </c>
      <c r="C27" s="102">
        <f>ROUND(HLOOKUP($C$3,bs!$D$1:$AE$68,MATCH(A27,bs!$B$1:$B$68,),FALSE),0)/IF(LEN($G$6)&gt;4,10000,1)</f>
        <v>0</v>
      </c>
      <c r="D27" s="102">
        <f>ROUND(HLOOKUP($D$3,bs!$D$1:$AE$68,MATCH(A27,bs!$B$1:$B$68,),FALSE),0)/IF(LEN($G$6)&gt;4,10000,1)</f>
        <v>0</v>
      </c>
      <c r="E27" s="102">
        <f>ROUND(HLOOKUP($E$3,bs!$D$1:$AE$68,MATCH(A27,bs!$B$1:$B$68,),FALSE),0)/IF(LEN($G$6)&gt;4,10000,1)</f>
        <v>0</v>
      </c>
    </row>
    <row r="28" spans="1:5" ht="14.25">
      <c r="A28" s="101" t="s">
        <v>97</v>
      </c>
      <c r="B28" s="102">
        <f>ROUND(HLOOKUP($B$3,bs!$D$1:$AE$68,MATCH(A28,bs!$B$1:$B$68,),FALSE),0)/IF(LEN($G$6)&gt;4,10000,1)</f>
        <v>0</v>
      </c>
      <c r="C28" s="102">
        <f>ROUND(HLOOKUP($C$3,bs!$D$1:$AE$68,MATCH(A28,bs!$B$1:$B$68,),FALSE),0)/IF(LEN($G$6)&gt;4,10000,1)</f>
        <v>0</v>
      </c>
      <c r="D28" s="102">
        <f>ROUND(HLOOKUP($D$3,bs!$D$1:$AE$68,MATCH(A28,bs!$B$1:$B$68,),FALSE),0)/IF(LEN($G$6)&gt;4,10000,1)</f>
        <v>0</v>
      </c>
      <c r="E28" s="102">
        <f>ROUND(HLOOKUP($E$3,bs!$D$1:$AE$68,MATCH(A28,bs!$B$1:$B$68,),FALSE),0)/IF(LEN($G$6)&gt;4,10000,1)</f>
        <v>0</v>
      </c>
    </row>
    <row r="29" spans="1:5" ht="14.25">
      <c r="A29" s="101" t="s">
        <v>99</v>
      </c>
      <c r="B29" s="102">
        <f>ROUND(HLOOKUP($B$3,bs!$D$1:$AE$68,MATCH(A29,bs!$B$1:$B$68,),FALSE),0)/IF(LEN($G$6)&gt;4,10000,1)</f>
        <v>0</v>
      </c>
      <c r="C29" s="102">
        <f>ROUND(HLOOKUP($C$3,bs!$D$1:$AE$68,MATCH(A29,bs!$B$1:$B$68,),FALSE),0)/IF(LEN($G$6)&gt;4,10000,1)</f>
        <v>0</v>
      </c>
      <c r="D29" s="102">
        <f>ROUND(HLOOKUP($D$3,bs!$D$1:$AE$68,MATCH(A29,bs!$B$1:$B$68,),FALSE),0)/IF(LEN($G$6)&gt;4,10000,1)</f>
        <v>0</v>
      </c>
      <c r="E29" s="102">
        <f>ROUND(HLOOKUP($E$3,bs!$D$1:$AE$68,MATCH(A29,bs!$B$1:$B$68,),FALSE),0)/IF(LEN($G$6)&gt;4,10000,1)</f>
        <v>0</v>
      </c>
    </row>
    <row r="30" spans="1:5" ht="14.25">
      <c r="A30" s="101" t="s">
        <v>101</v>
      </c>
      <c r="B30" s="102">
        <f>ROUND(HLOOKUP($B$3,bs!$D$1:$AE$68,MATCH(A30,bs!$B$1:$B$68,),FALSE),0)/IF(LEN($G$6)&gt;4,10000,1)</f>
        <v>0</v>
      </c>
      <c r="C30" s="102">
        <f>ROUND(HLOOKUP($C$3,bs!$D$1:$AE$68,MATCH(A30,bs!$B$1:$B$68,),FALSE),0)/IF(LEN($G$6)&gt;4,10000,1)</f>
        <v>0</v>
      </c>
      <c r="D30" s="102">
        <f>ROUND(HLOOKUP($D$3,bs!$D$1:$AE$68,MATCH(A30,bs!$B$1:$B$68,),FALSE),0)/IF(LEN($G$6)&gt;4,10000,1)</f>
        <v>0</v>
      </c>
      <c r="E30" s="102">
        <f>ROUND(HLOOKUP($E$3,bs!$D$1:$AE$68,MATCH(A30,bs!$B$1:$B$68,),FALSE),0)/IF(LEN($G$6)&gt;4,10000,1)</f>
        <v>0</v>
      </c>
    </row>
    <row r="31" spans="1:5" ht="14.25">
      <c r="A31" s="101" t="s">
        <v>103</v>
      </c>
      <c r="B31" s="102">
        <f>ROUND(HLOOKUP($B$3,bs!$D$1:$AE$68,MATCH(A31,bs!$B$1:$B$68,),FALSE),0)/IF(LEN($G$6)&gt;4,10000,1)</f>
        <v>0</v>
      </c>
      <c r="C31" s="102">
        <f>ROUND(HLOOKUP($C$3,bs!$D$1:$AE$68,MATCH(A31,bs!$B$1:$B$68,),FALSE),0)/IF(LEN($G$6)&gt;4,10000,1)</f>
        <v>0</v>
      </c>
      <c r="D31" s="102">
        <f>ROUND(HLOOKUP($D$3,bs!$D$1:$AE$68,MATCH(A31,bs!$B$1:$B$68,),FALSE),0)/IF(LEN($G$6)&gt;4,10000,1)</f>
        <v>0</v>
      </c>
      <c r="E31" s="102">
        <f>ROUND(HLOOKUP($E$3,bs!$D$1:$AE$68,MATCH(A31,bs!$B$1:$B$68,),FALSE),0)/IF(LEN($G$6)&gt;4,10000,1)</f>
        <v>0</v>
      </c>
    </row>
    <row r="32" spans="1:5" ht="14.25">
      <c r="A32" s="101" t="s">
        <v>109</v>
      </c>
      <c r="B32" s="102">
        <f>ROUND(HLOOKUP($B$3,bs!$D$1:$AE$68,MATCH(A32,bs!$B$1:$B$68,),FALSE),0)/IF(LEN($G$6)&gt;4,10000,1)</f>
        <v>0</v>
      </c>
      <c r="C32" s="102">
        <f>ROUND(HLOOKUP($C$3,bs!$D$1:$AE$68,MATCH(A32,bs!$B$1:$B$68,),FALSE),0)/IF(LEN($G$6)&gt;4,10000,1)</f>
        <v>0</v>
      </c>
      <c r="D32" s="102">
        <f>ROUND(HLOOKUP($D$3,bs!$D$1:$AE$68,MATCH(A32,bs!$B$1:$B$68,),FALSE),0)/IF(LEN($G$6)&gt;4,10000,1)</f>
        <v>0</v>
      </c>
      <c r="E32" s="102">
        <f>ROUND(HLOOKUP($E$3,bs!$D$1:$AE$68,MATCH(A32,bs!$B$1:$B$68,),FALSE),0)/IF(LEN($G$6)&gt;4,10000,1)</f>
        <v>0</v>
      </c>
    </row>
    <row r="33" spans="1:5" ht="14.25">
      <c r="A33" s="103" t="s">
        <v>111</v>
      </c>
      <c r="B33" s="102">
        <f>ROUND(HLOOKUP($B$3,bs!$D$1:$AE$68,MATCH(A33,bs!$B$1:$B$68,),FALSE),0)/IF(LEN($G$6)&gt;4,10000,1)</f>
        <v>0</v>
      </c>
      <c r="C33" s="102">
        <f>ROUND(HLOOKUP($C$3,bs!$D$1:$AE$68,MATCH(A33,bs!$B$1:$B$68,),FALSE),0)/IF(LEN($G$6)&gt;4,10000,1)</f>
        <v>0</v>
      </c>
      <c r="D33" s="102">
        <f>ROUND(HLOOKUP($D$3,bs!$D$1:$AE$68,MATCH(A33,bs!$B$1:$B$68,),FALSE),0)/IF(LEN($G$6)&gt;4,10000,1)</f>
        <v>0</v>
      </c>
      <c r="E33" s="102">
        <f>ROUND(HLOOKUP($E$3,bs!$D$1:$AE$68,MATCH(A33,bs!$B$1:$B$68,),FALSE),0)/IF(LEN($G$6)&gt;4,10000,1)</f>
        <v>0</v>
      </c>
    </row>
    <row r="34" spans="1:5" ht="14.25">
      <c r="A34" s="103" t="s">
        <v>113</v>
      </c>
      <c r="B34" s="102">
        <f>ROUND(HLOOKUP($B$3,bs!$D$1:$AE$68,MATCH(A34,bs!$B$1:$B$68,),FALSE),0)/IF(LEN($G$6)&gt;4,10000,1)</f>
        <v>0</v>
      </c>
      <c r="C34" s="102">
        <f>ROUND(HLOOKUP($C$3,bs!$D$1:$AE$68,MATCH(A34,bs!$B$1:$B$68,),FALSE),0)/IF(LEN($G$6)&gt;4,10000,1)</f>
        <v>0</v>
      </c>
      <c r="D34" s="102">
        <f>ROUND(HLOOKUP($D$3,bs!$D$1:$AE$68,MATCH(A34,bs!$B$1:$B$68,),FALSE),0)/IF(LEN($G$6)&gt;4,10000,1)</f>
        <v>0</v>
      </c>
      <c r="E34" s="102">
        <f>ROUND(HLOOKUP($E$3,bs!$D$1:$AE$68,MATCH(A34,bs!$B$1:$B$68,),FALSE),0)/IF(LEN($G$6)&gt;4,10000,1)</f>
        <v>0</v>
      </c>
    </row>
    <row r="35" spans="1:5" ht="14.25">
      <c r="A35" s="101" t="s">
        <v>115</v>
      </c>
      <c r="B35" s="102">
        <f>ROUND(HLOOKUP($B$3,bs!$D$1:$AE$68,MATCH(A35,bs!$B$1:$B$68,),FALSE),0)/IF(LEN($G$6)&gt;4,10000,1)</f>
        <v>0</v>
      </c>
      <c r="C35" s="102">
        <f>ROUND(HLOOKUP($C$3,bs!$D$1:$AE$68,MATCH(A35,bs!$B$1:$B$68,),FALSE),0)/IF(LEN($G$6)&gt;4,10000,1)</f>
        <v>0</v>
      </c>
      <c r="D35" s="102">
        <f>ROUND(HLOOKUP($D$3,bs!$D$1:$AE$68,MATCH(A35,bs!$B$1:$B$68,),FALSE),0)/IF(LEN($G$6)&gt;4,10000,1)</f>
        <v>0</v>
      </c>
      <c r="E35" s="102">
        <f>ROUND(HLOOKUP($E$3,bs!$D$1:$AE$68,MATCH(A35,bs!$B$1:$B$68,),FALSE),0)/IF(LEN($G$6)&gt;4,10000,1)</f>
        <v>0</v>
      </c>
    </row>
    <row r="36" spans="1:5" ht="14.25">
      <c r="A36" s="101" t="s">
        <v>117</v>
      </c>
      <c r="B36" s="102">
        <f>ROUND(HLOOKUP($B$3,bs!$D$1:$AE$68,MATCH(A36,bs!$B$1:$B$68,),FALSE),0)/IF(LEN($G$6)&gt;4,10000,1)</f>
        <v>0</v>
      </c>
      <c r="C36" s="102">
        <f>ROUND(HLOOKUP($C$3,bs!$D$1:$AE$68,MATCH(A36,bs!$B$1:$B$68,),FALSE),0)/IF(LEN($G$6)&gt;4,10000,1)</f>
        <v>0</v>
      </c>
      <c r="D36" s="102">
        <f>ROUND(HLOOKUP($D$3,bs!$D$1:$AE$68,MATCH(A36,bs!$B$1:$B$68,),FALSE),0)/IF(LEN($G$6)&gt;4,10000,1)</f>
        <v>0</v>
      </c>
      <c r="E36" s="102">
        <f>ROUND(HLOOKUP($E$3,bs!$D$1:$AE$68,MATCH(A36,bs!$B$1:$B$68,),FALSE),0)/IF(LEN($G$6)&gt;4,10000,1)</f>
        <v>0</v>
      </c>
    </row>
    <row r="37" spans="1:5" ht="14.25">
      <c r="A37" s="101" t="s">
        <v>301</v>
      </c>
      <c r="B37" s="102" t="e">
        <f>ROUND(HLOOKUP($B$3,bs!$D$1:$AE$68,MATCH(A37,bs!$B$1:$B$68,),FALSE),0)/IF(LEN($G$6)&gt;4,10000,1)</f>
        <v>#N/A</v>
      </c>
      <c r="C37" s="102" t="e">
        <f>ROUND(HLOOKUP($C$3,bs!$D$1:$AE$68,MATCH(A37,bs!$B$1:$B$68,),FALSE),0)/IF(LEN($G$6)&gt;4,10000,1)</f>
        <v>#N/A</v>
      </c>
      <c r="D37" s="102" t="e">
        <f>ROUND(HLOOKUP($D$3,bs!$D$1:$AE$68,MATCH(A37,bs!$B$1:$B$68,),FALSE),0)/IF(LEN($G$6)&gt;4,10000,1)</f>
        <v>#N/A</v>
      </c>
      <c r="E37" s="102" t="e">
        <f>ROUND(HLOOKUP($E$3,bs!$D$1:$AE$68,MATCH(A37,bs!$B$1:$B$68,),FALSE),0)/IF(LEN($G$6)&gt;4,10000,1)</f>
        <v>#N/A</v>
      </c>
    </row>
    <row r="38" spans="1:5" ht="14.25">
      <c r="A38" s="101" t="s">
        <v>122</v>
      </c>
      <c r="B38" s="102">
        <f>ROUND(HLOOKUP($B$3,bs!$D$1:$AE$68,MATCH(A38,bs!$B$1:$B$68,),FALSE),0)/IF(LEN($G$6)&gt;4,10000,1)</f>
        <v>0</v>
      </c>
      <c r="C38" s="102">
        <f>ROUND(HLOOKUP($C$3,bs!$D$1:$AE$68,MATCH(A38,bs!$B$1:$B$68,),FALSE),0)/IF(LEN($G$6)&gt;4,10000,1)</f>
        <v>0</v>
      </c>
      <c r="D38" s="102">
        <f>ROUND(HLOOKUP($D$3,bs!$D$1:$AE$68,MATCH(A38,bs!$B$1:$B$68,),FALSE),0)/IF(LEN($G$6)&gt;4,10000,1)</f>
        <v>0</v>
      </c>
      <c r="E38" s="102">
        <f>ROUND(HLOOKUP($E$3,bs!$D$1:$AE$68,MATCH(A38,bs!$B$1:$B$68,),FALSE),0)/IF(LEN($G$6)&gt;4,10000,1)</f>
        <v>0</v>
      </c>
    </row>
    <row r="39" spans="1:5" ht="14.25">
      <c r="A39" s="101" t="s">
        <v>124</v>
      </c>
      <c r="B39" s="102">
        <f>ROUND(HLOOKUP($B$3,bs!$D$1:$AE$68,MATCH(A39,bs!$B$1:$B$68,),FALSE),0)/IF(LEN($G$6)&gt;4,10000,1)</f>
        <v>0</v>
      </c>
      <c r="C39" s="102">
        <f>ROUND(HLOOKUP($C$3,bs!$D$1:$AE$68,MATCH(A39,bs!$B$1:$B$68,),FALSE),0)/IF(LEN($G$6)&gt;4,10000,1)</f>
        <v>0</v>
      </c>
      <c r="D39" s="102">
        <f>ROUND(HLOOKUP($D$3,bs!$D$1:$AE$68,MATCH(A39,bs!$B$1:$B$68,),FALSE),0)/IF(LEN($G$6)&gt;4,10000,1)</f>
        <v>0</v>
      </c>
      <c r="E39" s="102">
        <f>ROUND(HLOOKUP($E$3,bs!$D$1:$AE$68,MATCH(A39,bs!$B$1:$B$68,),FALSE),0)/IF(LEN($G$6)&gt;4,10000,1)</f>
        <v>0</v>
      </c>
    </row>
    <row r="40" spans="1:5" ht="14.25">
      <c r="A40" s="103" t="s">
        <v>132</v>
      </c>
      <c r="B40" s="102">
        <f>ROUND(HLOOKUP($B$3,bs!$D$1:$AE$68,MATCH(A40,bs!$B$1:$B$68,),FALSE),0)/IF(LEN($G$6)&gt;4,10000,1)</f>
        <v>0</v>
      </c>
      <c r="C40" s="102">
        <f>ROUND(HLOOKUP($C$3,bs!$D$1:$AE$68,MATCH(A40,bs!$B$1:$B$68,),FALSE),0)/IF(LEN($G$6)&gt;4,10000,1)</f>
        <v>0</v>
      </c>
      <c r="D40" s="102">
        <f>ROUND(HLOOKUP($D$3,bs!$D$1:$AE$68,MATCH(A40,bs!$B$1:$B$68,),FALSE),0)/IF(LEN($G$6)&gt;4,10000,1)</f>
        <v>0</v>
      </c>
      <c r="E40" s="102">
        <f>ROUND(HLOOKUP($E$3,bs!$D$1:$AE$68,MATCH(A40,bs!$B$1:$B$68,),FALSE),0)/IF(LEN($G$6)&gt;4,10000,1)</f>
        <v>0</v>
      </c>
    </row>
    <row r="41" spans="1:5" ht="15.75" customHeight="1">
      <c r="A41" s="134" t="s">
        <v>302</v>
      </c>
      <c r="B41" s="134"/>
      <c r="C41" s="134"/>
      <c r="D41" s="134"/>
      <c r="E41" s="134"/>
    </row>
    <row r="42" spans="1:5" ht="14.25">
      <c r="A42" s="101" t="s">
        <v>137</v>
      </c>
      <c r="B42" s="102" t="e">
        <f>ROUND(HLOOKUP($B$3,pl!$D$1:$AC$68,MATCH(A42,pl!$B$1:$B$68,),FALSE),0)/IF(LEN($G$6)&gt;4,10000,1)</f>
        <v>#N/A</v>
      </c>
      <c r="C42" s="102">
        <f>ROUND(HLOOKUP($C$3,pl!$D$1:$AC$68,MATCH(A42,pl!$B$1:$B$68,),FALSE),0)/IF(LEN($G$6)&gt;4,10000,1)</f>
        <v>0</v>
      </c>
      <c r="D42" s="102">
        <f>ROUND(HLOOKUP($D$3,pl!$D$1:$AC$68,MATCH(A42,pl!$B$1:$B$68,),FALSE),0)/IF(LEN($G$6)&gt;4,10000,1)</f>
        <v>0</v>
      </c>
      <c r="E42" s="102">
        <f>ROUND(HLOOKUP($E$3,pl!$D$1:$AC$68,MATCH(A42,pl!$B$1:$B$68,),FALSE),0)/IF(LEN($G$6)&gt;4,10000,1)</f>
        <v>0</v>
      </c>
    </row>
    <row r="43" spans="1:5" ht="14.25">
      <c r="A43" s="101" t="s">
        <v>143</v>
      </c>
      <c r="B43" s="102" t="e">
        <f>ROUND(HLOOKUP($B$3,pl!$D$1:$AC$68,MATCH(A43,pl!$B$1:$B$68,),FALSE),0)/IF(LEN($G$6)&gt;4,10000,1)</f>
        <v>#N/A</v>
      </c>
      <c r="C43" s="102">
        <f>ROUND(HLOOKUP($C$3,pl!$D$1:$AC$68,MATCH(A43,pl!$B$1:$B$68,),FALSE),0)/IF(LEN($G$6)&gt;4,10000,1)</f>
        <v>0</v>
      </c>
      <c r="D43" s="102">
        <f>ROUND(HLOOKUP($D$3,pl!$D$1:$AC$68,MATCH(A43,pl!$B$1:$B$68,),FALSE),0)/IF(LEN($G$6)&gt;4,10000,1)</f>
        <v>0</v>
      </c>
      <c r="E43" s="102">
        <f>ROUND(HLOOKUP($E$3,pl!$D$1:$AC$68,MATCH(A43,pl!$B$1:$B$68,),FALSE),0)/IF(LEN($G$6)&gt;4,10000,1)</f>
        <v>0</v>
      </c>
    </row>
    <row r="44" spans="1:5" ht="14.25">
      <c r="A44" s="101" t="s">
        <v>149</v>
      </c>
      <c r="B44" s="102" t="e">
        <f>ROUND(HLOOKUP($B$3,pl!$D$1:$AC$68,MATCH(A44,pl!$B$1:$B$68,),FALSE),0)/IF(LEN($G$6)&gt;4,10000,1)</f>
        <v>#N/A</v>
      </c>
      <c r="C44" s="102">
        <f>ROUND(HLOOKUP($C$3,pl!$D$1:$AC$68,MATCH(A44,pl!$B$1:$B$68,),FALSE),0)/IF(LEN($G$6)&gt;4,10000,1)</f>
        <v>0</v>
      </c>
      <c r="D44" s="102">
        <f>ROUND(HLOOKUP($D$3,pl!$D$1:$AC$68,MATCH(A44,pl!$B$1:$B$68,),FALSE),0)/IF(LEN($G$6)&gt;4,10000,1)</f>
        <v>0</v>
      </c>
      <c r="E44" s="102">
        <f>ROUND(HLOOKUP($E$3,pl!$D$1:$AC$68,MATCH(A44,pl!$B$1:$B$68,),FALSE),0)/IF(LEN($G$6)&gt;4,10000,1)</f>
        <v>0</v>
      </c>
    </row>
    <row r="45" spans="1:5" ht="14.25">
      <c r="A45" s="101" t="s">
        <v>151</v>
      </c>
      <c r="B45" s="102" t="e">
        <f>ROUND(HLOOKUP($B$3,pl!$D$1:$AC$68,MATCH(A45,pl!$B$1:$B$68,),FALSE),0)/IF(LEN($G$6)&gt;4,10000,1)</f>
        <v>#N/A</v>
      </c>
      <c r="C45" s="102">
        <f>ROUND(HLOOKUP($C$3,pl!$D$1:$AC$68,MATCH(A45,pl!$B$1:$B$68,),FALSE),0)/IF(LEN($G$6)&gt;4,10000,1)</f>
        <v>0</v>
      </c>
      <c r="D45" s="102">
        <f>ROUND(HLOOKUP($D$3,pl!$D$1:$AC$68,MATCH(A45,pl!$B$1:$B$68,),FALSE),0)/IF(LEN($G$6)&gt;4,10000,1)</f>
        <v>0</v>
      </c>
      <c r="E45" s="102">
        <f>ROUND(HLOOKUP($E$3,pl!$D$1:$AC$68,MATCH(A45,pl!$B$1:$B$68,),FALSE),0)/IF(LEN($G$6)&gt;4,10000,1)</f>
        <v>0</v>
      </c>
    </row>
    <row r="46" spans="1:5" ht="14.25">
      <c r="A46" s="101" t="s">
        <v>153</v>
      </c>
      <c r="B46" s="102" t="e">
        <f>ROUND(HLOOKUP($B$3,pl!$D$1:$AC$68,MATCH(A46,pl!$B$1:$B$68,),FALSE),0)/IF(LEN($G$6)&gt;4,10000,1)</f>
        <v>#N/A</v>
      </c>
      <c r="C46" s="102">
        <f>ROUND(HLOOKUP($C$3,pl!$D$1:$AC$68,MATCH(A46,pl!$B$1:$B$68,),FALSE),0)/IF(LEN($G$6)&gt;4,10000,1)</f>
        <v>0</v>
      </c>
      <c r="D46" s="102">
        <f>ROUND(HLOOKUP($D$3,pl!$D$1:$AC$68,MATCH(A46,pl!$B$1:$B$68,),FALSE),0)/IF(LEN($G$6)&gt;4,10000,1)</f>
        <v>0</v>
      </c>
      <c r="E46" s="102">
        <f>ROUND(HLOOKUP($E$3,pl!$D$1:$AC$68,MATCH(A46,pl!$B$1:$B$68,),FALSE),0)/IF(LEN($G$6)&gt;4,10000,1)</f>
        <v>0</v>
      </c>
    </row>
    <row r="47" spans="1:5" ht="14.25">
      <c r="A47" s="101" t="s">
        <v>155</v>
      </c>
      <c r="B47" s="102" t="e">
        <f>ROUND(HLOOKUP($B$3,pl!$D$1:$AC$68,MATCH(A47,pl!$B$1:$B$68,),FALSE),0)/IF(LEN($G$6)&gt;4,10000,1)</f>
        <v>#N/A</v>
      </c>
      <c r="C47" s="102">
        <f>ROUND(HLOOKUP($C$3,pl!$D$1:$AC$68,MATCH(A47,pl!$B$1:$B$68,),FALSE),0)/IF(LEN($G$6)&gt;4,10000,1)</f>
        <v>0</v>
      </c>
      <c r="D47" s="102">
        <f>ROUND(HLOOKUP($D$3,pl!$D$1:$AC$68,MATCH(A47,pl!$B$1:$B$68,),FALSE),0)/IF(LEN($G$6)&gt;4,10000,1)</f>
        <v>0</v>
      </c>
      <c r="E47" s="102">
        <f>ROUND(HLOOKUP($E$3,pl!$D$1:$AC$68,MATCH(A47,pl!$B$1:$B$68,),FALSE),0)/IF(LEN($G$6)&gt;4,10000,1)</f>
        <v>0</v>
      </c>
    </row>
    <row r="48" spans="1:5" ht="14.25">
      <c r="A48" s="101" t="s">
        <v>161</v>
      </c>
      <c r="B48" s="102" t="e">
        <f>ROUND(HLOOKUP($B$3,pl!$D$1:$AC$68,MATCH(A48,pl!$B$1:$B$68,),FALSE),0)/IF(LEN($G$6)&gt;4,10000,1)</f>
        <v>#N/A</v>
      </c>
      <c r="C48" s="102">
        <f>ROUND(HLOOKUP($C$3,pl!$D$1:$AC$68,MATCH(A48,pl!$B$1:$B$68,),FALSE),0)/IF(LEN($G$6)&gt;4,10000,1)</f>
        <v>0</v>
      </c>
      <c r="D48" s="102">
        <f>ROUND(HLOOKUP($D$3,pl!$D$1:$AC$68,MATCH(A48,pl!$B$1:$B$68,),FALSE),0)/IF(LEN($G$6)&gt;4,10000,1)</f>
        <v>0</v>
      </c>
      <c r="E48" s="102">
        <f>ROUND(HLOOKUP($E$3,pl!$D$1:$AC$68,MATCH(A48,pl!$B$1:$B$68,),FALSE),0)/IF(LEN($G$6)&gt;4,10000,1)</f>
        <v>0</v>
      </c>
    </row>
    <row r="49" spans="1:5" ht="14.25">
      <c r="A49" s="103" t="s">
        <v>163</v>
      </c>
      <c r="B49" s="102" t="e">
        <f>ROUND(HLOOKUP($B$3,pl!$D$1:$AC$68,MATCH(A49,pl!$B$1:$B$68,),FALSE),0)/IF(LEN($G$6)&gt;4,10000,1)</f>
        <v>#N/A</v>
      </c>
      <c r="C49" s="102">
        <f>ROUND(HLOOKUP($C$3,pl!$D$1:$AC$68,MATCH(A49,pl!$B$1:$B$68,),FALSE),0)/IF(LEN($G$6)&gt;4,10000,1)</f>
        <v>0</v>
      </c>
      <c r="D49" s="102">
        <f>ROUND(HLOOKUP($D$3,pl!$D$1:$AC$68,MATCH(A49,pl!$B$1:$B$68,),FALSE),0)/IF(LEN($G$6)&gt;4,10000,1)</f>
        <v>0</v>
      </c>
      <c r="E49" s="102">
        <f>ROUND(HLOOKUP($E$3,pl!$D$1:$AC$68,MATCH(A49,pl!$B$1:$B$68,),FALSE),0)/IF(LEN($G$6)&gt;4,10000,1)</f>
        <v>0</v>
      </c>
    </row>
    <row r="50" spans="1:5" ht="14.25">
      <c r="A50" s="103" t="s">
        <v>169</v>
      </c>
      <c r="B50" s="102" t="e">
        <f>ROUND(HLOOKUP($B$3,pl!$D$1:$AC$68,MATCH(A50,pl!$B$1:$B$68,),FALSE),0)/IF(LEN($G$6)&gt;4,10000,1)</f>
        <v>#N/A</v>
      </c>
      <c r="C50" s="102">
        <f>ROUND(HLOOKUP($C$3,pl!$D$1:$AC$68,MATCH(A50,pl!$B$1:$B$68,),FALSE),0)/IF(LEN($G$6)&gt;4,10000,1)</f>
        <v>0</v>
      </c>
      <c r="D50" s="102">
        <f>ROUND(HLOOKUP($D$3,pl!$D$1:$AC$68,MATCH(A50,pl!$B$1:$B$68,),FALSE),0)/IF(LEN($G$6)&gt;4,10000,1)</f>
        <v>0</v>
      </c>
      <c r="E50" s="102">
        <f>ROUND(HLOOKUP($E$3,pl!$D$1:$AC$68,MATCH(A50,pl!$B$1:$B$68,),FALSE),0)/IF(LEN($G$6)&gt;4,10000,1)</f>
        <v>0</v>
      </c>
    </row>
    <row r="51" spans="1:5" ht="14.25">
      <c r="A51" s="101" t="s">
        <v>171</v>
      </c>
      <c r="B51" s="102" t="e">
        <f>ROUND(HLOOKUP($B$3,pl!$D$1:$AC$68,MATCH(A51,pl!$B$1:$B$68,),FALSE),0)/IF(LEN($G$6)&gt;4,10000,1)</f>
        <v>#N/A</v>
      </c>
      <c r="C51" s="102">
        <f>ROUND(HLOOKUP($C$3,pl!$D$1:$AC$68,MATCH(A51,pl!$B$1:$B$68,),FALSE),0)/IF(LEN($G$6)&gt;4,10000,1)</f>
        <v>0</v>
      </c>
      <c r="D51" s="102">
        <f>ROUND(HLOOKUP($D$3,pl!$D$1:$AC$68,MATCH(A51,pl!$B$1:$B$68,),FALSE),0)/IF(LEN($G$6)&gt;4,10000,1)</f>
        <v>0</v>
      </c>
      <c r="E51" s="102">
        <f>ROUND(HLOOKUP($E$3,pl!$D$1:$AC$68,MATCH(A51,pl!$B$1:$B$68,),FALSE),0)/IF(LEN($G$6)&gt;4,10000,1)</f>
        <v>0</v>
      </c>
    </row>
    <row r="52" spans="1:5" ht="14.25">
      <c r="A52" s="103" t="s">
        <v>173</v>
      </c>
      <c r="B52" s="102" t="e">
        <f>ROUND(HLOOKUP($B$3,pl!$D$1:$AC$68,MATCH(A52,pl!$B$1:$B$68,),FALSE),0)/IF(LEN($G$6)&gt;4,10000,1)</f>
        <v>#N/A</v>
      </c>
      <c r="C52" s="102">
        <f>ROUND(HLOOKUP($C$3,pl!$D$1:$AC$68,MATCH(A52,pl!$B$1:$B$68,),FALSE),0)/IF(LEN($G$6)&gt;4,10000,1)</f>
        <v>0</v>
      </c>
      <c r="D52" s="102">
        <f>ROUND(HLOOKUP($D$3,pl!$D$1:$AC$68,MATCH(A52,pl!$B$1:$B$68,),FALSE),0)/IF(LEN($G$6)&gt;4,10000,1)</f>
        <v>0</v>
      </c>
      <c r="E52" s="102">
        <f>ROUND(HLOOKUP($E$3,pl!$D$1:$AC$68,MATCH(A52,pl!$B$1:$B$68,),FALSE),0)/IF(LEN($G$6)&gt;4,10000,1)</f>
        <v>0</v>
      </c>
    </row>
    <row r="53" spans="1:5" ht="44.25" customHeight="1">
      <c r="A53" s="103" t="s">
        <v>303</v>
      </c>
      <c r="B53" s="140"/>
      <c r="C53" s="140"/>
      <c r="D53" s="140"/>
      <c r="E53" s="140"/>
    </row>
    <row r="54" spans="1:5" ht="15.75" customHeight="1">
      <c r="A54" s="136" t="s">
        <v>304</v>
      </c>
      <c r="B54" s="136"/>
      <c r="C54" s="136"/>
      <c r="D54" s="136"/>
      <c r="E54" s="136"/>
    </row>
    <row r="55" spans="1:5" ht="28.5">
      <c r="A55" s="103" t="s">
        <v>222</v>
      </c>
      <c r="B55" s="102">
        <f>ROUND(HLOOKUP($B$3,cf!$D$1:$AC$68,MATCH(A55,cf!$B$1:$B$68,),FALSE),0)/IF(LEN($G$6)&gt;4,10000,1)</f>
        <v>0</v>
      </c>
      <c r="C55" s="102">
        <f>ROUND(HLOOKUP($C$3,cf!$D$1:$AC$68,MATCH(A55,cf!$B$1:$B$68,),FALSE),0)/IF(LEN($G$6)&gt;4,10000,1)</f>
        <v>0</v>
      </c>
      <c r="D55" s="102">
        <f>ROUND(HLOOKUP($D$3,cf!$D$1:$AC$68,MATCH(A55,cf!$B$1:$B$68,),FALSE),0)/IF(LEN($G$6)&gt;4,10000,1)</f>
        <v>0</v>
      </c>
      <c r="E55" s="102">
        <f>ROUND(HLOOKUP($E$3,cf!$D$1:$AC$68,MATCH(A55,cf!$B$1:$B$68,),FALSE),0)/IF(LEN($G$6)&gt;4,10000,1)</f>
        <v>0</v>
      </c>
    </row>
    <row r="56" spans="1:5" ht="14.25">
      <c r="A56" s="101" t="s">
        <v>228</v>
      </c>
      <c r="B56" s="102">
        <f>ROUND(HLOOKUP($B$3,cf!$D$1:$AC$68,MATCH(A56,cf!$B$1:$B$68,),FALSE),0)/IF(LEN($G$6)&gt;4,10000,1)</f>
        <v>0</v>
      </c>
      <c r="C56" s="102">
        <f>ROUND(HLOOKUP($C$3,cf!$D$1:$AC$68,MATCH(A56,cf!$B$1:$B$68,),FALSE),0)/IF(LEN($G$6)&gt;4,10000,1)</f>
        <v>0</v>
      </c>
      <c r="D56" s="102">
        <f>ROUND(HLOOKUP($D$3,cf!$D$1:$AC$68,MATCH(A56,cf!$B$1:$B$68,),FALSE),0)/IF(LEN($G$6)&gt;4,10000,1)</f>
        <v>0</v>
      </c>
      <c r="E56" s="102">
        <f>ROUND(HLOOKUP($E$3,cf!$D$1:$AC$68,MATCH(A56,cf!$B$1:$B$68,),FALSE),0)/IF(LEN($G$6)&gt;4,10000,1)</f>
        <v>0</v>
      </c>
    </row>
    <row r="57" spans="1:5" ht="14.25">
      <c r="A57" s="101" t="s">
        <v>238</v>
      </c>
      <c r="B57" s="102">
        <f>ROUND(HLOOKUP($B$3,cf!$D$1:$AC$68,MATCH(A57,cf!$B$1:$B$68,),FALSE),0)/IF(LEN($G$6)&gt;4,10000,1)</f>
        <v>0</v>
      </c>
      <c r="C57" s="102">
        <f>ROUND(HLOOKUP($C$3,cf!$D$1:$AC$68,MATCH(A57,cf!$B$1:$B$68,),FALSE),0)/IF(LEN($G$6)&gt;4,10000,1)</f>
        <v>0</v>
      </c>
      <c r="D57" s="102">
        <f>ROUND(HLOOKUP($D$3,cf!$D$1:$AC$68,MATCH(A57,cf!$B$1:$B$68,),FALSE),0)/IF(LEN($G$6)&gt;4,10000,1)</f>
        <v>0</v>
      </c>
      <c r="E57" s="102">
        <f>ROUND(HLOOKUP($E$3,cf!$D$1:$AC$68,MATCH(A57,cf!$B$1:$B$68,),FALSE),0)/IF(LEN($G$6)&gt;4,10000,1)</f>
        <v>0</v>
      </c>
    </row>
    <row r="58" spans="1:5" ht="28.5">
      <c r="A58" s="103" t="s">
        <v>240</v>
      </c>
      <c r="B58" s="102">
        <f>ROUND(HLOOKUP($B$3,cf!$D$1:$AC$68,MATCH(A58,cf!$B$1:$B$68,),FALSE),0)/IF(LEN($G$6)&gt;4,10000,1)</f>
        <v>0</v>
      </c>
      <c r="C58" s="102">
        <f>ROUND(HLOOKUP($C$3,cf!$D$1:$AC$68,MATCH(A58,cf!$B$1:$B$68,),FALSE),0)/IF(LEN($G$6)&gt;4,10000,1)</f>
        <v>0</v>
      </c>
      <c r="D58" s="102">
        <f>ROUND(HLOOKUP($D$3,cf!$D$1:$AC$68,MATCH(A58,cf!$B$1:$B$68,),FALSE),0)/IF(LEN($G$6)&gt;4,10000,1)</f>
        <v>0</v>
      </c>
      <c r="E58" s="102">
        <f>ROUND(HLOOKUP($E$3,cf!$D$1:$AC$68,MATCH(A58,cf!$B$1:$B$68,),FALSE),0)/IF(LEN($G$6)&gt;4,10000,1)</f>
        <v>0</v>
      </c>
    </row>
    <row r="59" spans="1:5" ht="14.25">
      <c r="A59" s="101" t="s">
        <v>254</v>
      </c>
      <c r="B59" s="102">
        <f>ROUND(HLOOKUP($B$3,cf!$D$1:$AC$68,MATCH(A59,cf!$B$1:$B$68,),FALSE),0)/IF(LEN($G$6)&gt;4,10000,1)</f>
        <v>0</v>
      </c>
      <c r="C59" s="102">
        <f>ROUND(HLOOKUP($C$3,cf!$D$1:$AC$68,MATCH(A59,cf!$B$1:$B$68,),FALSE),0)/IF(LEN($G$6)&gt;4,10000,1)</f>
        <v>0</v>
      </c>
      <c r="D59" s="102">
        <f>ROUND(HLOOKUP($D$3,cf!$D$1:$AC$68,MATCH(A59,cf!$B$1:$B$68,),FALSE),0)/IF(LEN($G$6)&gt;4,10000,1)</f>
        <v>0</v>
      </c>
      <c r="E59" s="102">
        <f>ROUND(HLOOKUP($E$3,cf!$D$1:$AC$68,MATCH(A59,cf!$B$1:$B$68,),FALSE),0)/IF(LEN($G$6)&gt;4,10000,1)</f>
        <v>0</v>
      </c>
    </row>
    <row r="60" spans="1:5" ht="14.25">
      <c r="A60" s="101" t="s">
        <v>264</v>
      </c>
      <c r="B60" s="102">
        <f>ROUND(HLOOKUP($B$3,cf!$D$1:$AC$68,MATCH(A60,cf!$B$1:$B$68,),FALSE),0)/IF(LEN($G$6)&gt;4,10000,1)</f>
        <v>0</v>
      </c>
      <c r="C60" s="102">
        <f>ROUND(HLOOKUP($C$3,cf!$D$1:$AC$68,MATCH(A60,cf!$B$1:$B$68,),FALSE),0)/IF(LEN($G$6)&gt;4,10000,1)</f>
        <v>0</v>
      </c>
      <c r="D60" s="102">
        <f>ROUND(HLOOKUP($D$3,cf!$D$1:$AC$68,MATCH(A60,cf!$B$1:$B$68,),FALSE),0)/IF(LEN($G$6)&gt;4,10000,1)</f>
        <v>0</v>
      </c>
      <c r="E60" s="102">
        <f>ROUND(HLOOKUP($E$3,cf!$D$1:$AC$68,MATCH(A60,cf!$B$1:$B$68,),FALSE),0)/IF(LEN($G$6)&gt;4,10000,1)</f>
        <v>0</v>
      </c>
    </row>
    <row r="61" spans="1:5" ht="28.5">
      <c r="A61" s="103" t="s">
        <v>266</v>
      </c>
      <c r="B61" s="102">
        <f>ROUND(HLOOKUP($B$3,cf!$D$1:$AC$68,MATCH(A61,cf!$B$1:$B$68,),FALSE),0)/IF(LEN($G$6)&gt;4,10000,1)</f>
        <v>0</v>
      </c>
      <c r="C61" s="102">
        <f>ROUND(HLOOKUP($C$3,cf!$D$1:$AC$68,MATCH(A61,cf!$B$1:$B$68,),FALSE),0)/IF(LEN($G$6)&gt;4,10000,1)</f>
        <v>0</v>
      </c>
      <c r="D61" s="102">
        <f>ROUND(HLOOKUP($D$3,cf!$D$1:$AC$68,MATCH(A61,cf!$B$1:$B$68,),FALSE),0)/IF(LEN($G$6)&gt;4,10000,1)</f>
        <v>0</v>
      </c>
      <c r="E61" s="102">
        <f>ROUND(HLOOKUP($E$3,cf!$D$1:$AC$68,MATCH(A61,cf!$B$1:$B$68,),FALSE),0)/IF(LEN($G$6)&gt;4,10000,1)</f>
        <v>0</v>
      </c>
    </row>
    <row r="62" spans="1:5" ht="14.25">
      <c r="A62" s="101" t="s">
        <v>276</v>
      </c>
      <c r="B62" s="102">
        <f>ROUND(HLOOKUP($B$3,cf!$D$1:$AC$68,MATCH(A62,cf!$B$1:$B$68,),FALSE),0)/IF(LEN($G$6)&gt;4,10000,1)</f>
        <v>0</v>
      </c>
      <c r="C62" s="102">
        <f>ROUND(HLOOKUP($C$3,cf!$D$1:$AC$68,MATCH(A62,cf!$B$1:$B$68,),FALSE),0)/IF(LEN($G$6)&gt;4,10000,1)</f>
        <v>0</v>
      </c>
      <c r="D62" s="102">
        <f>ROUND(HLOOKUP($D$3,cf!$D$1:$AC$68,MATCH(A62,cf!$B$1:$B$68,),FALSE),0)/IF(LEN($G$6)&gt;4,10000,1)</f>
        <v>0</v>
      </c>
      <c r="E62" s="102">
        <f>ROUND(HLOOKUP($E$3,cf!$D$1:$AC$68,MATCH(A62,cf!$B$1:$B$68,),FALSE),0)/IF(LEN($G$6)&gt;4,10000,1)</f>
        <v>0</v>
      </c>
    </row>
    <row r="63" spans="1:5" ht="14.25">
      <c r="A63" s="101" t="s">
        <v>284</v>
      </c>
      <c r="B63" s="102">
        <f>ROUND(HLOOKUP($B$3,cf!$D$1:$AC$68,MATCH(A63,cf!$B$1:$B$68,),FALSE),0)/IF(LEN($G$6)&gt;4,10000,1)</f>
        <v>0</v>
      </c>
      <c r="C63" s="102">
        <f>ROUND(HLOOKUP($C$3,cf!$D$1:$AC$68,MATCH(A63,cf!$B$1:$B$68,),FALSE),0)/IF(LEN($G$6)&gt;4,10000,1)</f>
        <v>0</v>
      </c>
      <c r="D63" s="102">
        <f>ROUND(HLOOKUP($D$3,cf!$D$1:$AC$68,MATCH(A63,cf!$B$1:$B$68,),FALSE),0)/IF(LEN($G$6)&gt;4,10000,1)</f>
        <v>0</v>
      </c>
      <c r="E63" s="102">
        <f>ROUND(HLOOKUP($E$3,cf!$D$1:$AC$68,MATCH(A63,cf!$B$1:$B$68,),FALSE),0)/IF(LEN($G$6)&gt;4,10000,1)</f>
        <v>0</v>
      </c>
    </row>
    <row r="64" spans="1:5" ht="28.5">
      <c r="A64" s="103" t="s">
        <v>286</v>
      </c>
      <c r="B64" s="102">
        <f>ROUND(HLOOKUP($B$3,cf!$D$1:$AC$68,MATCH(A64,cf!$B$1:$B$68,),FALSE),0)/IF(LEN($G$6)&gt;4,10000,1)</f>
        <v>0</v>
      </c>
      <c r="C64" s="102">
        <f>ROUND(HLOOKUP($C$3,cf!$D$1:$AC$68,MATCH(A64,cf!$B$1:$B$68,),FALSE),0)/IF(LEN($G$6)&gt;4,10000,1)</f>
        <v>0</v>
      </c>
      <c r="D64" s="102">
        <f>ROUND(HLOOKUP($D$3,cf!$D$1:$AC$68,MATCH(A64,cf!$B$1:$B$68,),FALSE),0)/IF(LEN($G$6)&gt;4,10000,1)</f>
        <v>0</v>
      </c>
      <c r="E64" s="102">
        <f>ROUND(HLOOKUP($E$3,cf!$D$1:$AC$68,MATCH(A64,cf!$B$1:$B$68,),FALSE),0)/IF(LEN($G$6)&gt;4,10000,1)</f>
        <v>0</v>
      </c>
    </row>
    <row r="65" spans="1:7" ht="28.5">
      <c r="A65" s="103" t="s">
        <v>305</v>
      </c>
      <c r="B65" s="102">
        <f>ROUND(HLOOKUP(B$3,cf!$D$1:$AC$68,MATCH(CONCATENATE("五、",$A$65),cf!$B$1:$B$68,),FALSE),0)/IF(LEN($G$6)&gt;4,10000,1)</f>
        <v>0</v>
      </c>
      <c r="C65" s="102">
        <f>ROUND(HLOOKUP(C$3,cf!$D$1:$AC$68,MATCH(CONCATENATE("五、",$A$65),cf!$B$1:$B$68,),FALSE),0)/IF(LEN($G$6)&gt;4,10000,1)</f>
        <v>0</v>
      </c>
      <c r="D65" s="102">
        <f>ROUND(HLOOKUP(D$3,cf!$D$1:$AC$68,MATCH(CONCATENATE("五、",$A$65),cf!$B$1:$B$68,),FALSE),0)/IF(LEN($G$6)&gt;4,10000,1)</f>
        <v>0</v>
      </c>
      <c r="E65" s="102">
        <f>ROUND(HLOOKUP(E$3,cf!$D$1:$AC$68,MATCH(CONCATENATE("五、",$A$65),cf!$B$1:$B$68,),FALSE),0)/IF(LEN($G$6)&gt;4,10000,1)</f>
        <v>0</v>
      </c>
    </row>
    <row r="66" spans="1:7" ht="44.25" customHeight="1">
      <c r="A66" s="103" t="s">
        <v>306</v>
      </c>
      <c r="B66" s="137"/>
      <c r="C66" s="137"/>
      <c r="D66" s="137"/>
      <c r="E66" s="137"/>
    </row>
    <row r="67" spans="1:7" ht="15.75" customHeight="1">
      <c r="A67" s="134" t="s">
        <v>307</v>
      </c>
      <c r="B67" s="134"/>
      <c r="C67" s="134"/>
      <c r="D67" s="134"/>
      <c r="E67" s="134"/>
    </row>
    <row r="68" spans="1:7" ht="14.25">
      <c r="A68" s="104" t="s">
        <v>308</v>
      </c>
      <c r="B68" s="105" t="e">
        <f>B12/B27</f>
        <v>#DIV/0!</v>
      </c>
      <c r="C68" s="105" t="e">
        <f>C12/C27</f>
        <v>#DIV/0!</v>
      </c>
      <c r="D68" s="105" t="e">
        <f>D12/D27</f>
        <v>#DIV/0!</v>
      </c>
      <c r="E68" s="105" t="e">
        <f>E12/E27</f>
        <v>#DIV/0!</v>
      </c>
      <c r="G68" t="e">
        <f>CONCATENATE("从短期偿债能力指标看，近三年及一期，拟承租人",A68,"分别为",ROUND(E68,2),"、",ROUND(D68,2),"、",ROUND(C68,2),"和",ROUND(B68,2),"。")</f>
        <v>#DIV/0!</v>
      </c>
    </row>
    <row r="69" spans="1:7" ht="14.25">
      <c r="A69" s="104" t="s">
        <v>309</v>
      </c>
      <c r="B69" s="102" t="e">
        <f>(B12-B11)/B27</f>
        <v>#DIV/0!</v>
      </c>
      <c r="C69" s="102" t="e">
        <f>(C12-C11)/C27</f>
        <v>#DIV/0!</v>
      </c>
      <c r="D69" s="102" t="e">
        <f>(D12-D11)/D27</f>
        <v>#DIV/0!</v>
      </c>
      <c r="E69" s="102" t="e">
        <f>(E12-E11)/E27</f>
        <v>#DIV/0!</v>
      </c>
      <c r="G69" t="e">
        <f>CONCATENATE("从短期偿债能力指标看，近三年及一期，拟承租人",A69,"分别为",ROUND(E69,2),"、",ROUND(D69,2),"、",ROUND(C69,2),"和",ROUND(B69,2),"。")</f>
        <v>#DIV/0!</v>
      </c>
    </row>
    <row r="70" spans="1:7" ht="14.25">
      <c r="A70" s="104" t="s">
        <v>310</v>
      </c>
      <c r="B70" s="106" t="e">
        <f>B34/B21</f>
        <v>#DIV/0!</v>
      </c>
      <c r="C70" s="106" t="e">
        <f>C34/C21</f>
        <v>#DIV/0!</v>
      </c>
      <c r="D70" s="106" t="e">
        <f>D34/D21</f>
        <v>#DIV/0!</v>
      </c>
      <c r="E70" s="106" t="e">
        <f>E34/E21</f>
        <v>#DIV/0!</v>
      </c>
      <c r="G70" t="e">
        <f>CONCATENATE("近三年及一期，拟承租人",A70,"分别为",TEXT(E70,"0.00%"),"、",TEXT(D70,"0.00%"),"、",TEXT(C70,"0.00%"),"和",TEXT(B70,"0.00%"),"。")</f>
        <v>#DIV/0!</v>
      </c>
    </row>
    <row r="71" spans="1:7" ht="14.25">
      <c r="A71" s="104" t="s">
        <v>311</v>
      </c>
      <c r="B71" s="107"/>
      <c r="C71" s="107"/>
      <c r="D71" s="107"/>
      <c r="E71" s="107"/>
      <c r="G71" t="str">
        <f>CONCATENATE("近三年及一期，拟承租人",A71,"分别为",TEXT(E71,"0.00%"),"、",TEXT(D71,"0.00%"),"、",TEXT(C71,"0.00%"),"和",TEXT(B71,"0.00%"),"。")</f>
        <v>近三年及一期，拟承租人调整后的资产负债率（%）分别为0.00%、0.00%、0.00%和0.00%。</v>
      </c>
    </row>
    <row r="72" spans="1:7" ht="14.25">
      <c r="A72" s="104" t="s">
        <v>312</v>
      </c>
      <c r="B72" s="106" t="e">
        <f>B27/B34</f>
        <v>#DIV/0!</v>
      </c>
      <c r="C72" s="106" t="e">
        <f>C27/C34</f>
        <v>#DIV/0!</v>
      </c>
      <c r="D72" s="106" t="e">
        <f>D27/D34</f>
        <v>#DIV/0!</v>
      </c>
      <c r="E72" s="106" t="e">
        <f>E27/E34</f>
        <v>#DIV/0!</v>
      </c>
      <c r="G72" t="e">
        <f>CONCATENATE("近三年及一期，拟承租人",A72,"分别为",TEXT(E72,"0.00%"),"、",TEXT(D72,"0.00%"),"、",TEXT(C72,"0.00%"),"和",TEXT(B72,"0.00%"),"。")</f>
        <v>#DIV/0!</v>
      </c>
    </row>
    <row r="73" spans="1:7" ht="15.75" customHeight="1">
      <c r="A73" s="134" t="s">
        <v>313</v>
      </c>
      <c r="B73" s="134"/>
      <c r="C73" s="134"/>
      <c r="D73" s="134"/>
      <c r="E73" s="134"/>
    </row>
    <row r="74" spans="1:7" ht="14.25">
      <c r="A74" s="104" t="s">
        <v>314</v>
      </c>
      <c r="B74" s="108" t="e">
        <f>0+(B43/(B11+C11)*2)</f>
        <v>#N/A</v>
      </c>
      <c r="C74" s="108" t="e">
        <f>C43/(C11+D11)*2</f>
        <v>#DIV/0!</v>
      </c>
      <c r="D74" s="108" t="e">
        <f>0+(D43/(D11+E11)*2)</f>
        <v>#DIV/0!</v>
      </c>
      <c r="E74" s="108" t="e">
        <f>E43/E11</f>
        <v>#DIV/0!</v>
      </c>
    </row>
    <row r="75" spans="1:7" ht="14.25">
      <c r="A75" s="104" t="s">
        <v>315</v>
      </c>
      <c r="B75" s="102" t="e">
        <f>0+(B42/(B21+C21)*2)</f>
        <v>#N/A</v>
      </c>
      <c r="C75" s="102" t="e">
        <f>C42/(C21+D21)*2</f>
        <v>#DIV/0!</v>
      </c>
      <c r="D75" s="102" t="e">
        <f>D42/(D21+E21)*2</f>
        <v>#DIV/0!</v>
      </c>
      <c r="E75" s="102" t="e">
        <f>E42/E21</f>
        <v>#DIV/0!</v>
      </c>
    </row>
    <row r="76" spans="1:7" ht="14.25">
      <c r="A76" s="104" t="s">
        <v>316</v>
      </c>
      <c r="B76" s="102" t="e">
        <f>0+(B42/(B8+C8)*2)</f>
        <v>#N/A</v>
      </c>
      <c r="C76" s="102" t="e">
        <f>C42/(C8+D8)*2</f>
        <v>#DIV/0!</v>
      </c>
      <c r="D76" s="102" t="e">
        <f>D42/(D8+E8)*2</f>
        <v>#DIV/0!</v>
      </c>
      <c r="E76" s="102" t="e">
        <f>E42/E8</f>
        <v>#DIV/0!</v>
      </c>
    </row>
    <row r="77" spans="1:7" ht="14.25">
      <c r="A77" s="104" t="s">
        <v>317</v>
      </c>
      <c r="B77" s="106" t="e">
        <f>0+(B43/B42)</f>
        <v>#N/A</v>
      </c>
      <c r="C77" s="106" t="e">
        <f>C43/C42</f>
        <v>#DIV/0!</v>
      </c>
      <c r="D77" s="106" t="e">
        <f>D43/D42</f>
        <v>#DIV/0!</v>
      </c>
      <c r="E77" s="106" t="e">
        <f>E43/E42</f>
        <v>#DIV/0!</v>
      </c>
    </row>
    <row r="78" spans="1:7" ht="14.25">
      <c r="A78" s="104" t="s">
        <v>318</v>
      </c>
      <c r="B78" s="106" t="e">
        <f>0+(B45/B42)</f>
        <v>#N/A</v>
      </c>
      <c r="C78" s="106" t="e">
        <f>C45/C42</f>
        <v>#DIV/0!</v>
      </c>
      <c r="D78" s="106" t="e">
        <f>D45/D42</f>
        <v>#DIV/0!</v>
      </c>
      <c r="E78" s="106" t="e">
        <f>E45/E42</f>
        <v>#DIV/0!</v>
      </c>
    </row>
    <row r="79" spans="1:7" ht="14.25">
      <c r="A79" s="104" t="s">
        <v>319</v>
      </c>
      <c r="B79" s="106" t="e">
        <f>0+(B46/B42)</f>
        <v>#N/A</v>
      </c>
      <c r="C79" s="106" t="e">
        <f>C46/C42</f>
        <v>#DIV/0!</v>
      </c>
      <c r="D79" s="106" t="e">
        <f>D46/D42</f>
        <v>#DIV/0!</v>
      </c>
      <c r="E79" s="106" t="e">
        <f>E46/E42</f>
        <v>#DIV/0!</v>
      </c>
    </row>
    <row r="80" spans="1:7" ht="14.25">
      <c r="A80" s="104" t="s">
        <v>320</v>
      </c>
      <c r="B80" s="106" t="e">
        <f>0+(B47/B42)</f>
        <v>#N/A</v>
      </c>
      <c r="C80" s="106" t="e">
        <f>C47/C42</f>
        <v>#DIV/0!</v>
      </c>
      <c r="D80" s="106" t="e">
        <f>D47/D42</f>
        <v>#DIV/0!</v>
      </c>
      <c r="E80" s="106" t="e">
        <f>E47/E42</f>
        <v>#DIV/0!</v>
      </c>
    </row>
    <row r="81" spans="1:7" ht="15.75" customHeight="1">
      <c r="A81" s="134" t="s">
        <v>321</v>
      </c>
      <c r="B81" s="134"/>
      <c r="C81" s="134"/>
      <c r="D81" s="134"/>
      <c r="E81" s="134"/>
    </row>
    <row r="82" spans="1:7" ht="14.25">
      <c r="A82" s="104" t="s">
        <v>322</v>
      </c>
      <c r="B82" s="106" t="e">
        <f>B52/B42</f>
        <v>#N/A</v>
      </c>
      <c r="C82" s="106" t="e">
        <f>C52/C42</f>
        <v>#DIV/0!</v>
      </c>
      <c r="D82" s="106" t="e">
        <f>D52/D42</f>
        <v>#DIV/0!</v>
      </c>
      <c r="E82" s="106" t="e">
        <f>E52/E42</f>
        <v>#DIV/0!</v>
      </c>
    </row>
    <row r="83" spans="1:7" ht="14.25">
      <c r="A83" s="104" t="s">
        <v>323</v>
      </c>
      <c r="B83" s="106" t="e">
        <f>(B42-B43)/B42</f>
        <v>#N/A</v>
      </c>
      <c r="C83" s="106" t="e">
        <f>(C42-C43)/C42</f>
        <v>#DIV/0!</v>
      </c>
      <c r="D83" s="106" t="e">
        <f>(D42-D43)/D42</f>
        <v>#DIV/0!</v>
      </c>
      <c r="E83" s="106" t="e">
        <f>(E42-E43)/E42</f>
        <v>#DIV/0!</v>
      </c>
      <c r="G83" s="15" t="e">
        <f>CONCATENATE("近三年及一期，拟承租人营业毛利率分别为",TEXT(E83,"0.00%"),"、",TEXT(D83,"0.00%"),"、",TEXT(C83,"0.00%"),"及",TEXT(B83,"0.00%"),"。")</f>
        <v>#DIV/0!</v>
      </c>
    </row>
    <row r="84" spans="1:7" ht="14.25">
      <c r="A84" s="104" t="s">
        <v>324</v>
      </c>
      <c r="B84" s="106" t="e">
        <f>B49/(B21+C21)*2</f>
        <v>#N/A</v>
      </c>
      <c r="C84" s="106" t="e">
        <f>C49/(C21+D21)*2</f>
        <v>#DIV/0!</v>
      </c>
      <c r="D84" s="106" t="e">
        <f>D49/(D21+E21)*2</f>
        <v>#DIV/0!</v>
      </c>
      <c r="E84" s="106" t="e">
        <f>E49/E21</f>
        <v>#DIV/0!</v>
      </c>
    </row>
    <row r="85" spans="1:7" ht="14.25">
      <c r="A85" s="104" t="s">
        <v>325</v>
      </c>
      <c r="B85" s="106" t="e">
        <f>B52/(B21+C21)*2</f>
        <v>#N/A</v>
      </c>
      <c r="C85" s="106" t="e">
        <f>C52/(C21+D21)*2</f>
        <v>#DIV/0!</v>
      </c>
      <c r="D85" s="106" t="e">
        <f>D52/(D21+E21)*2</f>
        <v>#DIV/0!</v>
      </c>
      <c r="E85" s="106" t="e">
        <f>E52/E21</f>
        <v>#DIV/0!</v>
      </c>
    </row>
    <row r="86" spans="1:7" ht="14.25">
      <c r="A86" s="104" t="s">
        <v>326</v>
      </c>
      <c r="B86" s="106" t="e">
        <f>B52/(B40+C40)*2</f>
        <v>#N/A</v>
      </c>
      <c r="C86" s="106" t="e">
        <f>C52/(C40+D40)*2</f>
        <v>#DIV/0!</v>
      </c>
      <c r="D86" s="106" t="e">
        <f>D52/(D40+E40)*2</f>
        <v>#DIV/0!</v>
      </c>
      <c r="E86" s="106" t="e">
        <f>E52/E40</f>
        <v>#DIV/0!</v>
      </c>
    </row>
    <row r="87" spans="1:7" ht="15.75" customHeight="1">
      <c r="A87" s="134" t="s">
        <v>327</v>
      </c>
      <c r="B87" s="134"/>
      <c r="C87" s="134"/>
      <c r="D87" s="134"/>
      <c r="E87" s="134"/>
    </row>
    <row r="88" spans="1:7" ht="14.25">
      <c r="A88" s="104" t="s">
        <v>328</v>
      </c>
      <c r="B88" s="106" t="e">
        <f>B40/B21</f>
        <v>#DIV/0!</v>
      </c>
      <c r="C88" s="106" t="e">
        <f>C40/C21</f>
        <v>#DIV/0!</v>
      </c>
      <c r="D88" s="106" t="e">
        <f>D40/D21</f>
        <v>#DIV/0!</v>
      </c>
      <c r="E88" s="106" t="e">
        <f>E40/E21</f>
        <v>#DIV/0!</v>
      </c>
    </row>
    <row r="89" spans="1:7" ht="14.25">
      <c r="A89" s="104" t="s">
        <v>329</v>
      </c>
      <c r="B89" s="106" t="e">
        <f>B33/B21</f>
        <v>#DIV/0!</v>
      </c>
      <c r="C89" s="106" t="e">
        <f>C33/C21</f>
        <v>#DIV/0!</v>
      </c>
      <c r="D89" s="106" t="e">
        <f>D33/D21</f>
        <v>#DIV/0!</v>
      </c>
      <c r="E89" s="106" t="e">
        <f>E33/E21</f>
        <v>#DIV/0!</v>
      </c>
    </row>
    <row r="90" spans="1:7" ht="15.75" customHeight="1">
      <c r="A90" s="134" t="s">
        <v>330</v>
      </c>
      <c r="B90" s="134"/>
      <c r="C90" s="134"/>
      <c r="D90" s="134"/>
      <c r="E90" s="134"/>
    </row>
    <row r="91" spans="1:7" ht="28.5">
      <c r="A91" s="109" t="s">
        <v>331</v>
      </c>
      <c r="B91" s="102" t="e">
        <f>B55/B42</f>
        <v>#N/A</v>
      </c>
      <c r="C91" s="102" t="e">
        <f>C55/C42</f>
        <v>#DIV/0!</v>
      </c>
      <c r="D91" s="102" t="e">
        <f>D55/D42</f>
        <v>#DIV/0!</v>
      </c>
      <c r="E91" s="102" t="e">
        <f>E55/E42</f>
        <v>#DIV/0!</v>
      </c>
    </row>
    <row r="92" spans="1:7" ht="28.5">
      <c r="A92" s="109" t="s">
        <v>332</v>
      </c>
      <c r="B92" s="102" t="e">
        <f>B58/B50</f>
        <v>#N/A</v>
      </c>
      <c r="C92" s="102" t="e">
        <f>C58/C50</f>
        <v>#DIV/0!</v>
      </c>
      <c r="D92" s="102" t="e">
        <f>D58/D50</f>
        <v>#DIV/0!</v>
      </c>
      <c r="E92" s="102" t="e">
        <f>E58/E50</f>
        <v>#DIV/0!</v>
      </c>
    </row>
    <row r="93" spans="1:7" ht="28.5">
      <c r="A93" s="109" t="s">
        <v>333</v>
      </c>
      <c r="B93" s="102" t="e">
        <f>B65/B50</f>
        <v>#N/A</v>
      </c>
      <c r="C93" s="102" t="e">
        <f>C65/C50</f>
        <v>#DIV/0!</v>
      </c>
      <c r="D93" s="102" t="e">
        <f>D65/D50</f>
        <v>#DIV/0!</v>
      </c>
      <c r="E93" s="102" t="e">
        <f>E65/E50</f>
        <v>#DIV/0!</v>
      </c>
    </row>
  </sheetData>
  <mergeCells count="13">
    <mergeCell ref="A1:E1"/>
    <mergeCell ref="A2:E2"/>
    <mergeCell ref="A5:E5"/>
    <mergeCell ref="A41:E41"/>
    <mergeCell ref="B53:E53"/>
    <mergeCell ref="A87:E87"/>
    <mergeCell ref="A90:E90"/>
    <mergeCell ref="A3:A4"/>
    <mergeCell ref="A54:E54"/>
    <mergeCell ref="B66:E66"/>
    <mergeCell ref="A67:E67"/>
    <mergeCell ref="A73:E73"/>
    <mergeCell ref="A81:E81"/>
  </mergeCells>
  <phoneticPr fontId="39" type="noConversion"/>
  <dataValidations count="1">
    <dataValidation type="list" allowBlank="1" showInputMessage="1" showErrorMessage="1" sqref="G6" xr:uid="{00000000-0002-0000-0300-000000000000}">
      <formula1>"单位：元,单位：万元"</formula1>
    </dataValidation>
  </dataValidations>
  <pageMargins left="0.75" right="0.75" top="1" bottom="1" header="0.5" footer="0.5"/>
  <pageSetup paperSize="9" scale="67" fitToHeight="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G75"/>
  <sheetViews>
    <sheetView workbookViewId="0">
      <pane xSplit="1" ySplit="1" topLeftCell="B2" activePane="bottomRight" state="frozen"/>
      <selection pane="topRight"/>
      <selection pane="bottomLeft"/>
      <selection pane="bottomRight" activeCell="A44" sqref="A44"/>
    </sheetView>
  </sheetViews>
  <sheetFormatPr defaultColWidth="10.28515625" defaultRowHeight="14.25"/>
  <cols>
    <col min="1" max="1" width="20.7109375" style="84" customWidth="1"/>
    <col min="2" max="5" width="13.5703125" style="85" customWidth="1"/>
    <col min="6" max="16384" width="10.28515625" style="84"/>
  </cols>
  <sheetData>
    <row r="1" spans="1:7">
      <c r="A1" s="86" t="s">
        <v>334</v>
      </c>
      <c r="B1" s="87">
        <v>43465</v>
      </c>
      <c r="C1" s="87">
        <f>DATE(YEAR(B1)+1,MONTH(B1),DAY(B1))</f>
        <v>43830</v>
      </c>
      <c r="D1" s="88">
        <f>DATE(YEAR(B1)+2,MONTH(B1),DAY(B1))</f>
        <v>44196</v>
      </c>
      <c r="E1" s="88">
        <f>bs!H1</f>
        <v>44530</v>
      </c>
    </row>
    <row r="2" spans="1:7">
      <c r="A2" s="89" t="s">
        <v>335</v>
      </c>
      <c r="B2" s="90">
        <f>ROUND(HLOOKUP(B1,bs!$D$1:$AE$68,ROW(bs!D7),FALSE),0)/IF(LEN($G$6)&gt;4,10000,1)</f>
        <v>0</v>
      </c>
      <c r="C2" s="90" t="e">
        <f>ROUND(HLOOKUP(C1,bs!$D$1:$AE$68,ROW(bs!E7),FALSE),0)/IF(LEN($G$6)&gt;4,10000,1)</f>
        <v>#N/A</v>
      </c>
      <c r="D2" s="90">
        <f>ROUND(HLOOKUP(D1,bs!$D$1:$AE$68,ROW(bs!F7),FALSE),0)/IF(LEN($G$6)&gt;4,10000,1)</f>
        <v>0</v>
      </c>
      <c r="E2" s="90">
        <f>ROUND(HLOOKUP(E1,bs!$D$1:$AE$68,ROW(bs!G7),FALSE),0)/IF(LEN($G$6)&gt;4,10000,1)</f>
        <v>0</v>
      </c>
    </row>
    <row r="3" spans="1:7">
      <c r="A3" s="89" t="s">
        <v>336</v>
      </c>
      <c r="B3" s="90">
        <f>ROUND(HLOOKUP(B1,bs!$D$1:$AE$68,ROW(bs!D5),FALSE),0)/IF(LEN($G$6)&gt;4,10000,1)</f>
        <v>0</v>
      </c>
      <c r="C3" s="90" t="e">
        <f>ROUND(HLOOKUP(C1,bs!$D$1:$AE$68,ROW(bs!E5),FALSE),0)/IF(LEN($G$6)&gt;4,10000,1)</f>
        <v>#N/A</v>
      </c>
      <c r="D3" s="90">
        <f>ROUND(HLOOKUP(D1,bs!$D$1:$AE$68,ROW(bs!F5),FALSE),0)/IF(LEN($G$6)&gt;4,10000,1)</f>
        <v>0</v>
      </c>
      <c r="E3" s="90">
        <f>ROUND(HLOOKUP(E1,bs!$D$1:$AE$68,ROW(bs!G5),FALSE),0)/IF(LEN($G$6)&gt;4,10000,1)</f>
        <v>0</v>
      </c>
    </row>
    <row r="4" spans="1:7">
      <c r="A4" s="89" t="s">
        <v>337</v>
      </c>
      <c r="B4" s="90">
        <f>ROUND(HLOOKUP(B1,bs!$D$1:$AE$68,ROW(bs!D13),FALSE),0)/IF(LEN($G$6)&gt;4,10000,1)</f>
        <v>0</v>
      </c>
      <c r="C4" s="90" t="e">
        <f>ROUND(HLOOKUP(C1,bs!$D$1:$AE$68,ROW(bs!E13),FALSE),0)/IF(LEN($G$6)&gt;4,10000,1)</f>
        <v>#N/A</v>
      </c>
      <c r="D4" s="90">
        <f>ROUND(HLOOKUP(D1,bs!$D$1:$AE$68,ROW(bs!F13),FALSE),0)/IF(LEN($G$6)&gt;4,10000,1)</f>
        <v>0</v>
      </c>
      <c r="E4" s="90">
        <f>ROUND(HLOOKUP(E1,bs!$D$1:$AE$68,ROW(bs!G13),FALSE),0)/IF(LEN($G$6)&gt;4,10000,1)</f>
        <v>0</v>
      </c>
    </row>
    <row r="5" spans="1:7">
      <c r="A5" s="89" t="s">
        <v>37</v>
      </c>
      <c r="B5" s="90">
        <f>ROUND(HLOOKUP(B1,bs!$D$1:$AE$68,ROW(bs!D22),FALSE),0)/IF(LEN($G$6)&gt;4,10000,1)</f>
        <v>0</v>
      </c>
      <c r="C5" s="90" t="e">
        <f>ROUND(HLOOKUP(C1,bs!$D$1:$AE$68,ROW(bs!E22),FALSE),0)/IF(LEN($G$6)&gt;4,10000,1)</f>
        <v>#N/A</v>
      </c>
      <c r="D5" s="90">
        <f>ROUND(HLOOKUP(D1,bs!$D$1:$AE$68,ROW(bs!F22),FALSE),0)/IF(LEN($G$6)&gt;4,10000,1)</f>
        <v>0</v>
      </c>
      <c r="E5" s="90">
        <f>ROUND(HLOOKUP(E1,bs!$D$1:$AE$68,ROW(bs!G22),FALSE),0)/IF(LEN($G$6)&gt;4,10000,1)</f>
        <v>0</v>
      </c>
    </row>
    <row r="6" spans="1:7">
      <c r="A6" s="89" t="s">
        <v>47</v>
      </c>
      <c r="B6" s="90">
        <f>ROUND(HLOOKUP(B1,bs!$D$1:$AE$68,ROW(bs!D24),FALSE),0)/IF(LEN($G$6)&gt;4,10000,1)</f>
        <v>0</v>
      </c>
      <c r="C6" s="90" t="e">
        <f>ROUND(HLOOKUP(C1,bs!$D$1:$AE$68,ROW(bs!E24),FALSE),0)/IF(LEN($G$6)&gt;4,10000,1)</f>
        <v>#N/A</v>
      </c>
      <c r="D6" s="90">
        <f>ROUND(HLOOKUP(D1,bs!$D$1:$AE$68,ROW(bs!F24),FALSE),0)/IF(LEN($G$6)&gt;4,10000,1)</f>
        <v>0</v>
      </c>
      <c r="E6" s="90">
        <f>ROUND(HLOOKUP(E1,bs!$D$1:$AE$68,ROW(bs!G24),FALSE),0)/IF(LEN($G$6)&gt;4,10000,1)</f>
        <v>0</v>
      </c>
      <c r="G6" s="91" t="s">
        <v>300</v>
      </c>
    </row>
    <row r="7" spans="1:7">
      <c r="A7" s="89" t="s">
        <v>338</v>
      </c>
      <c r="B7" s="90">
        <f>ROUND(HLOOKUP(B1,bs!$D$1:$AE$68,ROW(bs!D35),FALSE),0)/IF(LEN($G$6)&gt;4,10000,1)</f>
        <v>0</v>
      </c>
      <c r="C7" s="90" t="e">
        <f>ROUND(HLOOKUP(C1,bs!$D$1:$AE$68,ROW(bs!E35),FALSE),0)/IF(LEN($G$6)&gt;4,10000,1)</f>
        <v>#N/A</v>
      </c>
      <c r="D7" s="90">
        <f>ROUND(HLOOKUP(D1,bs!$D$1:$AE$68,ROW(bs!F35),FALSE),0)/IF(LEN($G$6)&gt;4,10000,1)</f>
        <v>0</v>
      </c>
      <c r="E7" s="90">
        <f>ROUND(HLOOKUP(E1,bs!$D$1:$AE$68,ROW(bs!G35),FALSE),0)/IF(LEN($G$6)&gt;4,10000,1)</f>
        <v>0</v>
      </c>
    </row>
    <row r="8" spans="1:7">
      <c r="A8" s="89" t="s">
        <v>71</v>
      </c>
      <c r="B8" s="90">
        <f>ROUND(HLOOKUP(B1,bs!$D$1:$AE$68,ROW(bs!D36),FALSE),0)/IF(LEN($G$6)&gt;4,10000,1)</f>
        <v>0</v>
      </c>
      <c r="C8" s="90" t="e">
        <f>ROUND(HLOOKUP(C1,bs!$D$1:$AE$68,ROW(bs!E36),FALSE),0)/IF(LEN($G$6)&gt;4,10000,1)</f>
        <v>#N/A</v>
      </c>
      <c r="D8" s="90">
        <f>ROUND(HLOOKUP(D1,bs!$D$1:$AE$68,ROW(bs!F36),FALSE),0)/IF(LEN($G$6)&gt;4,10000,1)</f>
        <v>0</v>
      </c>
      <c r="E8" s="90">
        <f>ROUND(HLOOKUP(E1,bs!$D$1:$AE$68,ROW(bs!G36),FALSE),0)/IF(LEN($G$6)&gt;4,10000,1)</f>
        <v>0</v>
      </c>
    </row>
    <row r="9" spans="1:7">
      <c r="A9" s="89" t="s">
        <v>89</v>
      </c>
      <c r="B9" s="90">
        <f>ROUND(HLOOKUP(B1,bs!$D$1:$AE$68,ROW(bs!D45),FALSE),0)/IF(LEN($G$6)&gt;4,10000,1)</f>
        <v>0</v>
      </c>
      <c r="C9" s="90" t="e">
        <f>ROUND(HLOOKUP(C1,bs!$D$1:$AE$68,ROW(bs!E45),FALSE),0)/IF(LEN($G$6)&gt;4,10000,1)</f>
        <v>#N/A</v>
      </c>
      <c r="D9" s="90">
        <f>ROUND(HLOOKUP(D1,bs!$D$1:$AE$68,ROW(bs!F45),FALSE),0)/IF(LEN($G$6)&gt;4,10000,1)</f>
        <v>0</v>
      </c>
      <c r="E9" s="90">
        <f>ROUND(HLOOKUP(E1,bs!$D$1:$AE$68,ROW(bs!G45),FALSE),0)/IF(LEN($G$6)&gt;4,10000,1)</f>
        <v>0</v>
      </c>
    </row>
    <row r="10" spans="1:7">
      <c r="A10" s="89" t="s">
        <v>339</v>
      </c>
      <c r="B10" s="90">
        <f>ROUND(HLOOKUP(B1,bs!$D$1:$AE$68,ROW(bs!D48),FALSE),0)/IF(LEN($G$6)&gt;4,10000,1)</f>
        <v>0</v>
      </c>
      <c r="C10" s="90" t="e">
        <f>ROUND(HLOOKUP(C1,bs!$D$1:$AE$68,ROW(bs!E48),FALSE),0)/IF(LEN($G$6)&gt;4,10000,1)</f>
        <v>#N/A</v>
      </c>
      <c r="D10" s="90">
        <f>ROUND(HLOOKUP(D1,bs!$D$1:$AE$68,ROW(bs!F48),FALSE),0)/IF(LEN($G$6)&gt;4,10000,1)</f>
        <v>0</v>
      </c>
      <c r="E10" s="90">
        <f>ROUND(HLOOKUP(E1,bs!$D$1:$AE$68,ROW(bs!G48),FALSE),0)/IF(LEN($G$6)&gt;4,10000,1)</f>
        <v>0</v>
      </c>
    </row>
    <row r="11" spans="1:7">
      <c r="A11" s="89" t="s">
        <v>97</v>
      </c>
      <c r="B11" s="90">
        <f>ROUND(HLOOKUP(B1,bs!$D$1:$AE$68,ROW(bs!D49),FALSE),0)/IF(LEN($G$6)&gt;4,10000,1)</f>
        <v>0</v>
      </c>
      <c r="C11" s="90" t="e">
        <f>ROUND(HLOOKUP(C1,bs!$D$1:$AE$68,ROW(bs!E49),FALSE),0)/IF(LEN($G$6)&gt;4,10000,1)</f>
        <v>#N/A</v>
      </c>
      <c r="D11" s="90">
        <f>ROUND(HLOOKUP(D1,bs!$D$1:$AE$68,ROW(bs!F49),FALSE),0)/IF(LEN($G$6)&gt;4,10000,1)</f>
        <v>0</v>
      </c>
      <c r="E11" s="90">
        <f>ROUND(HLOOKUP(E1,bs!$D$1:$AE$68,ROW(bs!G49),FALSE),0)/IF(LEN($G$6)&gt;4,10000,1)</f>
        <v>0</v>
      </c>
    </row>
    <row r="12" spans="1:7">
      <c r="A12" s="89" t="s">
        <v>101</v>
      </c>
      <c r="B12" s="90">
        <f>ROUND(HLOOKUP(B1,bs!$D$1:$AE$68,ROW(bs!D51),FALSE),0)/IF(LEN($G$6)&gt;4,10000,1)</f>
        <v>0</v>
      </c>
      <c r="C12" s="90" t="e">
        <f>ROUND(HLOOKUP(C1,bs!$D$1:$AE$68,ROW(bs!E51),FALSE),0)/IF(LEN($G$6)&gt;4,10000,1)</f>
        <v>#N/A</v>
      </c>
      <c r="D12" s="90">
        <f>ROUND(HLOOKUP(D1,bs!$D$1:$AE$68,ROW(bs!F51),FALSE),0)/IF(LEN($G$6)&gt;4,10000,1)</f>
        <v>0</v>
      </c>
      <c r="E12" s="90">
        <f>ROUND(HLOOKUP(E1,bs!$D$1:$AE$68,ROW(bs!G51),FALSE),0)/IF(LEN($G$6)&gt;4,10000,1)</f>
        <v>0</v>
      </c>
    </row>
    <row r="13" spans="1:7">
      <c r="A13" s="89" t="s">
        <v>340</v>
      </c>
      <c r="B13" s="90">
        <f>ROUND(HLOOKUP(B1,bs!$D$1:$AE$68,ROW(bs!D56),FALSE),0)/IF(LEN($G$6)&gt;4,10000,1)</f>
        <v>0</v>
      </c>
      <c r="C13" s="90" t="e">
        <f>ROUND(HLOOKUP(C1,bs!$D$1:$AE$68,ROW(bs!E56),FALSE),0)/IF(LEN($G$6)&gt;4,10000,1)</f>
        <v>#N/A</v>
      </c>
      <c r="D13" s="90">
        <f>ROUND(HLOOKUP(D1,bs!$D$1:$AE$68,ROW(bs!F56),FALSE),0)/IF(LEN($G$6)&gt;4,10000,1)</f>
        <v>0</v>
      </c>
      <c r="E13" s="90">
        <f>ROUND(HLOOKUP(E1,bs!$D$1:$AE$68,ROW(bs!G56),FALSE),0)/IF(LEN($G$6)&gt;4,10000,1)</f>
        <v>0</v>
      </c>
    </row>
    <row r="14" spans="1:7">
      <c r="A14" s="89" t="s">
        <v>341</v>
      </c>
      <c r="B14" s="90">
        <f>ROUND(HLOOKUP(B1,bs!$D$1:$AE$68,ROW(bs!D57),FALSE),0)/IF(LEN($G$6)&gt;4,10000,1)</f>
        <v>0</v>
      </c>
      <c r="C14" s="90" t="e">
        <f>ROUND(HLOOKUP(C1,bs!$D$1:$AE$68,ROW(bs!E57),FALSE),0)/IF(LEN($G$6)&gt;4,10000,1)</f>
        <v>#N/A</v>
      </c>
      <c r="D14" s="90">
        <f>ROUND(HLOOKUP(D1,bs!$D$1:$AE$68,ROW(bs!F57),FALSE),0)/IF(LEN($G$6)&gt;4,10000,1)</f>
        <v>0</v>
      </c>
      <c r="E14" s="90">
        <f>ROUND(HLOOKUP(E1,bs!$D$1:$AE$68,ROW(bs!G57),FALSE),0)/IF(LEN($G$6)&gt;4,10000,1)</f>
        <v>0</v>
      </c>
    </row>
    <row r="15" spans="1:7">
      <c r="A15" s="89" t="s">
        <v>342</v>
      </c>
      <c r="B15" s="90">
        <f>ROUND(HLOOKUP(B1,bs!$D$1:$AE$68,ROW(bs!D67),FALSE),0)/IF(LEN($G$6)&gt;4,10000,1)</f>
        <v>0</v>
      </c>
      <c r="C15" s="90" t="e">
        <f>ROUND(HLOOKUP(C1,bs!$D$1:$AE$68,ROW(bs!E67),FALSE),0)/IF(LEN($G$6)&gt;4,10000,1)</f>
        <v>#N/A</v>
      </c>
      <c r="D15" s="90">
        <f>ROUND(HLOOKUP(D1,bs!$D$1:$AE$68,ROW(bs!F67),FALSE),0)/IF(LEN($G$6)&gt;4,10000,1)</f>
        <v>0</v>
      </c>
      <c r="E15" s="90">
        <f>ROUND(HLOOKUP(E1,bs!$D$1:$AE$68,ROW(bs!G67),FALSE),0)/IF(LEN($G$6)&gt;4,10000,1)</f>
        <v>0</v>
      </c>
    </row>
    <row r="16" spans="1:7">
      <c r="A16" s="89" t="s">
        <v>139</v>
      </c>
      <c r="B16" s="90">
        <f>ROUND(HLOOKUP(B1,pl!$D$1:$CL$43,ROW(pl!D2),FALSE),0)/IF(LEN($G$6)&gt;4,10000,1)</f>
        <v>0</v>
      </c>
      <c r="C16" s="90" t="e">
        <f>ROUND(HLOOKUP(C1,pl!$D$1:$CL$43,ROW(pl!E2),FALSE),0)/IF(LEN($G$6)&gt;4,10000,1)</f>
        <v>#N/A</v>
      </c>
      <c r="D16" s="90">
        <f>ROUND(HLOOKUP(D1,pl!$D$1:$CL$43,ROW(pl!F2),FALSE),0)/IF(LEN($G$6)&gt;4,10000,1)</f>
        <v>0</v>
      </c>
      <c r="E16" s="90">
        <f>ROUND(HLOOKUP(E1,pl!$D$1:$CL$43,ROW(pl!G2),FALSE),0)/IF(LEN($G$6)&gt;4,10000,1)</f>
        <v>0</v>
      </c>
    </row>
    <row r="17" spans="1:7">
      <c r="A17" s="89" t="s">
        <v>145</v>
      </c>
      <c r="B17" s="90">
        <f>ROUND(HLOOKUP(B1,pl!$D$1:$CL$43,ROW(pl!D5),FALSE),0)/IF(LEN($G$6)&gt;4,10000,1)</f>
        <v>0</v>
      </c>
      <c r="C17" s="90" t="e">
        <f>ROUND(HLOOKUP(C1,pl!$D$1:$CL$43,ROW(pl!E5),FALSE),0)/IF(LEN($G$6)&gt;4,10000,1)</f>
        <v>#N/A</v>
      </c>
      <c r="D17" s="90">
        <f>ROUND(HLOOKUP(D1,pl!$D$1:$CL$43,ROW(pl!F5),FALSE),0)/IF(LEN($G$6)&gt;4,10000,1)</f>
        <v>0</v>
      </c>
      <c r="E17" s="90">
        <f>ROUND(HLOOKUP(E1,pl!$D$1:$CL$43,ROW(pl!G5),FALSE),0)/IF(LEN($G$6)&gt;4,10000,1)</f>
        <v>0</v>
      </c>
    </row>
    <row r="18" spans="1:7">
      <c r="A18" s="89" t="s">
        <v>343</v>
      </c>
      <c r="B18" s="90">
        <f>ROUND(HLOOKUP(B1,pl!$D$1:$CL$43,ROW(pl!D9),FALSE),0)/IF(LEN($G$6)&gt;4,10000,1)</f>
        <v>0</v>
      </c>
      <c r="C18" s="90" t="e">
        <f>ROUND(HLOOKUP(C1,pl!$D$1:$CL$43,ROW(pl!E9),FALSE),0)/IF(LEN($G$6)&gt;4,10000,1)</f>
        <v>#N/A</v>
      </c>
      <c r="D18" s="90">
        <f>ROUND(HLOOKUP(D1,pl!$D$1:$CL$43,ROW(pl!F9),FALSE),0)/IF(LEN($G$6)&gt;4,10000,1)</f>
        <v>0</v>
      </c>
      <c r="E18" s="90">
        <f>ROUND(HLOOKUP(E1,pl!$D$1:$CL$43,ROW(pl!G9),FALSE),0)/IF(LEN($G$6)&gt;4,10000,1)</f>
        <v>0</v>
      </c>
    </row>
    <row r="19" spans="1:7">
      <c r="A19" s="89" t="s">
        <v>153</v>
      </c>
      <c r="B19" s="90">
        <f>ROUND(HLOOKUP(B1,pl!$D$1:$CL$43,ROW(pl!D10),FALSE),0)/IF(LEN($G$6)&gt;4,10000,1)</f>
        <v>0</v>
      </c>
      <c r="C19" s="90" t="e">
        <f>ROUND(HLOOKUP(C1,pl!$D$1:$CL$43,ROW(pl!E10),FALSE),0)/IF(LEN($G$6)&gt;4,10000,1)</f>
        <v>#N/A</v>
      </c>
      <c r="D19" s="90">
        <f>ROUND(HLOOKUP(D1,pl!$D$1:$CL$43,ROW(pl!F10),FALSE),0)/IF(LEN($G$6)&gt;4,10000,1)</f>
        <v>0</v>
      </c>
      <c r="E19" s="90">
        <f>ROUND(HLOOKUP(E1,pl!$D$1:$CL$43,ROW(pl!G10),FALSE),0)/IF(LEN($G$6)&gt;4,10000,1)</f>
        <v>0</v>
      </c>
    </row>
    <row r="20" spans="1:7">
      <c r="A20" s="89" t="s">
        <v>155</v>
      </c>
      <c r="B20" s="90">
        <f>ROUND(HLOOKUP(B1,pl!$D$1:$CL$43,ROW(pl!D11),FALSE),0)/IF(LEN($G$6)&gt;4,10000,1)</f>
        <v>0</v>
      </c>
      <c r="C20" s="90" t="e">
        <f>ROUND(HLOOKUP(C1,pl!$D$1:$CL$43,ROW(pl!E11),FALSE),0)/IF(LEN($G$6)&gt;4,10000,1)</f>
        <v>#N/A</v>
      </c>
      <c r="D20" s="90">
        <f>ROUND(HLOOKUP(D1,pl!$D$1:$CL$43,ROW(pl!F11),FALSE),0)/IF(LEN($G$6)&gt;4,10000,1)</f>
        <v>0</v>
      </c>
      <c r="E20" s="90">
        <f>ROUND(HLOOKUP(E1,pl!$D$1:$CL$43,ROW(pl!G11),FALSE),0)/IF(LEN($G$6)&gt;4,10000,1)</f>
        <v>0</v>
      </c>
      <c r="F20" s="92"/>
      <c r="G20" s="92"/>
    </row>
    <row r="21" spans="1:7">
      <c r="A21" s="89" t="s">
        <v>163</v>
      </c>
      <c r="B21" s="90">
        <f>ROUND(HLOOKUP(B1,pl!$D$1:$CL$43,ROW(pl!D15),FALSE),0)/IF(LEN($G$6)&gt;4,10000,1)</f>
        <v>0</v>
      </c>
      <c r="C21" s="90" t="e">
        <f>ROUND(HLOOKUP(C1,pl!$D$1:$CL$43,ROW(pl!E15),FALSE),0)/IF(LEN($G$6)&gt;4,10000,1)</f>
        <v>#N/A</v>
      </c>
      <c r="D21" s="90">
        <f>ROUND(HLOOKUP(D1,pl!$D$1:$CL$43,ROW(pl!F15),FALSE),0)/IF(LEN($G$6)&gt;4,10000,1)</f>
        <v>0</v>
      </c>
      <c r="E21" s="90">
        <f>ROUND(HLOOKUP(E1,pl!$D$1:$CL$43,ROW(pl!G15),FALSE),0)/IF(LEN($G$6)&gt;4,10000,1)</f>
        <v>0</v>
      </c>
    </row>
    <row r="22" spans="1:7">
      <c r="A22" s="89" t="s">
        <v>169</v>
      </c>
      <c r="B22" s="90">
        <f>ROUND(HLOOKUP(B1,pl!$D$1:$CL$43,ROW(pl!D18),FALSE),0)/IF(LEN($G$6)&gt;4,10000,1)</f>
        <v>0</v>
      </c>
      <c r="C22" s="90" t="e">
        <f>ROUND(HLOOKUP(C1,pl!$D$1:$CL$43,ROW(pl!E18),FALSE),0)/IF(LEN($G$6)&gt;4,10000,1)</f>
        <v>#N/A</v>
      </c>
      <c r="D22" s="90">
        <f>ROUND(HLOOKUP(D1,pl!$D$1:$CL$43,ROW(pl!F18),FALSE),0)/IF(LEN($G$6)&gt;4,10000,1)</f>
        <v>0</v>
      </c>
      <c r="E22" s="90">
        <f>ROUND(HLOOKUP(E1,pl!$D$1:$CL$43,ROW(pl!G18),FALSE),0)/IF(LEN($G$6)&gt;4,10000,1)</f>
        <v>0</v>
      </c>
    </row>
    <row r="23" spans="1:7">
      <c r="A23" s="89" t="s">
        <v>173</v>
      </c>
      <c r="B23" s="90">
        <f>ROUND(HLOOKUP(B1,pl!$D$1:$CL$43,ROW(pl!D20),FALSE),0)/IF(LEN($G$6)&gt;4,10000,1)</f>
        <v>0</v>
      </c>
      <c r="C23" s="90" t="e">
        <f>ROUND(HLOOKUP(C1,pl!$D$1:$CL$43,ROW(pl!E20),FALSE),0)/IF(LEN($G$6)&gt;4,10000,1)</f>
        <v>#N/A</v>
      </c>
      <c r="D23" s="90">
        <f>ROUND(HLOOKUP(D1,pl!$D$1:$CL$43,ROW(pl!F20),FALSE),0)/IF(LEN($G$6)&gt;4,10000,1)</f>
        <v>0</v>
      </c>
      <c r="E23" s="90">
        <f>ROUND(HLOOKUP(E1,pl!$D$1:$CL$43,ROW(pl!G20),FALSE),0)/IF(LEN($G$6)&gt;4,10000,1)</f>
        <v>0</v>
      </c>
    </row>
    <row r="24" spans="1:7">
      <c r="A24" s="89" t="s">
        <v>344</v>
      </c>
      <c r="B24" s="90">
        <f>ROUND(HLOOKUP(B1,cf!$C$1:$CL$39,ROW(pl!C35),FALSE),0)/IF(LEN($G$6)&gt;4,10000,1)</f>
        <v>0</v>
      </c>
      <c r="C24" s="90" t="e">
        <f>ROUND(HLOOKUP(C1,cf!$C$1:$CL$39,ROW(pl!D35),FALSE),0)/IF(LEN($G$6)&gt;4,10000,1)</f>
        <v>#N/A</v>
      </c>
      <c r="D24" s="90">
        <f>ROUND(HLOOKUP(D1,cf!$C$1:$CL$39,ROW(pl!E35),FALSE),0)/IF(LEN($G$6)&gt;4,10000,1)</f>
        <v>0</v>
      </c>
      <c r="E24" s="90">
        <f>ROUND(HLOOKUP(E1,cf!$C$1:$CL$39,ROW(pl!F35),FALSE),0)/IF(LEN($G$6)&gt;4,10000,1)</f>
        <v>0</v>
      </c>
    </row>
    <row r="25" spans="1:7">
      <c r="A25" s="89" t="s">
        <v>345</v>
      </c>
      <c r="B25" s="90">
        <f>ROUND(HLOOKUP(B1,cf!$C$1:$CL$39,ROW(pl!C12),FALSE),0)/IF(LEN($G$6)&gt;4,10000,1)</f>
        <v>0</v>
      </c>
      <c r="C25" s="90" t="e">
        <f>ROUND(HLOOKUP(C1,cf!$C$1:$CL$39,ROW(pl!D12),FALSE),0)/IF(LEN($G$6)&gt;4,10000,1)</f>
        <v>#N/A</v>
      </c>
      <c r="D25" s="90">
        <f>ROUND(HLOOKUP(D1,cf!$C$1:$CL$39,ROW(pl!E12),FALSE),0)/IF(LEN($G$6)&gt;4,10000,1)</f>
        <v>0</v>
      </c>
      <c r="E25" s="90">
        <f>ROUND(HLOOKUP(E1,cf!$C$1:$CL$39,ROW(pl!F12),FALSE),0)/IF(LEN($G$6)&gt;4,10000,1)</f>
        <v>0</v>
      </c>
    </row>
    <row r="26" spans="1:7">
      <c r="A26" s="144" t="s">
        <v>307</v>
      </c>
      <c r="B26" s="145"/>
      <c r="C26" s="145"/>
      <c r="D26" s="145"/>
      <c r="E26" s="145"/>
    </row>
    <row r="27" spans="1:7">
      <c r="A27" s="89" t="s">
        <v>308</v>
      </c>
      <c r="B27" s="93" t="e">
        <f>B4/B10</f>
        <v>#DIV/0!</v>
      </c>
      <c r="C27" s="93" t="e">
        <f>C4/C10</f>
        <v>#N/A</v>
      </c>
      <c r="D27" s="93" t="e">
        <f>D4/D10</f>
        <v>#DIV/0!</v>
      </c>
      <c r="E27" s="93" t="e">
        <f>E4/E10</f>
        <v>#DIV/0!</v>
      </c>
    </row>
    <row r="28" spans="1:7">
      <c r="A28" s="89" t="s">
        <v>309</v>
      </c>
      <c r="B28" s="93" t="e">
        <f>(B4-B2)/B10</f>
        <v>#DIV/0!</v>
      </c>
      <c r="C28" s="93" t="e">
        <f>(C4-C2)/C10</f>
        <v>#N/A</v>
      </c>
      <c r="D28" s="93" t="e">
        <f>(D4-D2)/D10</f>
        <v>#DIV/0!</v>
      </c>
      <c r="E28" s="93" t="e">
        <f>(E4-E2)/E10</f>
        <v>#DIV/0!</v>
      </c>
    </row>
    <row r="29" spans="1:7">
      <c r="A29" s="89" t="s">
        <v>328</v>
      </c>
      <c r="B29" s="94" t="e">
        <f>B15/B7</f>
        <v>#DIV/0!</v>
      </c>
      <c r="C29" s="95" t="e">
        <f>C15/C7</f>
        <v>#N/A</v>
      </c>
      <c r="D29" s="96" t="e">
        <f>D15/D7</f>
        <v>#DIV/0!</v>
      </c>
      <c r="E29" s="96" t="e">
        <f>E15/E7</f>
        <v>#DIV/0!</v>
      </c>
    </row>
    <row r="30" spans="1:7">
      <c r="A30" s="89" t="s">
        <v>310</v>
      </c>
      <c r="B30" s="94" t="e">
        <f>B14/B7</f>
        <v>#DIV/0!</v>
      </c>
      <c r="C30" s="95" t="e">
        <f>C14/C7</f>
        <v>#N/A</v>
      </c>
      <c r="D30" s="96" t="e">
        <f>D14/D7</f>
        <v>#DIV/0!</v>
      </c>
      <c r="E30" s="96" t="e">
        <f>E14/E7</f>
        <v>#DIV/0!</v>
      </c>
    </row>
    <row r="31" spans="1:7">
      <c r="A31" s="89" t="s">
        <v>312</v>
      </c>
      <c r="B31" s="94" t="e">
        <f>B10/B14</f>
        <v>#DIV/0!</v>
      </c>
      <c r="C31" s="95" t="e">
        <f>C10/C14</f>
        <v>#N/A</v>
      </c>
      <c r="D31" s="96" t="e">
        <f>D10/D14</f>
        <v>#DIV/0!</v>
      </c>
      <c r="E31" s="96" t="e">
        <f>E10/E14</f>
        <v>#DIV/0!</v>
      </c>
    </row>
    <row r="32" spans="1:7">
      <c r="A32" s="89" t="s">
        <v>346</v>
      </c>
      <c r="B32" s="93" t="e">
        <f>(B22+B20)/B20</f>
        <v>#DIV/0!</v>
      </c>
      <c r="C32" s="93" t="e">
        <f>(C22+C20)/C20</f>
        <v>#N/A</v>
      </c>
      <c r="D32" s="93" t="e">
        <f>(D22+D20)/D20</f>
        <v>#DIV/0!</v>
      </c>
      <c r="E32" s="93" t="e">
        <f>(E22+E20)/E20</f>
        <v>#DIV/0!</v>
      </c>
    </row>
    <row r="33" spans="1:5">
      <c r="A33" s="141" t="s">
        <v>313</v>
      </c>
      <c r="B33" s="142"/>
      <c r="C33" s="142"/>
      <c r="D33" s="142"/>
      <c r="E33" s="142"/>
    </row>
    <row r="34" spans="1:5">
      <c r="A34" s="89" t="s">
        <v>314</v>
      </c>
      <c r="B34" s="93" t="e">
        <f>0+(B17/(B2+C2)*2)</f>
        <v>#N/A</v>
      </c>
      <c r="C34" s="93" t="e">
        <f>C17/(C2+D2)*2</f>
        <v>#N/A</v>
      </c>
      <c r="D34" s="93" t="e">
        <f>D17/(D2+E2)*2</f>
        <v>#DIV/0!</v>
      </c>
      <c r="E34" s="93" t="e">
        <f>E17/E2</f>
        <v>#DIV/0!</v>
      </c>
    </row>
    <row r="35" spans="1:5">
      <c r="A35" s="89" t="s">
        <v>315</v>
      </c>
      <c r="B35" s="93" t="e">
        <f>0+(B16/(B7+C7)*2)</f>
        <v>#N/A</v>
      </c>
      <c r="C35" s="93" t="e">
        <f>C16/(C7+D7)*2</f>
        <v>#N/A</v>
      </c>
      <c r="D35" s="93" t="e">
        <f>D16/(D7+E7)*2</f>
        <v>#DIV/0!</v>
      </c>
      <c r="E35" s="93" t="e">
        <f>E16/E7</f>
        <v>#DIV/0!</v>
      </c>
    </row>
    <row r="36" spans="1:5">
      <c r="A36" s="89" t="s">
        <v>347</v>
      </c>
      <c r="B36" s="93" t="e">
        <f>0+(B16/(B3+C3)*2)</f>
        <v>#N/A</v>
      </c>
      <c r="C36" s="93" t="e">
        <f>C16/(C3+D3)*2</f>
        <v>#N/A</v>
      </c>
      <c r="D36" s="93" t="e">
        <f>D16/(D3+E3)*2</f>
        <v>#DIV/0!</v>
      </c>
      <c r="E36" s="93" t="e">
        <f>E16/E3</f>
        <v>#DIV/0!</v>
      </c>
    </row>
    <row r="37" spans="1:5">
      <c r="A37" s="89" t="s">
        <v>317</v>
      </c>
      <c r="B37" s="94" t="e">
        <f>0+(B17/B16)</f>
        <v>#DIV/0!</v>
      </c>
      <c r="C37" s="95" t="e">
        <f>C17/C16</f>
        <v>#N/A</v>
      </c>
      <c r="D37" s="96" t="e">
        <f>D17/D16</f>
        <v>#DIV/0!</v>
      </c>
      <c r="E37" s="96" t="e">
        <f>E17/E16</f>
        <v>#DIV/0!</v>
      </c>
    </row>
    <row r="38" spans="1:5">
      <c r="A38" s="89" t="s">
        <v>318</v>
      </c>
      <c r="B38" s="94" t="e">
        <f>0+(B18/B16)</f>
        <v>#DIV/0!</v>
      </c>
      <c r="C38" s="95" t="e">
        <f>C18/C16</f>
        <v>#N/A</v>
      </c>
      <c r="D38" s="96" t="e">
        <f>D18/D16</f>
        <v>#DIV/0!</v>
      </c>
      <c r="E38" s="96" t="e">
        <f>E18/E16</f>
        <v>#DIV/0!</v>
      </c>
    </row>
    <row r="39" spans="1:5">
      <c r="A39" s="89" t="s">
        <v>319</v>
      </c>
      <c r="B39" s="94" t="e">
        <f>0+(B19/B16)</f>
        <v>#DIV/0!</v>
      </c>
      <c r="C39" s="95" t="e">
        <f>C19/C16</f>
        <v>#N/A</v>
      </c>
      <c r="D39" s="96" t="e">
        <f>D19/D16</f>
        <v>#DIV/0!</v>
      </c>
      <c r="E39" s="96" t="e">
        <f>E19/E16</f>
        <v>#DIV/0!</v>
      </c>
    </row>
    <row r="40" spans="1:5">
      <c r="A40" s="89" t="s">
        <v>320</v>
      </c>
      <c r="B40" s="94" t="e">
        <f>0+(B20/B16)</f>
        <v>#DIV/0!</v>
      </c>
      <c r="C40" s="95" t="e">
        <f>C20/C16</f>
        <v>#N/A</v>
      </c>
      <c r="D40" s="96" t="e">
        <f>D20/D16</f>
        <v>#DIV/0!</v>
      </c>
      <c r="E40" s="96" t="e">
        <f>E20/E16</f>
        <v>#DIV/0!</v>
      </c>
    </row>
    <row r="41" spans="1:5">
      <c r="A41" s="141" t="s">
        <v>321</v>
      </c>
      <c r="B41" s="142"/>
      <c r="C41" s="142"/>
      <c r="D41" s="142"/>
      <c r="E41" s="142"/>
    </row>
    <row r="42" spans="1:5">
      <c r="A42" s="89" t="s">
        <v>322</v>
      </c>
      <c r="B42" s="94" t="e">
        <f>B23/B16</f>
        <v>#DIV/0!</v>
      </c>
      <c r="C42" s="95" t="e">
        <f>C23/C16</f>
        <v>#N/A</v>
      </c>
      <c r="D42" s="96" t="e">
        <f>D23/D16</f>
        <v>#DIV/0!</v>
      </c>
      <c r="E42" s="96" t="e">
        <f>E23/E16</f>
        <v>#DIV/0!</v>
      </c>
    </row>
    <row r="43" spans="1:5">
      <c r="A43" s="89" t="s">
        <v>348</v>
      </c>
      <c r="B43" s="94" t="e">
        <f>B21/B16</f>
        <v>#DIV/0!</v>
      </c>
      <c r="C43" s="95" t="e">
        <f>C21/C16</f>
        <v>#N/A</v>
      </c>
      <c r="D43" s="96" t="e">
        <f>D21/D16</f>
        <v>#DIV/0!</v>
      </c>
      <c r="E43" s="96" t="e">
        <f>E21/E16</f>
        <v>#DIV/0!</v>
      </c>
    </row>
    <row r="44" spans="1:5">
      <c r="A44" s="89" t="s">
        <v>324</v>
      </c>
      <c r="B44" s="94" t="e">
        <f>B22/(B7+C7)*2</f>
        <v>#N/A</v>
      </c>
      <c r="C44" s="95" t="e">
        <f>C22/(C7+D7)*2</f>
        <v>#N/A</v>
      </c>
      <c r="D44" s="96" t="e">
        <f>D22/(D7+E7)*2</f>
        <v>#DIV/0!</v>
      </c>
      <c r="E44" s="96" t="e">
        <f>E22/E7</f>
        <v>#DIV/0!</v>
      </c>
    </row>
    <row r="45" spans="1:5">
      <c r="A45" s="89" t="s">
        <v>325</v>
      </c>
      <c r="B45" s="94" t="e">
        <f>B23/(B7+C7)*2</f>
        <v>#N/A</v>
      </c>
      <c r="C45" s="95" t="e">
        <f>C23/(C7+D7)*2</f>
        <v>#N/A</v>
      </c>
      <c r="D45" s="96" t="e">
        <f>D23/(D7+E7)*2</f>
        <v>#DIV/0!</v>
      </c>
      <c r="E45" s="96" t="e">
        <f>E23/E7</f>
        <v>#DIV/0!</v>
      </c>
    </row>
    <row r="46" spans="1:5">
      <c r="A46" s="89" t="s">
        <v>326</v>
      </c>
      <c r="B46" s="94" t="e">
        <f>B23/(B15+C15)*2</f>
        <v>#N/A</v>
      </c>
      <c r="C46" s="95" t="e">
        <f>C23/(C15+D15)*2</f>
        <v>#N/A</v>
      </c>
      <c r="D46" s="96" t="e">
        <f>D23/(D15+E15)*2</f>
        <v>#DIV/0!</v>
      </c>
      <c r="E46" s="96" t="e">
        <f>E23/E15</f>
        <v>#DIV/0!</v>
      </c>
    </row>
    <row r="47" spans="1:5">
      <c r="A47" s="141" t="s">
        <v>349</v>
      </c>
      <c r="B47" s="142"/>
      <c r="C47" s="142"/>
      <c r="D47" s="142"/>
      <c r="E47" s="142"/>
    </row>
    <row r="48" spans="1:5">
      <c r="A48" s="89" t="s">
        <v>350</v>
      </c>
      <c r="B48" s="94" t="e">
        <f>(B16-C16)/C16</f>
        <v>#N/A</v>
      </c>
      <c r="C48" s="96" t="e">
        <f>(C16-D16)/D16</f>
        <v>#N/A</v>
      </c>
      <c r="D48" s="96" t="e">
        <f>(D16-E16)/E16</f>
        <v>#DIV/0!</v>
      </c>
      <c r="E48" s="96" t="str">
        <f>IFERROR((E16-F16)/F16,"-")</f>
        <v>-</v>
      </c>
    </row>
    <row r="49" spans="1:5">
      <c r="A49" s="89" t="s">
        <v>351</v>
      </c>
      <c r="B49" s="94" t="e">
        <f>(B23-C23)/C23</f>
        <v>#N/A</v>
      </c>
      <c r="C49" s="96" t="e">
        <f>(C23-D23)/D23</f>
        <v>#N/A</v>
      </c>
      <c r="D49" s="96" t="e">
        <f>(D23-E23)/E23</f>
        <v>#DIV/0!</v>
      </c>
      <c r="E49" s="96" t="str">
        <f>IFERROR((E23-F23)/F23,"-")</f>
        <v>-</v>
      </c>
    </row>
    <row r="50" spans="1:5">
      <c r="A50" s="89" t="s">
        <v>352</v>
      </c>
      <c r="B50" s="94" t="e">
        <f>(B7-C7)/C7</f>
        <v>#N/A</v>
      </c>
      <c r="C50" s="96" t="e">
        <f>(C7-D7)/D7</f>
        <v>#N/A</v>
      </c>
      <c r="D50" s="96" t="e">
        <f>(D7-E7)/E7</f>
        <v>#DIV/0!</v>
      </c>
      <c r="E50" s="96" t="str">
        <f>IFERROR((E7-F7)/F7,"-")</f>
        <v>-</v>
      </c>
    </row>
    <row r="51" spans="1:5">
      <c r="A51" s="89" t="s">
        <v>353</v>
      </c>
      <c r="B51" s="94" t="e">
        <f>(B15-C15)/C15</f>
        <v>#N/A</v>
      </c>
      <c r="C51" s="96" t="e">
        <f>(C15-D15)/D15</f>
        <v>#N/A</v>
      </c>
      <c r="D51" s="96" t="e">
        <f>(D15-E15)/E15</f>
        <v>#DIV/0!</v>
      </c>
      <c r="E51" s="96" t="str">
        <f>IFERROR((E15-F15)/F15,"-")</f>
        <v>-</v>
      </c>
    </row>
    <row r="52" spans="1:5">
      <c r="A52" s="89" t="s">
        <v>354</v>
      </c>
      <c r="B52" s="94" t="e">
        <f t="shared" ref="B52:D53" si="0">(B21-C21)/C21</f>
        <v>#N/A</v>
      </c>
      <c r="C52" s="96" t="e">
        <f t="shared" si="0"/>
        <v>#N/A</v>
      </c>
      <c r="D52" s="96" t="e">
        <f t="shared" si="0"/>
        <v>#DIV/0!</v>
      </c>
      <c r="E52" s="96" t="str">
        <f>IFERROR((E21-F21)/F21,"-")</f>
        <v>-</v>
      </c>
    </row>
    <row r="53" spans="1:5">
      <c r="A53" s="89" t="s">
        <v>355</v>
      </c>
      <c r="B53" s="94" t="e">
        <f t="shared" si="0"/>
        <v>#N/A</v>
      </c>
      <c r="C53" s="96" t="e">
        <f t="shared" si="0"/>
        <v>#N/A</v>
      </c>
      <c r="D53" s="96" t="e">
        <f t="shared" si="0"/>
        <v>#DIV/0!</v>
      </c>
      <c r="E53" s="96" t="str">
        <f>IFERROR((E22-F22)/F22,"-")</f>
        <v>-</v>
      </c>
    </row>
    <row r="54" spans="1:5">
      <c r="A54" s="141" t="s">
        <v>327</v>
      </c>
      <c r="B54" s="142"/>
      <c r="C54" s="142"/>
      <c r="D54" s="142"/>
      <c r="E54" s="142"/>
    </row>
    <row r="55" spans="1:5">
      <c r="A55" s="89" t="s">
        <v>310</v>
      </c>
      <c r="B55" s="94" t="e">
        <f>B14/B7</f>
        <v>#DIV/0!</v>
      </c>
      <c r="C55" s="96" t="e">
        <f>C14/C7</f>
        <v>#N/A</v>
      </c>
      <c r="D55" s="96" t="e">
        <f>D14/D7</f>
        <v>#DIV/0!</v>
      </c>
      <c r="E55" s="96" t="e">
        <f>E14/E7</f>
        <v>#DIV/0!</v>
      </c>
    </row>
    <row r="56" spans="1:5">
      <c r="A56" s="89" t="s">
        <v>329</v>
      </c>
      <c r="B56" s="94" t="e">
        <f>B13/B7</f>
        <v>#DIV/0!</v>
      </c>
      <c r="C56" s="96" t="e">
        <f>C13/C7</f>
        <v>#N/A</v>
      </c>
      <c r="D56" s="96" t="e">
        <f>D13/D7</f>
        <v>#DIV/0!</v>
      </c>
      <c r="E56" s="96" t="e">
        <f>E13/E7</f>
        <v>#DIV/0!</v>
      </c>
    </row>
    <row r="57" spans="1:5">
      <c r="A57" s="141" t="s">
        <v>330</v>
      </c>
      <c r="B57" s="142"/>
      <c r="C57" s="142"/>
      <c r="D57" s="142"/>
      <c r="E57" s="142"/>
    </row>
    <row r="58" spans="1:5" ht="25.5">
      <c r="A58" s="89" t="s">
        <v>356</v>
      </c>
      <c r="B58" s="93" t="e">
        <f>B25/B23</f>
        <v>#DIV/0!</v>
      </c>
      <c r="C58" s="93" t="e">
        <f>C25/C23</f>
        <v>#N/A</v>
      </c>
      <c r="D58" s="93" t="e">
        <f>D25/D23</f>
        <v>#DIV/0!</v>
      </c>
      <c r="E58" s="93" t="e">
        <f>E25/E23</f>
        <v>#DIV/0!</v>
      </c>
    </row>
    <row r="60" spans="1:5">
      <c r="A60" s="143" t="str">
        <f>A41</f>
        <v>盈利能力分析</v>
      </c>
      <c r="B60" s="143"/>
      <c r="C60" s="143"/>
      <c r="D60" s="143"/>
      <c r="E60" s="143"/>
    </row>
    <row r="61" spans="1:5">
      <c r="A61" s="97" t="str">
        <f>A1</f>
        <v>项目</v>
      </c>
      <c r="B61" s="98">
        <f>B1</f>
        <v>43465</v>
      </c>
      <c r="C61" s="98">
        <f>C1</f>
        <v>43830</v>
      </c>
      <c r="D61" s="98">
        <f t="shared" ref="D61:E61" si="1">D1</f>
        <v>44196</v>
      </c>
      <c r="E61" s="98">
        <f t="shared" si="1"/>
        <v>44530</v>
      </c>
    </row>
    <row r="62" spans="1:5">
      <c r="A62" s="89" t="s">
        <v>322</v>
      </c>
      <c r="B62" s="94" t="e">
        <f>B42</f>
        <v>#DIV/0!</v>
      </c>
      <c r="C62" s="94" t="e">
        <f t="shared" ref="C62:E62" si="2">C42</f>
        <v>#N/A</v>
      </c>
      <c r="D62" s="94" t="e">
        <f t="shared" si="2"/>
        <v>#DIV/0!</v>
      </c>
      <c r="E62" s="94" t="e">
        <f t="shared" si="2"/>
        <v>#DIV/0!</v>
      </c>
    </row>
    <row r="63" spans="1:5">
      <c r="A63" s="89" t="s">
        <v>348</v>
      </c>
      <c r="B63" s="94" t="e">
        <f t="shared" ref="B63:E66" si="3">B43</f>
        <v>#DIV/0!</v>
      </c>
      <c r="C63" s="94" t="e">
        <f t="shared" si="3"/>
        <v>#N/A</v>
      </c>
      <c r="D63" s="94" t="e">
        <f t="shared" si="3"/>
        <v>#DIV/0!</v>
      </c>
      <c r="E63" s="94" t="e">
        <f t="shared" si="3"/>
        <v>#DIV/0!</v>
      </c>
    </row>
    <row r="64" spans="1:5">
      <c r="A64" s="89" t="s">
        <v>324</v>
      </c>
      <c r="B64" s="94" t="e">
        <f t="shared" si="3"/>
        <v>#N/A</v>
      </c>
      <c r="C64" s="94" t="e">
        <f t="shared" si="3"/>
        <v>#N/A</v>
      </c>
      <c r="D64" s="94" t="e">
        <f t="shared" si="3"/>
        <v>#DIV/0!</v>
      </c>
      <c r="E64" s="94" t="e">
        <f t="shared" si="3"/>
        <v>#DIV/0!</v>
      </c>
    </row>
    <row r="65" spans="1:5">
      <c r="A65" s="89" t="s">
        <v>325</v>
      </c>
      <c r="B65" s="94" t="e">
        <f t="shared" si="3"/>
        <v>#N/A</v>
      </c>
      <c r="C65" s="94" t="e">
        <f t="shared" si="3"/>
        <v>#N/A</v>
      </c>
      <c r="D65" s="94" t="e">
        <f t="shared" si="3"/>
        <v>#DIV/0!</v>
      </c>
      <c r="E65" s="94" t="e">
        <f t="shared" si="3"/>
        <v>#DIV/0!</v>
      </c>
    </row>
    <row r="66" spans="1:5">
      <c r="A66" s="89" t="s">
        <v>326</v>
      </c>
      <c r="B66" s="94" t="e">
        <f t="shared" si="3"/>
        <v>#N/A</v>
      </c>
      <c r="C66" s="94" t="e">
        <f t="shared" si="3"/>
        <v>#N/A</v>
      </c>
      <c r="D66" s="94" t="e">
        <f t="shared" si="3"/>
        <v>#DIV/0!</v>
      </c>
      <c r="E66" s="94" t="e">
        <f t="shared" si="3"/>
        <v>#DIV/0!</v>
      </c>
    </row>
    <row r="68" spans="1:5">
      <c r="A68" s="143" t="str">
        <f>A26</f>
        <v>偿债能力分析</v>
      </c>
      <c r="B68" s="143"/>
      <c r="C68" s="143"/>
      <c r="D68" s="143"/>
      <c r="E68" s="143"/>
    </row>
    <row r="69" spans="1:5">
      <c r="A69" s="97" t="str">
        <f>A1</f>
        <v>项目</v>
      </c>
      <c r="B69" s="98">
        <f t="shared" ref="B69:E69" si="4">B1</f>
        <v>43465</v>
      </c>
      <c r="C69" s="98">
        <f t="shared" si="4"/>
        <v>43830</v>
      </c>
      <c r="D69" s="98">
        <f t="shared" si="4"/>
        <v>44196</v>
      </c>
      <c r="E69" s="98">
        <f t="shared" si="4"/>
        <v>44530</v>
      </c>
    </row>
    <row r="70" spans="1:5">
      <c r="A70" s="89" t="str">
        <f>A27</f>
        <v>流动比率</v>
      </c>
      <c r="B70" s="93" t="e">
        <f t="shared" ref="B70:E75" si="5">B27</f>
        <v>#DIV/0!</v>
      </c>
      <c r="C70" s="93" t="e">
        <f t="shared" si="5"/>
        <v>#N/A</v>
      </c>
      <c r="D70" s="93" t="e">
        <f t="shared" si="5"/>
        <v>#DIV/0!</v>
      </c>
      <c r="E70" s="93" t="e">
        <f t="shared" si="5"/>
        <v>#DIV/0!</v>
      </c>
    </row>
    <row r="71" spans="1:5">
      <c r="A71" s="89" t="str">
        <f t="shared" ref="A71:A75" si="6">A28</f>
        <v>速动比率</v>
      </c>
      <c r="B71" s="93" t="e">
        <f t="shared" si="5"/>
        <v>#DIV/0!</v>
      </c>
      <c r="C71" s="93" t="e">
        <f t="shared" si="5"/>
        <v>#N/A</v>
      </c>
      <c r="D71" s="93" t="e">
        <f t="shared" si="5"/>
        <v>#DIV/0!</v>
      </c>
      <c r="E71" s="93" t="e">
        <f t="shared" si="5"/>
        <v>#DIV/0!</v>
      </c>
    </row>
    <row r="72" spans="1:5">
      <c r="A72" s="89" t="str">
        <f t="shared" si="6"/>
        <v>股东权益比(%)</v>
      </c>
      <c r="B72" s="94" t="e">
        <f t="shared" si="5"/>
        <v>#DIV/0!</v>
      </c>
      <c r="C72" s="95" t="e">
        <f t="shared" si="5"/>
        <v>#N/A</v>
      </c>
      <c r="D72" s="96" t="e">
        <f t="shared" si="5"/>
        <v>#DIV/0!</v>
      </c>
      <c r="E72" s="96" t="e">
        <f t="shared" si="5"/>
        <v>#DIV/0!</v>
      </c>
    </row>
    <row r="73" spans="1:5">
      <c r="A73" s="89" t="str">
        <f t="shared" si="6"/>
        <v>资产负债率(%)</v>
      </c>
      <c r="B73" s="94" t="e">
        <f t="shared" si="5"/>
        <v>#DIV/0!</v>
      </c>
      <c r="C73" s="95" t="e">
        <f t="shared" si="5"/>
        <v>#N/A</v>
      </c>
      <c r="D73" s="96" t="e">
        <f t="shared" si="5"/>
        <v>#DIV/0!</v>
      </c>
      <c r="E73" s="96" t="e">
        <f t="shared" si="5"/>
        <v>#DIV/0!</v>
      </c>
    </row>
    <row r="74" spans="1:5">
      <c r="A74" s="89" t="str">
        <f t="shared" si="6"/>
        <v>流动负债率(%)</v>
      </c>
      <c r="B74" s="94" t="e">
        <f t="shared" si="5"/>
        <v>#DIV/0!</v>
      </c>
      <c r="C74" s="95" t="e">
        <f t="shared" si="5"/>
        <v>#N/A</v>
      </c>
      <c r="D74" s="96" t="e">
        <f t="shared" si="5"/>
        <v>#DIV/0!</v>
      </c>
      <c r="E74" s="96" t="e">
        <f t="shared" si="5"/>
        <v>#DIV/0!</v>
      </c>
    </row>
    <row r="75" spans="1:5">
      <c r="A75" s="89" t="str">
        <f t="shared" si="6"/>
        <v>EBITDA利息倍数</v>
      </c>
      <c r="B75" s="93" t="e">
        <f t="shared" si="5"/>
        <v>#DIV/0!</v>
      </c>
      <c r="C75" s="93" t="e">
        <f t="shared" si="5"/>
        <v>#N/A</v>
      </c>
      <c r="D75" s="93" t="e">
        <f t="shared" si="5"/>
        <v>#DIV/0!</v>
      </c>
      <c r="E75" s="93" t="e">
        <f t="shared" si="5"/>
        <v>#DIV/0!</v>
      </c>
    </row>
  </sheetData>
  <customSheetViews>
    <customSheetView guid="{EFE5EB9F-962C-4232-9E60-22B2AE19D01B}">
      <pane xSplit="1" ySplit="1" topLeftCell="B2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57:E57"/>
    <mergeCell ref="A60:E60"/>
    <mergeCell ref="A68:E68"/>
    <mergeCell ref="A26:E26"/>
    <mergeCell ref="A33:E33"/>
    <mergeCell ref="A41:E41"/>
    <mergeCell ref="A47:E47"/>
    <mergeCell ref="A54:E54"/>
  </mergeCells>
  <phoneticPr fontId="39" type="noConversion"/>
  <dataValidations count="1">
    <dataValidation type="list" allowBlank="1" showInputMessage="1" showErrorMessage="1" sqref="G6" xr:uid="{00000000-0002-0000-0400-000001000000}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bs!$D$1:$T$1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B1:J75"/>
  <sheetViews>
    <sheetView topLeftCell="B56" zoomScale="115" zoomScaleNormal="115" workbookViewId="0">
      <selection activeCell="C43" sqref="C43"/>
    </sheetView>
  </sheetViews>
  <sheetFormatPr defaultColWidth="9" defaultRowHeight="12.75"/>
  <cols>
    <col min="2" max="2" width="16.140625" style="68" customWidth="1"/>
    <col min="3" max="3" width="11.7109375" style="69" customWidth="1"/>
    <col min="4" max="4" width="8.5703125" style="69" customWidth="1"/>
    <col min="5" max="5" width="11.7109375" style="69" customWidth="1"/>
    <col min="6" max="6" width="8.5703125" style="69" customWidth="1"/>
    <col min="7" max="7" width="11.7109375" style="69" customWidth="1"/>
    <col min="8" max="8" width="8.5703125" style="69" customWidth="1"/>
    <col min="9" max="9" width="11.7109375" style="69" customWidth="1"/>
    <col min="10" max="10" width="8.5703125" style="69" customWidth="1"/>
  </cols>
  <sheetData>
    <row r="1" spans="2:10">
      <c r="B1" s="149" t="s">
        <v>300</v>
      </c>
      <c r="C1" s="149"/>
      <c r="D1" s="149"/>
      <c r="E1" s="149"/>
      <c r="F1" s="149"/>
      <c r="G1" s="149"/>
      <c r="H1" s="149"/>
      <c r="I1" s="149"/>
      <c r="J1" s="149"/>
    </row>
    <row r="2" spans="2:10">
      <c r="B2" s="152" t="s">
        <v>334</v>
      </c>
      <c r="C2" s="150">
        <f>'财务分析（2022）'!B3</f>
        <v>44957</v>
      </c>
      <c r="D2" s="151"/>
      <c r="E2" s="150">
        <f>DATE(YEAR(C2)-1,12,31)</f>
        <v>44926</v>
      </c>
      <c r="F2" s="151"/>
      <c r="G2" s="150">
        <f>DATE(YEAR(E2)-1,12,31)</f>
        <v>44561</v>
      </c>
      <c r="H2" s="151"/>
      <c r="I2" s="150">
        <f>DATE(YEAR(G2)-1,12,31)</f>
        <v>44196</v>
      </c>
      <c r="J2" s="151"/>
    </row>
    <row r="3" spans="2:10">
      <c r="B3" s="152"/>
      <c r="C3" s="70" t="s">
        <v>357</v>
      </c>
      <c r="D3" s="70" t="s">
        <v>358</v>
      </c>
      <c r="E3" s="70" t="s">
        <v>357</v>
      </c>
      <c r="F3" s="70" t="s">
        <v>358</v>
      </c>
      <c r="G3" s="70" t="s">
        <v>357</v>
      </c>
      <c r="H3" s="70" t="s">
        <v>358</v>
      </c>
      <c r="I3" s="70" t="s">
        <v>357</v>
      </c>
      <c r="J3" s="70" t="s">
        <v>358</v>
      </c>
    </row>
    <row r="4" spans="2:10">
      <c r="B4" s="71" t="s">
        <v>4</v>
      </c>
      <c r="C4" s="72">
        <f>ROUND(HLOOKUP($C$2,bs!$D$1:$AE$68,ROW(bs!D2),FALSE),0)/IF(LEN($B$1)&gt;4,10000,1)</f>
        <v>0</v>
      </c>
      <c r="D4" s="73" t="e">
        <f>C4/$C$37</f>
        <v>#DIV/0!</v>
      </c>
      <c r="E4" s="72">
        <f>ROUND(HLOOKUP($E$2,bs!$D$1:$AE$68,ROW(bs!F2),FALSE),0)/IF(LEN($B$1)&gt;4,10000,1)</f>
        <v>0</v>
      </c>
      <c r="F4" s="73" t="e">
        <f>E4/$E$37</f>
        <v>#DIV/0!</v>
      </c>
      <c r="G4" s="74">
        <f>ROUND(HLOOKUP($G$2,bs!$D$1:$AE$68,ROW(bs!H2),FALSE),0)/IF(LEN($B$1)&gt;4,10000,1)</f>
        <v>0</v>
      </c>
      <c r="H4" s="73" t="e">
        <f>G4/$G$37</f>
        <v>#DIV/0!</v>
      </c>
      <c r="I4" s="74">
        <f>ROUND(HLOOKUP($I$2,bs!$D$1:$AE$68,ROW(bs!K2),FALSE),0)/IF(LEN($B$1)&gt;4,10000,1)</f>
        <v>0</v>
      </c>
      <c r="J4" s="73" t="e">
        <f>I4/$I$37</f>
        <v>#DIV/0!</v>
      </c>
    </row>
    <row r="5" spans="2:10">
      <c r="B5" s="71" t="s">
        <v>6</v>
      </c>
      <c r="C5" s="72">
        <f>ROUND(HLOOKUP($C$2,bs!$D$1:$AE$68,ROW(bs!D3),FALSE),0)/IF(LEN($B$1)&gt;4,10000,1)</f>
        <v>0</v>
      </c>
      <c r="D5" s="73" t="e">
        <f t="shared" ref="D5:D37" si="0">C5/$C$37</f>
        <v>#DIV/0!</v>
      </c>
      <c r="E5" s="72">
        <f>ROUND(HLOOKUP($E$2,bs!$D$1:$AE$68,ROW(bs!F3),FALSE),0)/IF(LEN($B$1)&gt;4,10000,1)</f>
        <v>0</v>
      </c>
      <c r="F5" s="73" t="e">
        <f t="shared" ref="F5:F37" si="1">E5/$E$37</f>
        <v>#DIV/0!</v>
      </c>
      <c r="G5" s="74">
        <f>ROUND(HLOOKUP($G$2,bs!$D$1:$AE$68,ROW(bs!H3),FALSE),0)/IF(LEN($B$1)&gt;4,10000,1)</f>
        <v>0</v>
      </c>
      <c r="H5" s="73" t="e">
        <f t="shared" ref="H5:H37" si="2">G5/$G$37</f>
        <v>#DIV/0!</v>
      </c>
      <c r="I5" s="74">
        <f>ROUND(HLOOKUP($I$2,bs!$D$1:$AE$68,ROW(bs!K3),FALSE),0)/IF(LEN($B$1)&gt;4,10000,1)</f>
        <v>0</v>
      </c>
      <c r="J5" s="73" t="e">
        <f t="shared" ref="J5:J37" si="3">I5/$I$37</f>
        <v>#DIV/0!</v>
      </c>
    </row>
    <row r="6" spans="2:10">
      <c r="B6" s="71" t="s">
        <v>7</v>
      </c>
      <c r="C6" s="72">
        <f>ROUND(HLOOKUP($C$2,bs!$D$1:$AE$68,ROW(bs!D4),FALSE),0)/IF(LEN($B$1)&gt;4,10000,1)</f>
        <v>0</v>
      </c>
      <c r="D6" s="73" t="e">
        <f t="shared" si="0"/>
        <v>#DIV/0!</v>
      </c>
      <c r="E6" s="72">
        <f>ROUND(HLOOKUP($E$2,bs!$D$1:$AE$68,ROW(bs!F4),FALSE),0)/IF(LEN($B$1)&gt;4,10000,1)</f>
        <v>0</v>
      </c>
      <c r="F6" s="73" t="e">
        <f t="shared" si="1"/>
        <v>#DIV/0!</v>
      </c>
      <c r="G6" s="74">
        <f>ROUND(HLOOKUP($G$2,bs!$D$1:$AE$68,ROW(bs!H4),FALSE),0)/IF(LEN($B$1)&gt;4,10000,1)</f>
        <v>0</v>
      </c>
      <c r="H6" s="73" t="e">
        <f t="shared" si="2"/>
        <v>#DIV/0!</v>
      </c>
      <c r="I6" s="74">
        <f>ROUND(HLOOKUP($I$2,bs!$D$1:$AE$68,ROW(bs!K4),FALSE),0)/IF(LEN($B$1)&gt;4,10000,1)</f>
        <v>0</v>
      </c>
      <c r="J6" s="73" t="e">
        <f t="shared" si="3"/>
        <v>#DIV/0!</v>
      </c>
    </row>
    <row r="7" spans="2:10">
      <c r="B7" s="71" t="s">
        <v>9</v>
      </c>
      <c r="C7" s="72">
        <f>ROUND(HLOOKUP($C$2,bs!$D$1:$AE$68,ROW(bs!D5),FALSE),0)/IF(LEN($B$1)&gt;4,10000,1)</f>
        <v>0</v>
      </c>
      <c r="D7" s="73" t="e">
        <f t="shared" si="0"/>
        <v>#DIV/0!</v>
      </c>
      <c r="E7" s="72">
        <f>ROUND(HLOOKUP($E$2,bs!$D$1:$AE$68,ROW(bs!F5),FALSE),0)/IF(LEN($B$1)&gt;4,10000,1)</f>
        <v>0</v>
      </c>
      <c r="F7" s="73" t="e">
        <f t="shared" si="1"/>
        <v>#DIV/0!</v>
      </c>
      <c r="G7" s="74">
        <f>ROUND(HLOOKUP($G$2,bs!$D$1:$AE$68,ROW(bs!H5),FALSE),0)/IF(LEN($B$1)&gt;4,10000,1)</f>
        <v>0</v>
      </c>
      <c r="H7" s="73" t="e">
        <f t="shared" si="2"/>
        <v>#DIV/0!</v>
      </c>
      <c r="I7" s="74">
        <f>ROUND(HLOOKUP($I$2,bs!$D$1:$AE$68,ROW(bs!K5),FALSE),0)/IF(LEN($B$1)&gt;4,10000,1)</f>
        <v>0</v>
      </c>
      <c r="J7" s="73" t="e">
        <f t="shared" si="3"/>
        <v>#DIV/0!</v>
      </c>
    </row>
    <row r="8" spans="2:10">
      <c r="B8" s="71" t="s">
        <v>11</v>
      </c>
      <c r="C8" s="72">
        <f>ROUND(HLOOKUP($C$2,bs!$D$1:$AE$68,ROW(bs!D6),FALSE),0)/IF(LEN($B$1)&gt;4,10000,1)</f>
        <v>0</v>
      </c>
      <c r="D8" s="73" t="e">
        <f t="shared" si="0"/>
        <v>#DIV/0!</v>
      </c>
      <c r="E8" s="72">
        <f>ROUND(HLOOKUP($E$2,bs!$D$1:$AE$68,ROW(bs!F6),FALSE),0)/IF(LEN($B$1)&gt;4,10000,1)</f>
        <v>0</v>
      </c>
      <c r="F8" s="73" t="e">
        <f t="shared" si="1"/>
        <v>#DIV/0!</v>
      </c>
      <c r="G8" s="74">
        <f>ROUND(HLOOKUP($G$2,bs!$D$1:$AE$68,ROW(bs!H6),FALSE),0)/IF(LEN($B$1)&gt;4,10000,1)</f>
        <v>0</v>
      </c>
      <c r="H8" s="73" t="e">
        <f t="shared" si="2"/>
        <v>#DIV/0!</v>
      </c>
      <c r="I8" s="74">
        <f>ROUND(HLOOKUP($I$2,bs!$D$1:$AE$68,ROW(bs!K6),FALSE),0)/IF(LEN($B$1)&gt;4,10000,1)</f>
        <v>0</v>
      </c>
      <c r="J8" s="73" t="e">
        <f t="shared" si="3"/>
        <v>#DIV/0!</v>
      </c>
    </row>
    <row r="9" spans="2:10">
      <c r="B9" s="71" t="s">
        <v>13</v>
      </c>
      <c r="C9" s="72">
        <f>ROUND(HLOOKUP($C$2,bs!$D$1:$AE$68,ROW(bs!D7),FALSE),0)/IF(LEN($B$1)&gt;4,10000,1)</f>
        <v>0</v>
      </c>
      <c r="D9" s="73" t="e">
        <f t="shared" si="0"/>
        <v>#DIV/0!</v>
      </c>
      <c r="E9" s="72">
        <f>ROUND(HLOOKUP($E$2,bs!$D$1:$AE$68,ROW(bs!F7),FALSE),0)/IF(LEN($B$1)&gt;4,10000,1)</f>
        <v>0</v>
      </c>
      <c r="F9" s="73" t="e">
        <f t="shared" si="1"/>
        <v>#DIV/0!</v>
      </c>
      <c r="G9" s="74">
        <f>ROUND(HLOOKUP($G$2,bs!$D$1:$AE$68,ROW(bs!H7),FALSE),0)/IF(LEN($B$1)&gt;4,10000,1)</f>
        <v>0</v>
      </c>
      <c r="H9" s="73" t="e">
        <f t="shared" si="2"/>
        <v>#DIV/0!</v>
      </c>
      <c r="I9" s="74">
        <f>ROUND(HLOOKUP($I$2,bs!$D$1:$AE$68,ROW(bs!K7),FALSE),0)/IF(LEN($B$1)&gt;4,10000,1)</f>
        <v>0</v>
      </c>
      <c r="J9" s="73" t="e">
        <f t="shared" si="3"/>
        <v>#DIV/0!</v>
      </c>
    </row>
    <row r="10" spans="2:10">
      <c r="B10" s="71" t="s">
        <v>15</v>
      </c>
      <c r="C10" s="72">
        <f>ROUND(HLOOKUP($C$2,bs!$D$1:$AE$68,ROW(bs!D8),FALSE),0)/IF(LEN($B$1)&gt;4,10000,1)</f>
        <v>0</v>
      </c>
      <c r="D10" s="73" t="e">
        <f t="shared" si="0"/>
        <v>#DIV/0!</v>
      </c>
      <c r="E10" s="72">
        <f>ROUND(HLOOKUP($E$2,bs!$D$1:$AE$68,ROW(bs!F8),FALSE),0)/IF(LEN($B$1)&gt;4,10000,1)</f>
        <v>0</v>
      </c>
      <c r="F10" s="73" t="e">
        <f t="shared" si="1"/>
        <v>#DIV/0!</v>
      </c>
      <c r="G10" s="74">
        <f>ROUND(HLOOKUP($G$2,bs!$D$1:$AE$68,ROW(bs!H8),FALSE),0)/IF(LEN($B$1)&gt;4,10000,1)</f>
        <v>0</v>
      </c>
      <c r="H10" s="73" t="e">
        <f t="shared" si="2"/>
        <v>#DIV/0!</v>
      </c>
      <c r="I10" s="74">
        <f>ROUND(HLOOKUP($I$2,bs!$D$1:$AE$68,ROW(bs!K8),FALSE),0)/IF(LEN($B$1)&gt;4,10000,1)</f>
        <v>0</v>
      </c>
      <c r="J10" s="73" t="e">
        <f t="shared" si="3"/>
        <v>#DIV/0!</v>
      </c>
    </row>
    <row r="11" spans="2:10">
      <c r="B11" s="71" t="s">
        <v>17</v>
      </c>
      <c r="C11" s="72">
        <f>ROUND(HLOOKUP($C$2,bs!$D$1:$AE$68,ROW(bs!D9),FALSE),0)/IF(LEN($B$1)&gt;4,10000,1)</f>
        <v>0</v>
      </c>
      <c r="D11" s="73" t="e">
        <f t="shared" si="0"/>
        <v>#DIV/0!</v>
      </c>
      <c r="E11" s="72">
        <f>ROUND(HLOOKUP($E$2,bs!$D$1:$AE$68,ROW(bs!F9),FALSE),0)/IF(LEN($B$1)&gt;4,10000,1)</f>
        <v>0</v>
      </c>
      <c r="F11" s="73" t="e">
        <f t="shared" si="1"/>
        <v>#DIV/0!</v>
      </c>
      <c r="G11" s="74">
        <f>ROUND(HLOOKUP($G$2,bs!$D$1:$AE$68,ROW(bs!H9),FALSE),0)/IF(LEN($B$1)&gt;4,10000,1)</f>
        <v>0</v>
      </c>
      <c r="H11" s="73" t="e">
        <f t="shared" si="2"/>
        <v>#DIV/0!</v>
      </c>
      <c r="I11" s="74">
        <f>ROUND(HLOOKUP($I$2,bs!$D$1:$AE$68,ROW(bs!K9),FALSE),0)/IF(LEN($B$1)&gt;4,10000,1)</f>
        <v>0</v>
      </c>
      <c r="J11" s="73" t="e">
        <f t="shared" si="3"/>
        <v>#DIV/0!</v>
      </c>
    </row>
    <row r="12" spans="2:10">
      <c r="B12" s="71" t="s">
        <v>19</v>
      </c>
      <c r="C12" s="72">
        <f>ROUND(HLOOKUP($C$2,bs!$D$1:$AE$68,ROW(bs!D10),FALSE),0)/IF(LEN($B$1)&gt;4,10000,1)</f>
        <v>0</v>
      </c>
      <c r="D12" s="73" t="e">
        <f t="shared" si="0"/>
        <v>#DIV/0!</v>
      </c>
      <c r="E12" s="72">
        <f>ROUND(HLOOKUP($E$2,bs!$D$1:$AE$68,ROW(bs!F10),FALSE),0)/IF(LEN($B$1)&gt;4,10000,1)</f>
        <v>0</v>
      </c>
      <c r="F12" s="73" t="e">
        <f t="shared" si="1"/>
        <v>#DIV/0!</v>
      </c>
      <c r="G12" s="74">
        <f>ROUND(HLOOKUP($G$2,bs!$D$1:$AE$68,ROW(bs!H10),FALSE),0)/IF(LEN($B$1)&gt;4,10000,1)</f>
        <v>0</v>
      </c>
      <c r="H12" s="73" t="e">
        <f t="shared" si="2"/>
        <v>#DIV/0!</v>
      </c>
      <c r="I12" s="74">
        <f>ROUND(HLOOKUP($I$2,bs!$D$1:$AE$68,ROW(bs!K10),FALSE),0)/IF(LEN($B$1)&gt;4,10000,1)</f>
        <v>0</v>
      </c>
      <c r="J12" s="73" t="e">
        <f t="shared" si="3"/>
        <v>#DIV/0!</v>
      </c>
    </row>
    <row r="13" spans="2:10" ht="22.5">
      <c r="B13" s="71" t="s">
        <v>21</v>
      </c>
      <c r="C13" s="72">
        <f>ROUND(HLOOKUP($C$2,bs!$D$1:$AE$68,ROW(bs!D11),FALSE),0)/IF(LEN($B$1)&gt;4,10000,1)</f>
        <v>0</v>
      </c>
      <c r="D13" s="73" t="e">
        <f t="shared" si="0"/>
        <v>#DIV/0!</v>
      </c>
      <c r="E13" s="72">
        <f>ROUND(HLOOKUP($E$2,bs!$D$1:$AE$68,ROW(bs!F11),FALSE),0)/IF(LEN($B$1)&gt;4,10000,1)</f>
        <v>0</v>
      </c>
      <c r="F13" s="73" t="e">
        <f t="shared" si="1"/>
        <v>#DIV/0!</v>
      </c>
      <c r="G13" s="74">
        <f>ROUND(HLOOKUP($G$2,bs!$D$1:$AE$68,ROW(bs!H11),FALSE),0)/IF(LEN($B$1)&gt;4,10000,1)</f>
        <v>0</v>
      </c>
      <c r="H13" s="73" t="e">
        <f t="shared" si="2"/>
        <v>#DIV/0!</v>
      </c>
      <c r="I13" s="74">
        <f>ROUND(HLOOKUP($I$2,bs!$D$1:$AE$68,ROW(bs!K11),FALSE),0)/IF(LEN($B$1)&gt;4,10000,1)</f>
        <v>0</v>
      </c>
      <c r="J13" s="73" t="e">
        <f t="shared" si="3"/>
        <v>#DIV/0!</v>
      </c>
    </row>
    <row r="14" spans="2:10">
      <c r="B14" s="71" t="s">
        <v>23</v>
      </c>
      <c r="C14" s="72">
        <f>ROUND(HLOOKUP($C$2,bs!$D$1:$AE$68,ROW(bs!D12),FALSE),0)/IF(LEN($B$1)&gt;4,10000,1)</f>
        <v>0</v>
      </c>
      <c r="D14" s="73" t="e">
        <f t="shared" si="0"/>
        <v>#DIV/0!</v>
      </c>
      <c r="E14" s="72">
        <f>ROUND(HLOOKUP($E$2,bs!$D$1:$AE$68,ROW(bs!F12),FALSE),0)/IF(LEN($B$1)&gt;4,10000,1)</f>
        <v>0</v>
      </c>
      <c r="F14" s="73" t="e">
        <f t="shared" si="1"/>
        <v>#DIV/0!</v>
      </c>
      <c r="G14" s="74">
        <f>ROUND(HLOOKUP($G$2,bs!$D$1:$AE$68,ROW(bs!H12),FALSE),0)/IF(LEN($B$1)&gt;4,10000,1)</f>
        <v>0</v>
      </c>
      <c r="H14" s="73" t="e">
        <f t="shared" si="2"/>
        <v>#DIV/0!</v>
      </c>
      <c r="I14" s="74">
        <f>ROUND(HLOOKUP($I$2,bs!$D$1:$AE$68,ROW(bs!K12),FALSE),0)/IF(LEN($B$1)&gt;4,10000,1)</f>
        <v>0</v>
      </c>
      <c r="J14" s="73" t="e">
        <f t="shared" si="3"/>
        <v>#DIV/0!</v>
      </c>
    </row>
    <row r="15" spans="2:10">
      <c r="B15" s="75" t="s">
        <v>25</v>
      </c>
      <c r="C15" s="76">
        <f>ROUND(HLOOKUP($C$2,bs!$D$1:$AE$68,ROW(bs!D13),FALSE),0)/IF(LEN($B$1)&gt;4,10000,1)</f>
        <v>0</v>
      </c>
      <c r="D15" s="77" t="e">
        <f t="shared" si="0"/>
        <v>#DIV/0!</v>
      </c>
      <c r="E15" s="76">
        <f>ROUND(HLOOKUP($E$2,bs!$D$1:$AE$68,ROW(bs!F13),FALSE),0)/IF(LEN($B$1)&gt;4,10000,1)</f>
        <v>0</v>
      </c>
      <c r="F15" s="77" t="e">
        <f t="shared" si="1"/>
        <v>#DIV/0!</v>
      </c>
      <c r="G15" s="78">
        <f>ROUND(HLOOKUP($G$2,bs!$D$1:$AE$68,ROW(bs!H13),FALSE),0)/IF(LEN($B$1)&gt;4,10000,1)</f>
        <v>0</v>
      </c>
      <c r="H15" s="77" t="e">
        <f t="shared" si="2"/>
        <v>#DIV/0!</v>
      </c>
      <c r="I15" s="78">
        <f>ROUND(HLOOKUP($I$2,bs!$D$1:$AE$68,ROW(bs!K13),FALSE),0)/IF(LEN($B$1)&gt;4,10000,1)</f>
        <v>0</v>
      </c>
      <c r="J15" s="77" t="e">
        <f t="shared" si="3"/>
        <v>#DIV/0!</v>
      </c>
    </row>
    <row r="16" spans="2:10">
      <c r="B16" s="71" t="s">
        <v>27</v>
      </c>
      <c r="C16" s="72">
        <f>ROUND(HLOOKUP($C$2,bs!$D$1:$AE$68,ROW(bs!D14),FALSE),0)/IF(LEN($B$1)&gt;4,10000,1)</f>
        <v>0</v>
      </c>
      <c r="D16" s="73" t="e">
        <f t="shared" si="0"/>
        <v>#DIV/0!</v>
      </c>
      <c r="E16" s="72">
        <f>ROUND(HLOOKUP($E$2,bs!$D$1:$AE$68,ROW(bs!F14),FALSE),0)/IF(LEN($B$1)&gt;4,10000,1)</f>
        <v>0</v>
      </c>
      <c r="F16" s="73" t="e">
        <f t="shared" si="1"/>
        <v>#DIV/0!</v>
      </c>
      <c r="G16" s="74">
        <f>ROUND(HLOOKUP($G$2,bs!$D$1:$AE$68,ROW(bs!H14),FALSE),0)/IF(LEN($B$1)&gt;4,10000,1)</f>
        <v>0</v>
      </c>
      <c r="H16" s="73" t="e">
        <f t="shared" si="2"/>
        <v>#DIV/0!</v>
      </c>
      <c r="I16" s="74">
        <f>ROUND(HLOOKUP($I$2,bs!$D$1:$AE$68,ROW(bs!K14),FALSE),0)/IF(LEN($B$1)&gt;4,10000,1)</f>
        <v>0</v>
      </c>
      <c r="J16" s="73" t="e">
        <f t="shared" si="3"/>
        <v>#DIV/0!</v>
      </c>
    </row>
    <row r="17" spans="2:10">
      <c r="B17" s="71" t="s">
        <v>29</v>
      </c>
      <c r="C17" s="72">
        <f>ROUND(HLOOKUP($C$2,bs!$D$1:$AE$68,ROW(bs!D15),FALSE),0)/IF(LEN($B$1)&gt;4,10000,1)</f>
        <v>0</v>
      </c>
      <c r="D17" s="73" t="e">
        <f t="shared" si="0"/>
        <v>#DIV/0!</v>
      </c>
      <c r="E17" s="72">
        <f>ROUND(HLOOKUP($E$2,bs!$D$1:$AE$68,ROW(bs!F15),FALSE),0)/IF(LEN($B$1)&gt;4,10000,1)</f>
        <v>0</v>
      </c>
      <c r="F17" s="73" t="e">
        <f t="shared" si="1"/>
        <v>#DIV/0!</v>
      </c>
      <c r="G17" s="74">
        <f>ROUND(HLOOKUP($G$2,bs!$D$1:$AE$68,ROW(bs!H15),FALSE),0)/IF(LEN($B$1)&gt;4,10000,1)</f>
        <v>0</v>
      </c>
      <c r="H17" s="73" t="e">
        <f t="shared" si="2"/>
        <v>#DIV/0!</v>
      </c>
      <c r="I17" s="74">
        <f>ROUND(HLOOKUP($I$2,bs!$D$1:$AE$68,ROW(bs!K15),FALSE),0)/IF(LEN($B$1)&gt;4,10000,1)</f>
        <v>0</v>
      </c>
      <c r="J17" s="73" t="e">
        <f t="shared" si="3"/>
        <v>#DIV/0!</v>
      </c>
    </row>
    <row r="18" spans="2:10">
      <c r="B18" s="71" t="s">
        <v>31</v>
      </c>
      <c r="C18" s="72">
        <f>ROUND(HLOOKUP($C$2,bs!$D$1:$AE$68,ROW(bs!D16),FALSE),0)/IF(LEN($B$1)&gt;4,10000,1)</f>
        <v>0</v>
      </c>
      <c r="D18" s="73" t="e">
        <f t="shared" si="0"/>
        <v>#DIV/0!</v>
      </c>
      <c r="E18" s="72">
        <f>ROUND(HLOOKUP($E$2,bs!$D$1:$AE$68,ROW(bs!F16),FALSE),0)/IF(LEN($B$1)&gt;4,10000,1)</f>
        <v>0</v>
      </c>
      <c r="F18" s="73" t="e">
        <f t="shared" si="1"/>
        <v>#DIV/0!</v>
      </c>
      <c r="G18" s="74">
        <f>ROUND(HLOOKUP($G$2,bs!$D$1:$AE$68,ROW(bs!H16),FALSE),0)/IF(LEN($B$1)&gt;4,10000,1)</f>
        <v>0</v>
      </c>
      <c r="H18" s="73" t="e">
        <f t="shared" si="2"/>
        <v>#DIV/0!</v>
      </c>
      <c r="I18" s="74">
        <f>ROUND(HLOOKUP($I$2,bs!$D$1:$AE$68,ROW(bs!K16),FALSE),0)/IF(LEN($B$1)&gt;4,10000,1)</f>
        <v>0</v>
      </c>
      <c r="J18" s="73" t="e">
        <f t="shared" si="3"/>
        <v>#DIV/0!</v>
      </c>
    </row>
    <row r="19" spans="2:10">
      <c r="B19" s="71" t="s">
        <v>33</v>
      </c>
      <c r="C19" s="72">
        <f>ROUND(HLOOKUP($C$2,bs!$D$1:$AE$68,ROW(bs!D17),FALSE),0)/IF(LEN($B$1)&gt;4,10000,1)</f>
        <v>0</v>
      </c>
      <c r="D19" s="73" t="e">
        <f t="shared" si="0"/>
        <v>#DIV/0!</v>
      </c>
      <c r="E19" s="72">
        <f>ROUND(HLOOKUP($E$2,bs!$D$1:$AE$68,ROW(bs!F17),FALSE),0)/IF(LEN($B$1)&gt;4,10000,1)</f>
        <v>0</v>
      </c>
      <c r="F19" s="73" t="e">
        <f t="shared" si="1"/>
        <v>#DIV/0!</v>
      </c>
      <c r="G19" s="74">
        <f>ROUND(HLOOKUP($G$2,bs!$D$1:$AE$68,ROW(bs!H17),FALSE),0)/IF(LEN($B$1)&gt;4,10000,1)</f>
        <v>0</v>
      </c>
      <c r="H19" s="73" t="e">
        <f t="shared" si="2"/>
        <v>#DIV/0!</v>
      </c>
      <c r="I19" s="74">
        <f>ROUND(HLOOKUP($I$2,bs!$D$1:$AE$68,ROW(bs!K17),FALSE),0)/IF(LEN($B$1)&gt;4,10000,1)</f>
        <v>0</v>
      </c>
      <c r="J19" s="73" t="e">
        <f t="shared" si="3"/>
        <v>#DIV/0!</v>
      </c>
    </row>
    <row r="20" spans="2:10">
      <c r="B20" s="71" t="s">
        <v>35</v>
      </c>
      <c r="C20" s="72">
        <f>ROUND(HLOOKUP($C$2,bs!$D$1:$AE$68,ROW(bs!D18),FALSE),0)/IF(LEN($B$1)&gt;4,10000,1)</f>
        <v>0</v>
      </c>
      <c r="D20" s="73" t="e">
        <f t="shared" si="0"/>
        <v>#DIV/0!</v>
      </c>
      <c r="E20" s="72">
        <f>ROUND(HLOOKUP($E$2,bs!$D$1:$AE$68,ROW(bs!F18),FALSE),0)/IF(LEN($B$1)&gt;4,10000,1)</f>
        <v>0</v>
      </c>
      <c r="F20" s="73" t="e">
        <f t="shared" si="1"/>
        <v>#DIV/0!</v>
      </c>
      <c r="G20" s="74">
        <f>ROUND(HLOOKUP($G$2,bs!$D$1:$AE$68,ROW(bs!H18),FALSE),0)/IF(LEN($B$1)&gt;4,10000,1)</f>
        <v>0</v>
      </c>
      <c r="H20" s="73" t="e">
        <f t="shared" si="2"/>
        <v>#DIV/0!</v>
      </c>
      <c r="I20" s="74">
        <f>ROUND(HLOOKUP($I$2,bs!$D$1:$AE$68,ROW(bs!K18),FALSE),0)/IF(LEN($B$1)&gt;4,10000,1)</f>
        <v>0</v>
      </c>
      <c r="J20" s="73" t="e">
        <f t="shared" si="3"/>
        <v>#DIV/0!</v>
      </c>
    </row>
    <row r="21" spans="2:10">
      <c r="B21" s="71" t="s">
        <v>37</v>
      </c>
      <c r="C21" s="72">
        <f>ROUND(HLOOKUP($C$2,bs!$D$1:$AE$68,ROW(bs!D19),FALSE),0)/IF(LEN($B$1)&gt;4,10000,1)</f>
        <v>0</v>
      </c>
      <c r="D21" s="73" t="e">
        <f t="shared" si="0"/>
        <v>#DIV/0!</v>
      </c>
      <c r="E21" s="72">
        <f>ROUND(HLOOKUP($E$2,bs!$D$1:$AE$68,ROW(bs!F19),FALSE),0)/IF(LEN($B$1)&gt;4,10000,1)</f>
        <v>0</v>
      </c>
      <c r="F21" s="73" t="e">
        <f t="shared" si="1"/>
        <v>#DIV/0!</v>
      </c>
      <c r="G21" s="74">
        <f>ROUND(HLOOKUP($G$2,bs!$D$1:$AE$68,ROW(bs!H19),FALSE),0)/IF(LEN($B$1)&gt;4,10000,1)</f>
        <v>0</v>
      </c>
      <c r="H21" s="73" t="e">
        <f t="shared" si="2"/>
        <v>#DIV/0!</v>
      </c>
      <c r="I21" s="74">
        <f>ROUND(HLOOKUP($I$2,bs!$D$1:$AE$68,ROW(bs!K19),FALSE),0)/IF(LEN($B$1)&gt;4,10000,1)</f>
        <v>0</v>
      </c>
      <c r="J21" s="73" t="e">
        <f t="shared" si="3"/>
        <v>#DIV/0!</v>
      </c>
    </row>
    <row r="22" spans="2:10">
      <c r="B22" s="71" t="s">
        <v>39</v>
      </c>
      <c r="C22" s="72">
        <f>ROUND(HLOOKUP($C$2,bs!$D$1:$AE$68,ROW(bs!D20),FALSE),0)/IF(LEN($B$1)&gt;4,10000,1)</f>
        <v>0</v>
      </c>
      <c r="D22" s="73" t="e">
        <f t="shared" si="0"/>
        <v>#DIV/0!</v>
      </c>
      <c r="E22" s="72">
        <f>ROUND(HLOOKUP($E$2,bs!$D$1:$AE$68,ROW(bs!F20),FALSE),0)/IF(LEN($B$1)&gt;4,10000,1)</f>
        <v>0</v>
      </c>
      <c r="F22" s="73" t="e">
        <f t="shared" si="1"/>
        <v>#DIV/0!</v>
      </c>
      <c r="G22" s="74">
        <f>ROUND(HLOOKUP($G$2,bs!$D$1:$AE$68,ROW(bs!H20),FALSE),0)/IF(LEN($B$1)&gt;4,10000,1)</f>
        <v>0</v>
      </c>
      <c r="H22" s="73" t="e">
        <f t="shared" si="2"/>
        <v>#DIV/0!</v>
      </c>
      <c r="I22" s="74">
        <f>ROUND(HLOOKUP($I$2,bs!$D$1:$AE$68,ROW(bs!K20),FALSE),0)/IF(LEN($B$1)&gt;4,10000,1)</f>
        <v>0</v>
      </c>
      <c r="J22" s="73" t="e">
        <f t="shared" si="3"/>
        <v>#DIV/0!</v>
      </c>
    </row>
    <row r="23" spans="2:10">
      <c r="B23" s="71" t="s">
        <v>41</v>
      </c>
      <c r="C23" s="72">
        <f>ROUND(HLOOKUP($C$2,bs!$D$1:$AE$68,ROW(bs!D21),FALSE),0)/IF(LEN($B$1)&gt;4,10000,1)</f>
        <v>0</v>
      </c>
      <c r="D23" s="73" t="e">
        <f t="shared" si="0"/>
        <v>#DIV/0!</v>
      </c>
      <c r="E23" s="72">
        <f>ROUND(HLOOKUP($E$2,bs!$D$1:$AE$68,ROW(bs!F21),FALSE),0)/IF(LEN($B$1)&gt;4,10000,1)</f>
        <v>0</v>
      </c>
      <c r="F23" s="73" t="e">
        <f t="shared" si="1"/>
        <v>#DIV/0!</v>
      </c>
      <c r="G23" s="74">
        <f>ROUND(HLOOKUP($G$2,bs!$D$1:$AE$68,ROW(bs!H21),FALSE),0)/IF(LEN($B$1)&gt;4,10000,1)</f>
        <v>0</v>
      </c>
      <c r="H23" s="73" t="e">
        <f t="shared" si="2"/>
        <v>#DIV/0!</v>
      </c>
      <c r="I23" s="74">
        <f>ROUND(HLOOKUP($I$2,bs!$D$1:$AE$68,ROW(bs!K21),FALSE),0)/IF(LEN($B$1)&gt;4,10000,1)</f>
        <v>0</v>
      </c>
      <c r="J23" s="73" t="e">
        <f t="shared" si="3"/>
        <v>#DIV/0!</v>
      </c>
    </row>
    <row r="24" spans="2:10">
      <c r="B24" s="71" t="s">
        <v>43</v>
      </c>
      <c r="C24" s="72">
        <f>ROUND(HLOOKUP($C$2,bs!$D$1:$AE$68,ROW(bs!D22),FALSE),0)/IF(LEN($B$1)&gt;4,10000,1)</f>
        <v>0</v>
      </c>
      <c r="D24" s="73" t="e">
        <f t="shared" si="0"/>
        <v>#DIV/0!</v>
      </c>
      <c r="E24" s="72">
        <f>ROUND(HLOOKUP($E$2,bs!$D$1:$AE$68,ROW(bs!F22),FALSE),0)/IF(LEN($B$1)&gt;4,10000,1)</f>
        <v>0</v>
      </c>
      <c r="F24" s="73" t="e">
        <f t="shared" si="1"/>
        <v>#DIV/0!</v>
      </c>
      <c r="G24" s="74">
        <f>ROUND(HLOOKUP($G$2,bs!$D$1:$AE$68,ROW(bs!H22),FALSE),0)/IF(LEN($B$1)&gt;4,10000,1)</f>
        <v>0</v>
      </c>
      <c r="H24" s="73" t="e">
        <f t="shared" si="2"/>
        <v>#DIV/0!</v>
      </c>
      <c r="I24" s="74">
        <f>ROUND(HLOOKUP($I$2,bs!$D$1:$AE$68,ROW(bs!K22),FALSE),0)/IF(LEN($B$1)&gt;4,10000,1)</f>
        <v>0</v>
      </c>
      <c r="J24" s="73" t="e">
        <f t="shared" si="3"/>
        <v>#DIV/0!</v>
      </c>
    </row>
    <row r="25" spans="2:10">
      <c r="B25" s="71" t="s">
        <v>45</v>
      </c>
      <c r="C25" s="72">
        <f>ROUND(HLOOKUP($C$2,bs!$D$1:$AE$68,ROW(bs!D23),FALSE),0)/IF(LEN($B$1)&gt;4,10000,1)</f>
        <v>0</v>
      </c>
      <c r="D25" s="73" t="e">
        <f t="shared" si="0"/>
        <v>#DIV/0!</v>
      </c>
      <c r="E25" s="72">
        <f>ROUND(HLOOKUP($E$2,bs!$D$1:$AE$68,ROW(bs!F23),FALSE),0)/IF(LEN($B$1)&gt;4,10000,1)</f>
        <v>0</v>
      </c>
      <c r="F25" s="73" t="e">
        <f t="shared" si="1"/>
        <v>#DIV/0!</v>
      </c>
      <c r="G25" s="74">
        <f>ROUND(HLOOKUP($G$2,bs!$D$1:$AE$68,ROW(bs!H23),FALSE),0)/IF(LEN($B$1)&gt;4,10000,1)</f>
        <v>0</v>
      </c>
      <c r="H25" s="73" t="e">
        <f t="shared" si="2"/>
        <v>#DIV/0!</v>
      </c>
      <c r="I25" s="74">
        <f>ROUND(HLOOKUP($I$2,bs!$D$1:$AE$68,ROW(bs!K23),FALSE),0)/IF(LEN($B$1)&gt;4,10000,1)</f>
        <v>0</v>
      </c>
      <c r="J25" s="73" t="e">
        <f t="shared" si="3"/>
        <v>#DIV/0!</v>
      </c>
    </row>
    <row r="26" spans="2:10">
      <c r="B26" s="71" t="s">
        <v>47</v>
      </c>
      <c r="C26" s="72">
        <f>ROUND(HLOOKUP($C$2,bs!$D$1:$AE$68,ROW(bs!D24),FALSE),0)/IF(LEN($B$1)&gt;4,10000,1)</f>
        <v>0</v>
      </c>
      <c r="D26" s="73" t="e">
        <f t="shared" si="0"/>
        <v>#DIV/0!</v>
      </c>
      <c r="E26" s="72">
        <f>ROUND(HLOOKUP($E$2,bs!$D$1:$AE$68,ROW(bs!F24),FALSE),0)/IF(LEN($B$1)&gt;4,10000,1)</f>
        <v>0</v>
      </c>
      <c r="F26" s="73" t="e">
        <f t="shared" si="1"/>
        <v>#DIV/0!</v>
      </c>
      <c r="G26" s="74">
        <f>ROUND(HLOOKUP($G$2,bs!$D$1:$AE$68,ROW(bs!H24),FALSE),0)/IF(LEN($B$1)&gt;4,10000,1)</f>
        <v>0</v>
      </c>
      <c r="H26" s="73" t="e">
        <f t="shared" si="2"/>
        <v>#DIV/0!</v>
      </c>
      <c r="I26" s="74">
        <f>ROUND(HLOOKUP($I$2,bs!$D$1:$AE$68,ROW(bs!K24),FALSE),0)/IF(LEN($B$1)&gt;4,10000,1)</f>
        <v>0</v>
      </c>
      <c r="J26" s="73" t="e">
        <f t="shared" si="3"/>
        <v>#DIV/0!</v>
      </c>
    </row>
    <row r="27" spans="2:10">
      <c r="B27" s="71" t="s">
        <v>49</v>
      </c>
      <c r="C27" s="72">
        <f>ROUND(HLOOKUP($C$2,bs!$D$1:$AE$68,ROW(bs!D25),FALSE),0)/IF(LEN($B$1)&gt;4,10000,1)</f>
        <v>0</v>
      </c>
      <c r="D27" s="73" t="e">
        <f t="shared" si="0"/>
        <v>#DIV/0!</v>
      </c>
      <c r="E27" s="72">
        <f>ROUND(HLOOKUP($E$2,bs!$D$1:$AE$68,ROW(bs!F25),FALSE),0)/IF(LEN($B$1)&gt;4,10000,1)</f>
        <v>0</v>
      </c>
      <c r="F27" s="73" t="e">
        <f t="shared" si="1"/>
        <v>#DIV/0!</v>
      </c>
      <c r="G27" s="74">
        <f>ROUND(HLOOKUP($G$2,bs!$D$1:$AE$68,ROW(bs!H25),FALSE),0)/IF(LEN($B$1)&gt;4,10000,1)</f>
        <v>0</v>
      </c>
      <c r="H27" s="73" t="e">
        <f t="shared" si="2"/>
        <v>#DIV/0!</v>
      </c>
      <c r="I27" s="74">
        <f>ROUND(HLOOKUP($I$2,bs!$D$1:$AE$68,ROW(bs!K25),FALSE),0)/IF(LEN($B$1)&gt;4,10000,1)</f>
        <v>0</v>
      </c>
      <c r="J27" s="73" t="e">
        <f t="shared" si="3"/>
        <v>#DIV/0!</v>
      </c>
    </row>
    <row r="28" spans="2:10">
      <c r="B28" s="71" t="s">
        <v>51</v>
      </c>
      <c r="C28" s="72">
        <f>ROUND(HLOOKUP($C$2,bs!$D$1:$AE$68,ROW(bs!D26),FALSE),0)/IF(LEN($B$1)&gt;4,10000,1)</f>
        <v>0</v>
      </c>
      <c r="D28" s="73" t="e">
        <f t="shared" si="0"/>
        <v>#DIV/0!</v>
      </c>
      <c r="E28" s="72">
        <f>ROUND(HLOOKUP($E$2,bs!$D$1:$AE$68,ROW(bs!F26),FALSE),0)/IF(LEN($B$1)&gt;4,10000,1)</f>
        <v>0</v>
      </c>
      <c r="F28" s="73" t="e">
        <f t="shared" si="1"/>
        <v>#DIV/0!</v>
      </c>
      <c r="G28" s="74">
        <f>ROUND(HLOOKUP($G$2,bs!$D$1:$AE$68,ROW(bs!H26),FALSE),0)/IF(LEN($B$1)&gt;4,10000,1)</f>
        <v>0</v>
      </c>
      <c r="H28" s="73" t="e">
        <f t="shared" si="2"/>
        <v>#DIV/0!</v>
      </c>
      <c r="I28" s="74">
        <f>ROUND(HLOOKUP($I$2,bs!$D$1:$AE$68,ROW(bs!K26),FALSE),0)/IF(LEN($B$1)&gt;4,10000,1)</f>
        <v>0</v>
      </c>
      <c r="J28" s="73" t="e">
        <f t="shared" si="3"/>
        <v>#DIV/0!</v>
      </c>
    </row>
    <row r="29" spans="2:10">
      <c r="B29" s="71" t="s">
        <v>53</v>
      </c>
      <c r="C29" s="72">
        <f>ROUND(HLOOKUP($C$2,bs!$D$1:$AE$68,ROW(bs!D27),FALSE),0)/IF(LEN($B$1)&gt;4,10000,1)</f>
        <v>0</v>
      </c>
      <c r="D29" s="73" t="e">
        <f t="shared" si="0"/>
        <v>#DIV/0!</v>
      </c>
      <c r="E29" s="72">
        <f>ROUND(HLOOKUP($E$2,bs!$D$1:$AE$68,ROW(bs!F27),FALSE),0)/IF(LEN($B$1)&gt;4,10000,1)</f>
        <v>0</v>
      </c>
      <c r="F29" s="73" t="e">
        <f t="shared" si="1"/>
        <v>#DIV/0!</v>
      </c>
      <c r="G29" s="74">
        <f>ROUND(HLOOKUP($G$2,bs!$D$1:$AE$68,ROW(bs!H27),FALSE),0)/IF(LEN($B$1)&gt;4,10000,1)</f>
        <v>0</v>
      </c>
      <c r="H29" s="73" t="e">
        <f t="shared" si="2"/>
        <v>#DIV/0!</v>
      </c>
      <c r="I29" s="74">
        <f>ROUND(HLOOKUP($I$2,bs!$D$1:$AE$68,ROW(bs!K27),FALSE),0)/IF(LEN($B$1)&gt;4,10000,1)</f>
        <v>0</v>
      </c>
      <c r="J29" s="73" t="e">
        <f t="shared" si="3"/>
        <v>#DIV/0!</v>
      </c>
    </row>
    <row r="30" spans="2:10">
      <c r="B30" s="71" t="s">
        <v>55</v>
      </c>
      <c r="C30" s="72">
        <f>ROUND(HLOOKUP($C$2,bs!$D$1:$AE$68,ROW(bs!D28),FALSE),0)/IF(LEN($B$1)&gt;4,10000,1)</f>
        <v>0</v>
      </c>
      <c r="D30" s="73" t="e">
        <f t="shared" si="0"/>
        <v>#DIV/0!</v>
      </c>
      <c r="E30" s="72">
        <f>ROUND(HLOOKUP($E$2,bs!$D$1:$AE$68,ROW(bs!F28),FALSE),0)/IF(LEN($B$1)&gt;4,10000,1)</f>
        <v>0</v>
      </c>
      <c r="F30" s="73" t="e">
        <f t="shared" si="1"/>
        <v>#DIV/0!</v>
      </c>
      <c r="G30" s="74">
        <f>ROUND(HLOOKUP($G$2,bs!$D$1:$AE$68,ROW(bs!H28),FALSE),0)/IF(LEN($B$1)&gt;4,10000,1)</f>
        <v>0</v>
      </c>
      <c r="H30" s="73" t="e">
        <f t="shared" si="2"/>
        <v>#DIV/0!</v>
      </c>
      <c r="I30" s="74">
        <f>ROUND(HLOOKUP($I$2,bs!$D$1:$AE$68,ROW(bs!K28),FALSE),0)/IF(LEN($B$1)&gt;4,10000,1)</f>
        <v>0</v>
      </c>
      <c r="J30" s="73" t="e">
        <f t="shared" si="3"/>
        <v>#DIV/0!</v>
      </c>
    </row>
    <row r="31" spans="2:10">
      <c r="B31" s="71" t="s">
        <v>57</v>
      </c>
      <c r="C31" s="72">
        <f>ROUND(HLOOKUP($C$2,bs!$D$1:$AE$68,ROW(bs!D29),FALSE),0)/IF(LEN($B$1)&gt;4,10000,1)</f>
        <v>0</v>
      </c>
      <c r="D31" s="73" t="e">
        <f t="shared" si="0"/>
        <v>#DIV/0!</v>
      </c>
      <c r="E31" s="72">
        <f>ROUND(HLOOKUP($E$2,bs!$D$1:$AE$68,ROW(bs!F29),FALSE),0)/IF(LEN($B$1)&gt;4,10000,1)</f>
        <v>0</v>
      </c>
      <c r="F31" s="73" t="e">
        <f t="shared" si="1"/>
        <v>#DIV/0!</v>
      </c>
      <c r="G31" s="74">
        <f>ROUND(HLOOKUP($G$2,bs!$D$1:$AE$68,ROW(bs!H29),FALSE),0)/IF(LEN($B$1)&gt;4,10000,1)</f>
        <v>0</v>
      </c>
      <c r="H31" s="73" t="e">
        <f t="shared" si="2"/>
        <v>#DIV/0!</v>
      </c>
      <c r="I31" s="74">
        <f>ROUND(HLOOKUP($I$2,bs!$D$1:$AE$68,ROW(bs!K29),FALSE),0)/IF(LEN($B$1)&gt;4,10000,1)</f>
        <v>0</v>
      </c>
      <c r="J31" s="73" t="e">
        <f t="shared" si="3"/>
        <v>#DIV/0!</v>
      </c>
    </row>
    <row r="32" spans="2:10">
      <c r="B32" s="71" t="s">
        <v>59</v>
      </c>
      <c r="C32" s="72">
        <f>ROUND(HLOOKUP($C$2,bs!$D$1:$AE$68,ROW(bs!D30),FALSE),0)/IF(LEN($B$1)&gt;4,10000,1)</f>
        <v>0</v>
      </c>
      <c r="D32" s="73" t="e">
        <f t="shared" si="0"/>
        <v>#DIV/0!</v>
      </c>
      <c r="E32" s="72">
        <f>ROUND(HLOOKUP($E$2,bs!$D$1:$AE$68,ROW(bs!F30),FALSE),0)/IF(LEN($B$1)&gt;4,10000,1)</f>
        <v>0</v>
      </c>
      <c r="F32" s="73" t="e">
        <f t="shared" si="1"/>
        <v>#DIV/0!</v>
      </c>
      <c r="G32" s="74">
        <f>ROUND(HLOOKUP($G$2,bs!$D$1:$AE$68,ROW(bs!H30),FALSE),0)/IF(LEN($B$1)&gt;4,10000,1)</f>
        <v>0</v>
      </c>
      <c r="H32" s="73" t="e">
        <f t="shared" si="2"/>
        <v>#DIV/0!</v>
      </c>
      <c r="I32" s="74">
        <f>ROUND(HLOOKUP($I$2,bs!$D$1:$AE$68,ROW(bs!K30),FALSE),0)/IF(LEN($B$1)&gt;4,10000,1)</f>
        <v>0</v>
      </c>
      <c r="J32" s="73" t="e">
        <f t="shared" si="3"/>
        <v>#DIV/0!</v>
      </c>
    </row>
    <row r="33" spans="2:10">
      <c r="B33" s="71" t="s">
        <v>61</v>
      </c>
      <c r="C33" s="72">
        <f>ROUND(HLOOKUP($C$2,bs!$D$1:$AE$68,ROW(bs!D31),FALSE),0)/IF(LEN($B$1)&gt;4,10000,1)</f>
        <v>0</v>
      </c>
      <c r="D33" s="73" t="e">
        <f t="shared" si="0"/>
        <v>#DIV/0!</v>
      </c>
      <c r="E33" s="72">
        <f>ROUND(HLOOKUP($E$2,bs!$D$1:$AE$68,ROW(bs!F31),FALSE),0)/IF(LEN($B$1)&gt;4,10000,1)</f>
        <v>0</v>
      </c>
      <c r="F33" s="73" t="e">
        <f t="shared" si="1"/>
        <v>#DIV/0!</v>
      </c>
      <c r="G33" s="74">
        <f>ROUND(HLOOKUP($G$2,bs!$D$1:$AE$68,ROW(bs!H31),FALSE),0)/IF(LEN($B$1)&gt;4,10000,1)</f>
        <v>0</v>
      </c>
      <c r="H33" s="73" t="e">
        <f t="shared" si="2"/>
        <v>#DIV/0!</v>
      </c>
      <c r="I33" s="74">
        <f>ROUND(HLOOKUP($I$2,bs!$D$1:$AE$68,ROW(bs!K31),FALSE),0)/IF(LEN($B$1)&gt;4,10000,1)</f>
        <v>0</v>
      </c>
      <c r="J33" s="73" t="e">
        <f t="shared" si="3"/>
        <v>#DIV/0!</v>
      </c>
    </row>
    <row r="34" spans="2:10">
      <c r="B34" s="71" t="s">
        <v>63</v>
      </c>
      <c r="C34" s="72">
        <f>ROUND(HLOOKUP($C$2,bs!$D$1:$AE$68,ROW(bs!D32),FALSE),0)/IF(LEN($B$1)&gt;4,10000,1)</f>
        <v>0</v>
      </c>
      <c r="D34" s="73" t="e">
        <f t="shared" si="0"/>
        <v>#DIV/0!</v>
      </c>
      <c r="E34" s="72">
        <f>ROUND(HLOOKUP($E$2,bs!$D$1:$AE$68,ROW(bs!F32),FALSE),0)/IF(LEN($B$1)&gt;4,10000,1)</f>
        <v>0</v>
      </c>
      <c r="F34" s="73" t="e">
        <f t="shared" si="1"/>
        <v>#DIV/0!</v>
      </c>
      <c r="G34" s="74">
        <f>ROUND(HLOOKUP($G$2,bs!$D$1:$AE$68,ROW(bs!H32),FALSE),0)/IF(LEN($B$1)&gt;4,10000,1)</f>
        <v>0</v>
      </c>
      <c r="H34" s="73" t="e">
        <f t="shared" si="2"/>
        <v>#DIV/0!</v>
      </c>
      <c r="I34" s="74">
        <f>ROUND(HLOOKUP($I$2,bs!$D$1:$AE$68,ROW(bs!K32),FALSE),0)/IF(LEN($B$1)&gt;4,10000,1)</f>
        <v>0</v>
      </c>
      <c r="J34" s="73" t="e">
        <f t="shared" si="3"/>
        <v>#DIV/0!</v>
      </c>
    </row>
    <row r="35" spans="2:10">
      <c r="B35" s="71" t="s">
        <v>65</v>
      </c>
      <c r="C35" s="72">
        <f>ROUND(HLOOKUP($C$2,bs!$D$1:$AE$68,ROW(bs!D33),FALSE),0)/IF(LEN($B$1)&gt;4,10000,1)</f>
        <v>0</v>
      </c>
      <c r="D35" s="73" t="e">
        <f t="shared" si="0"/>
        <v>#DIV/0!</v>
      </c>
      <c r="E35" s="72">
        <f>ROUND(HLOOKUP($E$2,bs!$D$1:$AE$68,ROW(bs!F33),FALSE),0)/IF(LEN($B$1)&gt;4,10000,1)</f>
        <v>0</v>
      </c>
      <c r="F35" s="73" t="e">
        <f t="shared" si="1"/>
        <v>#DIV/0!</v>
      </c>
      <c r="G35" s="74">
        <f>ROUND(HLOOKUP($G$2,bs!$D$1:$AE$68,ROW(bs!H33),FALSE),0)/IF(LEN($B$1)&gt;4,10000,1)</f>
        <v>0</v>
      </c>
      <c r="H35" s="73" t="e">
        <f t="shared" si="2"/>
        <v>#DIV/0!</v>
      </c>
      <c r="I35" s="74">
        <f>ROUND(HLOOKUP($I$2,bs!$D$1:$AE$68,ROW(bs!K33),FALSE),0)/IF(LEN($B$1)&gt;4,10000,1)</f>
        <v>0</v>
      </c>
      <c r="J35" s="73" t="e">
        <f t="shared" si="3"/>
        <v>#DIV/0!</v>
      </c>
    </row>
    <row r="36" spans="2:10">
      <c r="B36" s="75" t="s">
        <v>67</v>
      </c>
      <c r="C36" s="76">
        <f>ROUND(HLOOKUP($C$2,bs!$D$1:$AE$68,ROW(bs!D34),FALSE),0)/IF(LEN($B$1)&gt;4,10000,1)</f>
        <v>0</v>
      </c>
      <c r="D36" s="77" t="e">
        <f t="shared" si="0"/>
        <v>#DIV/0!</v>
      </c>
      <c r="E36" s="76">
        <f>ROUND(HLOOKUP($E$2,bs!$D$1:$AE$68,ROW(bs!F34),FALSE),0)/IF(LEN($B$1)&gt;4,10000,1)</f>
        <v>0</v>
      </c>
      <c r="F36" s="77" t="e">
        <f t="shared" si="1"/>
        <v>#DIV/0!</v>
      </c>
      <c r="G36" s="78">
        <f>ROUND(HLOOKUP($G$2,bs!$D$1:$AE$68,ROW(bs!H34),FALSE),0)/IF(LEN($B$1)&gt;4,10000,1)</f>
        <v>0</v>
      </c>
      <c r="H36" s="77" t="e">
        <f t="shared" si="2"/>
        <v>#DIV/0!</v>
      </c>
      <c r="I36" s="78">
        <f>ROUND(HLOOKUP($I$2,bs!$D$1:$AE$68,ROW(bs!K34),FALSE),0)/IF(LEN($B$1)&gt;4,10000,1)</f>
        <v>0</v>
      </c>
      <c r="J36" s="77" t="e">
        <f t="shared" si="3"/>
        <v>#DIV/0!</v>
      </c>
    </row>
    <row r="37" spans="2:10">
      <c r="B37" s="75" t="s">
        <v>69</v>
      </c>
      <c r="C37" s="76">
        <f>ROUND(HLOOKUP($C$2,bs!$D$1:$AE$68,ROW(bs!D35),FALSE),0)/IF(LEN($B$1)&gt;4,10000,1)</f>
        <v>0</v>
      </c>
      <c r="D37" s="77" t="e">
        <f t="shared" si="0"/>
        <v>#DIV/0!</v>
      </c>
      <c r="E37" s="76">
        <f>ROUND(HLOOKUP($E$2,bs!$D$1:$AE$68,ROW(bs!F35),FALSE),0)/IF(LEN($B$1)&gt;4,10000,1)</f>
        <v>0</v>
      </c>
      <c r="F37" s="77" t="e">
        <f t="shared" si="1"/>
        <v>#DIV/0!</v>
      </c>
      <c r="G37" s="78">
        <f>ROUND(HLOOKUP($G$2,bs!$D$1:$AE$68,ROW(bs!H35),FALSE),0)/IF(LEN($B$1)&gt;4,10000,1)</f>
        <v>0</v>
      </c>
      <c r="H37" s="77" t="e">
        <f t="shared" si="2"/>
        <v>#DIV/0!</v>
      </c>
      <c r="I37" s="78">
        <f>ROUND(HLOOKUP($I$2,bs!$D$1:$AE$68,ROW(bs!K35),FALSE),0)/IF(LEN($B$1)&gt;4,10000,1)</f>
        <v>0</v>
      </c>
      <c r="J37" s="77" t="e">
        <f t="shared" si="3"/>
        <v>#DIV/0!</v>
      </c>
    </row>
    <row r="38" spans="2:10">
      <c r="B38" s="79"/>
      <c r="C38" s="80"/>
      <c r="D38" s="81"/>
      <c r="E38" s="80"/>
      <c r="F38" s="81"/>
      <c r="G38" s="82"/>
      <c r="H38" s="81"/>
      <c r="I38" s="82" t="s">
        <v>300</v>
      </c>
      <c r="J38" s="81"/>
    </row>
    <row r="39" spans="2:10">
      <c r="B39" s="146" t="s">
        <v>334</v>
      </c>
      <c r="C39" s="147">
        <f>C2</f>
        <v>44957</v>
      </c>
      <c r="D39" s="148"/>
      <c r="E39" s="147">
        <f>E2</f>
        <v>44926</v>
      </c>
      <c r="F39" s="148"/>
      <c r="G39" s="147">
        <f>G2</f>
        <v>44561</v>
      </c>
      <c r="H39" s="148"/>
      <c r="I39" s="147">
        <f>I2</f>
        <v>44196</v>
      </c>
      <c r="J39" s="148"/>
    </row>
    <row r="40" spans="2:10">
      <c r="B40" s="146"/>
      <c r="C40" s="70" t="s">
        <v>357</v>
      </c>
      <c r="D40" s="70" t="s">
        <v>358</v>
      </c>
      <c r="E40" s="70" t="s">
        <v>357</v>
      </c>
      <c r="F40" s="70" t="s">
        <v>358</v>
      </c>
      <c r="G40" s="70" t="s">
        <v>357</v>
      </c>
      <c r="H40" s="70" t="s">
        <v>358</v>
      </c>
      <c r="I40" s="70" t="s">
        <v>357</v>
      </c>
      <c r="J40" s="70" t="s">
        <v>358</v>
      </c>
    </row>
    <row r="41" spans="2:10">
      <c r="B41" s="71" t="s">
        <v>71</v>
      </c>
      <c r="C41" s="72">
        <f>ROUND(HLOOKUP($C$2,bs!$D$1:$AE$68,ROW(bs!D36),FALSE),0)/IF(LEN($B$1)&gt;4,10000,1)</f>
        <v>0</v>
      </c>
      <c r="D41" s="73" t="e">
        <f>C41/$C$62</f>
        <v>#DIV/0!</v>
      </c>
      <c r="E41" s="72">
        <f>ROUND(HLOOKUP($E$2,bs!$D$1:$AE$68,ROW(bs!D36),FALSE),0)/IF(LEN($B$1)&gt;4,10000,1)</f>
        <v>0</v>
      </c>
      <c r="F41" s="73" t="e">
        <f>E41/$E$62</f>
        <v>#DIV/0!</v>
      </c>
      <c r="G41" s="74">
        <f>ROUND(HLOOKUP($G$2,bs!$D$1:$AE$68,ROW(bs!H36),FALSE),0)/IF(LEN($B$1)&gt;4,10000,1)</f>
        <v>0</v>
      </c>
      <c r="H41" s="73" t="e">
        <f>G41/$G$62</f>
        <v>#DIV/0!</v>
      </c>
      <c r="I41" s="74">
        <f>ROUND(HLOOKUP($I$2,bs!$D$1:$AE$68,ROW(bs!K36),FALSE),0)/IF(LEN($B$1)&gt;4,10000,1)</f>
        <v>0</v>
      </c>
      <c r="J41" s="73" t="e">
        <f>I41/$I$62</f>
        <v>#DIV/0!</v>
      </c>
    </row>
    <row r="42" spans="2:10">
      <c r="B42" s="71" t="s">
        <v>73</v>
      </c>
      <c r="C42" s="72">
        <f>ROUND(HLOOKUP($C$2,bs!$D$1:$AE$68,ROW(bs!D37),FALSE),0)/IF(LEN($B$1)&gt;4,10000,1)</f>
        <v>0</v>
      </c>
      <c r="D42" s="73" t="e">
        <f t="shared" ref="D42:D62" si="4">C42/$C$62</f>
        <v>#DIV/0!</v>
      </c>
      <c r="E42" s="72">
        <f>ROUND(HLOOKUP($E$2,bs!$D$1:$AE$68,ROW(bs!D37),FALSE),0)/IF(LEN($B$1)&gt;4,10000,1)</f>
        <v>0</v>
      </c>
      <c r="F42" s="73" t="e">
        <f t="shared" ref="F42:F62" si="5">E42/$E$62</f>
        <v>#DIV/0!</v>
      </c>
      <c r="G42" s="74">
        <f>ROUND(HLOOKUP($G$2,bs!$D$1:$AE$68,ROW(bs!H37),FALSE),0)/IF(LEN($B$1)&gt;4,10000,1)</f>
        <v>0</v>
      </c>
      <c r="H42" s="73" t="e">
        <f t="shared" ref="H42:H62" si="6">G42/$G$62</f>
        <v>#DIV/0!</v>
      </c>
      <c r="I42" s="74">
        <f>ROUND(HLOOKUP($I$2,bs!$D$1:$AE$68,ROW(bs!K37),FALSE),0)/IF(LEN($B$1)&gt;4,10000,1)</f>
        <v>0</v>
      </c>
      <c r="J42" s="73" t="e">
        <f t="shared" ref="J42:J62" si="7">I42/$I$62</f>
        <v>#DIV/0!</v>
      </c>
    </row>
    <row r="43" spans="2:10">
      <c r="B43" s="71" t="s">
        <v>75</v>
      </c>
      <c r="C43" s="72">
        <f>ROUND(HLOOKUP($C$2,bs!$D$1:$AE$68,ROW(bs!D38),FALSE),0)/IF(LEN($B$1)&gt;4,10000,1)</f>
        <v>0</v>
      </c>
      <c r="D43" s="73" t="e">
        <f t="shared" si="4"/>
        <v>#DIV/0!</v>
      </c>
      <c r="E43" s="72">
        <f>ROUND(HLOOKUP($E$2,bs!$D$1:$AE$68,ROW(bs!D38),FALSE),0)/IF(LEN($B$1)&gt;4,10000,1)</f>
        <v>0</v>
      </c>
      <c r="F43" s="73" t="e">
        <f t="shared" si="5"/>
        <v>#DIV/0!</v>
      </c>
      <c r="G43" s="74">
        <f>ROUND(HLOOKUP($G$2,bs!$D$1:$AE$68,ROW(bs!H38),FALSE),0)/IF(LEN($B$1)&gt;4,10000,1)</f>
        <v>0</v>
      </c>
      <c r="H43" s="73" t="e">
        <f t="shared" si="6"/>
        <v>#DIV/0!</v>
      </c>
      <c r="I43" s="74">
        <f>ROUND(HLOOKUP($I$2,bs!$D$1:$AE$68,ROW(bs!K38),FALSE),0)/IF(LEN($B$1)&gt;4,10000,1)</f>
        <v>0</v>
      </c>
      <c r="J43" s="73" t="e">
        <f t="shared" si="7"/>
        <v>#DIV/0!</v>
      </c>
    </row>
    <row r="44" spans="2:10">
      <c r="B44" s="71" t="s">
        <v>77</v>
      </c>
      <c r="C44" s="72">
        <f>ROUND(HLOOKUP($C$2,bs!$D$1:$AE$68,ROW(bs!D39),FALSE),0)/IF(LEN($B$1)&gt;4,10000,1)</f>
        <v>0</v>
      </c>
      <c r="D44" s="73" t="e">
        <f t="shared" si="4"/>
        <v>#DIV/0!</v>
      </c>
      <c r="E44" s="72">
        <f>ROUND(HLOOKUP($E$2,bs!$D$1:$AE$68,ROW(bs!D39),FALSE),0)/IF(LEN($B$1)&gt;4,10000,1)</f>
        <v>0</v>
      </c>
      <c r="F44" s="73" t="e">
        <f t="shared" si="5"/>
        <v>#DIV/0!</v>
      </c>
      <c r="G44" s="74">
        <f>ROUND(HLOOKUP($G$2,bs!$D$1:$AE$68,ROW(bs!H39),FALSE),0)/IF(LEN($B$1)&gt;4,10000,1)</f>
        <v>0</v>
      </c>
      <c r="H44" s="73" t="e">
        <f t="shared" si="6"/>
        <v>#DIV/0!</v>
      </c>
      <c r="I44" s="74">
        <f>ROUND(HLOOKUP($I$2,bs!$D$1:$AE$68,ROW(bs!K39),FALSE),0)/IF(LEN($B$1)&gt;4,10000,1)</f>
        <v>0</v>
      </c>
      <c r="J44" s="73" t="e">
        <f t="shared" si="7"/>
        <v>#DIV/0!</v>
      </c>
    </row>
    <row r="45" spans="2:10">
      <c r="B45" s="71" t="s">
        <v>79</v>
      </c>
      <c r="C45" s="72">
        <f>ROUND(HLOOKUP($C$2,bs!$D$1:$AE$68,ROW(bs!D40),FALSE),0)/IF(LEN($B$1)&gt;4,10000,1)</f>
        <v>0</v>
      </c>
      <c r="D45" s="73" t="e">
        <f t="shared" si="4"/>
        <v>#DIV/0!</v>
      </c>
      <c r="E45" s="72">
        <f>ROUND(HLOOKUP($E$2,bs!$D$1:$AE$68,ROW(bs!D40),FALSE),0)/IF(LEN($B$1)&gt;4,10000,1)</f>
        <v>0</v>
      </c>
      <c r="F45" s="73" t="e">
        <f t="shared" si="5"/>
        <v>#DIV/0!</v>
      </c>
      <c r="G45" s="74">
        <f>ROUND(HLOOKUP($G$2,bs!$D$1:$AE$68,ROW(bs!H40),FALSE),0)/IF(LEN($B$1)&gt;4,10000,1)</f>
        <v>0</v>
      </c>
      <c r="H45" s="73" t="e">
        <f t="shared" si="6"/>
        <v>#DIV/0!</v>
      </c>
      <c r="I45" s="74">
        <f>ROUND(HLOOKUP($I$2,bs!$D$1:$AE$68,ROW(bs!K40),FALSE),0)/IF(LEN($B$1)&gt;4,10000,1)</f>
        <v>0</v>
      </c>
      <c r="J45" s="73" t="e">
        <f t="shared" si="7"/>
        <v>#DIV/0!</v>
      </c>
    </row>
    <row r="46" spans="2:10">
      <c r="B46" s="71" t="s">
        <v>81</v>
      </c>
      <c r="C46" s="72">
        <f>ROUND(HLOOKUP($C$2,bs!$D$1:$AE$68,ROW(bs!D41),FALSE),0)/IF(LEN($B$1)&gt;4,10000,1)</f>
        <v>0</v>
      </c>
      <c r="D46" s="73" t="e">
        <f t="shared" si="4"/>
        <v>#DIV/0!</v>
      </c>
      <c r="E46" s="72">
        <f>ROUND(HLOOKUP($E$2,bs!$D$1:$AE$68,ROW(bs!D41),FALSE),0)/IF(LEN($B$1)&gt;4,10000,1)</f>
        <v>0</v>
      </c>
      <c r="F46" s="73" t="e">
        <f t="shared" si="5"/>
        <v>#DIV/0!</v>
      </c>
      <c r="G46" s="74">
        <f>ROUND(HLOOKUP($G$2,bs!$D$1:$AE$68,ROW(bs!H41),FALSE),0)/IF(LEN($B$1)&gt;4,10000,1)</f>
        <v>0</v>
      </c>
      <c r="H46" s="73" t="e">
        <f t="shared" si="6"/>
        <v>#DIV/0!</v>
      </c>
      <c r="I46" s="74">
        <f>ROUND(HLOOKUP($I$2,bs!$D$1:$AE$68,ROW(bs!K41),FALSE),0)/IF(LEN($B$1)&gt;4,10000,1)</f>
        <v>0</v>
      </c>
      <c r="J46" s="73" t="e">
        <f t="shared" si="7"/>
        <v>#DIV/0!</v>
      </c>
    </row>
    <row r="47" spans="2:10">
      <c r="B47" s="71" t="s">
        <v>83</v>
      </c>
      <c r="C47" s="72">
        <f>ROUND(HLOOKUP($C$2,bs!$D$1:$AE$68,ROW(bs!D42),FALSE),0)/IF(LEN($B$1)&gt;4,10000,1)</f>
        <v>0</v>
      </c>
      <c r="D47" s="73" t="e">
        <f t="shared" si="4"/>
        <v>#DIV/0!</v>
      </c>
      <c r="E47" s="72">
        <f>ROUND(HLOOKUP($E$2,bs!$D$1:$AE$68,ROW(bs!D42),FALSE),0)/IF(LEN($B$1)&gt;4,10000,1)</f>
        <v>0</v>
      </c>
      <c r="F47" s="73" t="e">
        <f t="shared" si="5"/>
        <v>#DIV/0!</v>
      </c>
      <c r="G47" s="74">
        <f>ROUND(HLOOKUP($G$2,bs!$D$1:$AE$68,ROW(bs!H42),FALSE),0)/IF(LEN($B$1)&gt;4,10000,1)</f>
        <v>0</v>
      </c>
      <c r="H47" s="73" t="e">
        <f t="shared" si="6"/>
        <v>#DIV/0!</v>
      </c>
      <c r="I47" s="74">
        <f>ROUND(HLOOKUP($I$2,bs!$D$1:$AE$68,ROW(bs!K42),FALSE),0)/IF(LEN($B$1)&gt;4,10000,1)</f>
        <v>0</v>
      </c>
      <c r="J47" s="73" t="e">
        <f t="shared" si="7"/>
        <v>#DIV/0!</v>
      </c>
    </row>
    <row r="48" spans="2:10">
      <c r="B48" s="71" t="s">
        <v>85</v>
      </c>
      <c r="C48" s="72">
        <f>ROUND(HLOOKUP($C$2,bs!$D$1:$AE$68,ROW(bs!D43),FALSE),0)/IF(LEN($B$1)&gt;4,10000,1)</f>
        <v>0</v>
      </c>
      <c r="D48" s="73" t="e">
        <f t="shared" si="4"/>
        <v>#DIV/0!</v>
      </c>
      <c r="E48" s="72">
        <f>ROUND(HLOOKUP($E$2,bs!$D$1:$AE$68,ROW(bs!D43),FALSE),0)/IF(LEN($B$1)&gt;4,10000,1)</f>
        <v>0</v>
      </c>
      <c r="F48" s="73" t="e">
        <f t="shared" si="5"/>
        <v>#DIV/0!</v>
      </c>
      <c r="G48" s="74">
        <f>ROUND(HLOOKUP($G$2,bs!$D$1:$AE$68,ROW(bs!H43),FALSE),0)/IF(LEN($B$1)&gt;4,10000,1)</f>
        <v>0</v>
      </c>
      <c r="H48" s="73" t="e">
        <f t="shared" si="6"/>
        <v>#DIV/0!</v>
      </c>
      <c r="I48" s="74">
        <f>ROUND(HLOOKUP($I$2,bs!$D$1:$AE$68,ROW(bs!K43),FALSE),0)/IF(LEN($B$1)&gt;4,10000,1)</f>
        <v>0</v>
      </c>
      <c r="J48" s="73" t="e">
        <f t="shared" si="7"/>
        <v>#DIV/0!</v>
      </c>
    </row>
    <row r="49" spans="2:10">
      <c r="B49" s="71" t="s">
        <v>87</v>
      </c>
      <c r="C49" s="72">
        <f>ROUND(HLOOKUP($C$2,bs!$D$1:$AE$68,ROW(bs!D44),FALSE),0)/IF(LEN($B$1)&gt;4,10000,1)</f>
        <v>0</v>
      </c>
      <c r="D49" s="73" t="e">
        <f t="shared" si="4"/>
        <v>#DIV/0!</v>
      </c>
      <c r="E49" s="72">
        <f>ROUND(HLOOKUP($E$2,bs!$D$1:$AE$68,ROW(bs!D44),FALSE),0)/IF(LEN($B$1)&gt;4,10000,1)</f>
        <v>0</v>
      </c>
      <c r="F49" s="73" t="e">
        <f t="shared" si="5"/>
        <v>#DIV/0!</v>
      </c>
      <c r="G49" s="74">
        <f>ROUND(HLOOKUP($G$2,bs!$D$1:$AE$68,ROW(bs!H44),FALSE),0)/IF(LEN($B$1)&gt;4,10000,1)</f>
        <v>0</v>
      </c>
      <c r="H49" s="73" t="e">
        <f t="shared" si="6"/>
        <v>#DIV/0!</v>
      </c>
      <c r="I49" s="74">
        <f>ROUND(HLOOKUP($I$2,bs!$D$1:$AE$68,ROW(bs!K44),FALSE),0)/IF(LEN($B$1)&gt;4,10000,1)</f>
        <v>0</v>
      </c>
      <c r="J49" s="73" t="e">
        <f t="shared" si="7"/>
        <v>#DIV/0!</v>
      </c>
    </row>
    <row r="50" spans="2:10">
      <c r="B50" s="71" t="s">
        <v>89</v>
      </c>
      <c r="C50" s="72">
        <f>ROUND(HLOOKUP($C$2,bs!$D$1:$AE$68,ROW(bs!D45),FALSE),0)/IF(LEN($B$1)&gt;4,10000,1)</f>
        <v>0</v>
      </c>
      <c r="D50" s="73" t="e">
        <f t="shared" si="4"/>
        <v>#DIV/0!</v>
      </c>
      <c r="E50" s="72">
        <f>ROUND(HLOOKUP($E$2,bs!$D$1:$AE$68,ROW(bs!D45),FALSE),0)/IF(LEN($B$1)&gt;4,10000,1)</f>
        <v>0</v>
      </c>
      <c r="F50" s="73" t="e">
        <f t="shared" si="5"/>
        <v>#DIV/0!</v>
      </c>
      <c r="G50" s="74">
        <f>ROUND(HLOOKUP($G$2,bs!$D$1:$AE$68,ROW(bs!H45),FALSE),0)/IF(LEN($B$1)&gt;4,10000,1)</f>
        <v>0</v>
      </c>
      <c r="H50" s="73" t="e">
        <f t="shared" si="6"/>
        <v>#DIV/0!</v>
      </c>
      <c r="I50" s="74">
        <f>ROUND(HLOOKUP($I$2,bs!$D$1:$AE$68,ROW(bs!K45),FALSE),0)/IF(LEN($B$1)&gt;4,10000,1)</f>
        <v>0</v>
      </c>
      <c r="J50" s="73" t="e">
        <f t="shared" si="7"/>
        <v>#DIV/0!</v>
      </c>
    </row>
    <row r="51" spans="2:10" ht="22.5">
      <c r="B51" s="71" t="s">
        <v>91</v>
      </c>
      <c r="C51" s="72">
        <f>ROUND(HLOOKUP($C$2,bs!$D$1:$AE$68,ROW(bs!D46),FALSE),0)/IF(LEN($B$1)&gt;4,10000,1)</f>
        <v>0</v>
      </c>
      <c r="D51" s="73" t="e">
        <f t="shared" si="4"/>
        <v>#DIV/0!</v>
      </c>
      <c r="E51" s="72">
        <f>ROUND(HLOOKUP($E$2,bs!$D$1:$AE$68,ROW(bs!D46),FALSE),0)/IF(LEN($B$1)&gt;4,10000,1)</f>
        <v>0</v>
      </c>
      <c r="F51" s="73" t="e">
        <f t="shared" si="5"/>
        <v>#DIV/0!</v>
      </c>
      <c r="G51" s="74">
        <f>ROUND(HLOOKUP($G$2,bs!$D$1:$AE$68,ROW(bs!H46),FALSE),0)/IF(LEN($B$1)&gt;4,10000,1)</f>
        <v>0</v>
      </c>
      <c r="H51" s="73" t="e">
        <f t="shared" si="6"/>
        <v>#DIV/0!</v>
      </c>
      <c r="I51" s="74">
        <f>ROUND(HLOOKUP($I$2,bs!$D$1:$AE$68,ROW(bs!K46),FALSE),0)/IF(LEN($B$1)&gt;4,10000,1)</f>
        <v>0</v>
      </c>
      <c r="J51" s="73" t="e">
        <f t="shared" si="7"/>
        <v>#DIV/0!</v>
      </c>
    </row>
    <row r="52" spans="2:10">
      <c r="B52" s="71" t="s">
        <v>93</v>
      </c>
      <c r="C52" s="72">
        <f>ROUND(HLOOKUP($C$2,bs!$D$1:$AE$68,ROW(bs!D47),FALSE),0)/IF(LEN($B$1)&gt;4,10000,1)</f>
        <v>0</v>
      </c>
      <c r="D52" s="73" t="e">
        <f t="shared" si="4"/>
        <v>#DIV/0!</v>
      </c>
      <c r="E52" s="72">
        <f>ROUND(HLOOKUP($E$2,bs!$D$1:$AE$68,ROW(bs!D47),FALSE),0)/IF(LEN($B$1)&gt;4,10000,1)</f>
        <v>0</v>
      </c>
      <c r="F52" s="73" t="e">
        <f t="shared" si="5"/>
        <v>#DIV/0!</v>
      </c>
      <c r="G52" s="74">
        <f>ROUND(HLOOKUP($G$2,bs!$D$1:$AE$68,ROW(bs!H47),FALSE),0)/IF(LEN($B$1)&gt;4,10000,1)</f>
        <v>0</v>
      </c>
      <c r="H52" s="73" t="e">
        <f t="shared" si="6"/>
        <v>#DIV/0!</v>
      </c>
      <c r="I52" s="74">
        <f>ROUND(HLOOKUP($I$2,bs!$D$1:$AE$68,ROW(bs!K47),FALSE),0)/IF(LEN($B$1)&gt;4,10000,1)</f>
        <v>0</v>
      </c>
      <c r="J52" s="73" t="e">
        <f t="shared" si="7"/>
        <v>#DIV/0!</v>
      </c>
    </row>
    <row r="53" spans="2:10">
      <c r="B53" s="75" t="s">
        <v>95</v>
      </c>
      <c r="C53" s="76">
        <f>ROUND(HLOOKUP($C$2,bs!$D$1:$AE$68,ROW(bs!D48),FALSE),0)/IF(LEN($B$1)&gt;4,10000,1)</f>
        <v>0</v>
      </c>
      <c r="D53" s="77" t="e">
        <f t="shared" si="4"/>
        <v>#DIV/0!</v>
      </c>
      <c r="E53" s="76">
        <f>ROUND(HLOOKUP($E$2,bs!$D$1:$AE$68,ROW(bs!D48),FALSE),0)/IF(LEN($B$1)&gt;4,10000,1)</f>
        <v>0</v>
      </c>
      <c r="F53" s="77" t="e">
        <f t="shared" si="5"/>
        <v>#DIV/0!</v>
      </c>
      <c r="G53" s="74">
        <f>ROUND(HLOOKUP($G$2,bs!$D$1:$AE$68,ROW(bs!H48),FALSE),0)/IF(LEN($B$1)&gt;4,10000,1)</f>
        <v>0</v>
      </c>
      <c r="H53" s="77" t="e">
        <f t="shared" si="6"/>
        <v>#DIV/0!</v>
      </c>
      <c r="I53" s="78">
        <f>ROUND(HLOOKUP($I$2,bs!$D$1:$AE$68,ROW(bs!K48),FALSE),0)/IF(LEN($B$1)&gt;4,10000,1)</f>
        <v>0</v>
      </c>
      <c r="J53" s="77" t="e">
        <f t="shared" si="7"/>
        <v>#DIV/0!</v>
      </c>
    </row>
    <row r="54" spans="2:10">
      <c r="B54" s="71" t="s">
        <v>97</v>
      </c>
      <c r="C54" s="72">
        <f>ROUND(HLOOKUP($C$2,bs!$D$1:$AE$68,ROW(bs!D49),FALSE),0)/IF(LEN($B$1)&gt;4,10000,1)</f>
        <v>0</v>
      </c>
      <c r="D54" s="73" t="e">
        <f t="shared" si="4"/>
        <v>#DIV/0!</v>
      </c>
      <c r="E54" s="72">
        <f>ROUND(HLOOKUP($E$2,bs!$D$1:$AE$68,ROW(bs!D49),FALSE),0)/IF(LEN($B$1)&gt;4,10000,1)</f>
        <v>0</v>
      </c>
      <c r="F54" s="73" t="e">
        <f t="shared" si="5"/>
        <v>#DIV/0!</v>
      </c>
      <c r="G54" s="74">
        <f>ROUND(HLOOKUP($G$2,bs!$D$1:$AE$68,ROW(bs!H49),FALSE),0)/IF(LEN($B$1)&gt;4,10000,1)</f>
        <v>0</v>
      </c>
      <c r="H54" s="73" t="e">
        <f t="shared" si="6"/>
        <v>#DIV/0!</v>
      </c>
      <c r="I54" s="74">
        <f>ROUND(HLOOKUP($I$2,bs!$D$1:$AE$68,ROW(bs!K49),FALSE),0)/IF(LEN($B$1)&gt;4,10000,1)</f>
        <v>0</v>
      </c>
      <c r="J54" s="73" t="e">
        <f t="shared" si="7"/>
        <v>#DIV/0!</v>
      </c>
    </row>
    <row r="55" spans="2:10">
      <c r="B55" s="71" t="s">
        <v>99</v>
      </c>
      <c r="C55" s="72">
        <f>ROUND(HLOOKUP($C$2,bs!$D$1:$AE$68,ROW(bs!D50),FALSE),0)/IF(LEN($B$1)&gt;4,10000,1)</f>
        <v>0</v>
      </c>
      <c r="D55" s="73" t="e">
        <f t="shared" si="4"/>
        <v>#DIV/0!</v>
      </c>
      <c r="E55" s="72">
        <f>ROUND(HLOOKUP($E$2,bs!$D$1:$AE$68,ROW(bs!D50),FALSE),0)/IF(LEN($B$1)&gt;4,10000,1)</f>
        <v>0</v>
      </c>
      <c r="F55" s="73" t="e">
        <f t="shared" si="5"/>
        <v>#DIV/0!</v>
      </c>
      <c r="G55" s="74">
        <f>ROUND(HLOOKUP($G$2,bs!$D$1:$AE$68,ROW(bs!H50),FALSE),0)/IF(LEN($B$1)&gt;4,10000,1)</f>
        <v>0</v>
      </c>
      <c r="H55" s="73" t="e">
        <f t="shared" si="6"/>
        <v>#DIV/0!</v>
      </c>
      <c r="I55" s="74">
        <f>ROUND(HLOOKUP($I$2,bs!$D$1:$AE$68,ROW(bs!K50),FALSE),0)/IF(LEN($B$1)&gt;4,10000,1)</f>
        <v>0</v>
      </c>
      <c r="J55" s="73" t="e">
        <f t="shared" si="7"/>
        <v>#DIV/0!</v>
      </c>
    </row>
    <row r="56" spans="2:10">
      <c r="B56" s="71" t="s">
        <v>101</v>
      </c>
      <c r="C56" s="72">
        <f>ROUND(HLOOKUP($C$2,bs!$D$1:$AE$68,ROW(bs!D51),FALSE),0)/IF(LEN($B$1)&gt;4,10000,1)</f>
        <v>0</v>
      </c>
      <c r="D56" s="73" t="e">
        <f t="shared" si="4"/>
        <v>#DIV/0!</v>
      </c>
      <c r="E56" s="72">
        <f>ROUND(HLOOKUP($E$2,bs!$D$1:$AE$68,ROW(bs!D51),FALSE),0)/IF(LEN($B$1)&gt;4,10000,1)</f>
        <v>0</v>
      </c>
      <c r="F56" s="73" t="e">
        <f t="shared" si="5"/>
        <v>#DIV/0!</v>
      </c>
      <c r="G56" s="74">
        <f>ROUND(HLOOKUP($G$2,bs!$D$1:$AE$68,ROW(bs!H51),FALSE),0)/IF(LEN($B$1)&gt;4,10000,1)</f>
        <v>0</v>
      </c>
      <c r="H56" s="73" t="e">
        <f t="shared" si="6"/>
        <v>#DIV/0!</v>
      </c>
      <c r="I56" s="74">
        <f>ROUND(HLOOKUP($I$2,bs!$D$1:$AE$68,ROW(bs!K51),FALSE),0)/IF(LEN($B$1)&gt;4,10000,1)</f>
        <v>0</v>
      </c>
      <c r="J56" s="73" t="e">
        <f t="shared" si="7"/>
        <v>#DIV/0!</v>
      </c>
    </row>
    <row r="57" spans="2:10">
      <c r="B57" s="71" t="s">
        <v>103</v>
      </c>
      <c r="C57" s="72">
        <f>ROUND(HLOOKUP($C$2,bs!$D$1:$AE$68,ROW(bs!D52),FALSE),0)/IF(LEN($B$1)&gt;4,10000,1)</f>
        <v>0</v>
      </c>
      <c r="D57" s="73" t="e">
        <f t="shared" si="4"/>
        <v>#DIV/0!</v>
      </c>
      <c r="E57" s="72">
        <f>ROUND(HLOOKUP($E$2,bs!$D$1:$AE$68,ROW(bs!D52),FALSE),0)/IF(LEN($B$1)&gt;4,10000,1)</f>
        <v>0</v>
      </c>
      <c r="F57" s="73" t="e">
        <f t="shared" si="5"/>
        <v>#DIV/0!</v>
      </c>
      <c r="G57" s="74">
        <f>ROUND(HLOOKUP($G$2,bs!$D$1:$AE$68,ROW(bs!H52),FALSE),0)/IF(LEN($B$1)&gt;4,10000,1)</f>
        <v>0</v>
      </c>
      <c r="H57" s="73" t="e">
        <f t="shared" si="6"/>
        <v>#DIV/0!</v>
      </c>
      <c r="I57" s="74">
        <f>ROUND(HLOOKUP($I$2,bs!$D$1:$AE$68,ROW(bs!K52),FALSE),0)/IF(LEN($B$1)&gt;4,10000,1)</f>
        <v>0</v>
      </c>
      <c r="J57" s="73" t="e">
        <f t="shared" si="7"/>
        <v>#DIV/0!</v>
      </c>
    </row>
    <row r="58" spans="2:10">
      <c r="B58" s="71" t="s">
        <v>105</v>
      </c>
      <c r="C58" s="72">
        <f>ROUND(HLOOKUP($C$2,bs!$D$1:$AE$68,ROW(bs!D53),FALSE),0)/IF(LEN($B$1)&gt;4,10000,1)</f>
        <v>0</v>
      </c>
      <c r="D58" s="73" t="e">
        <f t="shared" si="4"/>
        <v>#DIV/0!</v>
      </c>
      <c r="E58" s="72">
        <f>ROUND(HLOOKUP($E$2,bs!$D$1:$AE$68,ROW(bs!D53),FALSE),0)/IF(LEN($B$1)&gt;4,10000,1)</f>
        <v>0</v>
      </c>
      <c r="F58" s="73" t="e">
        <f t="shared" si="5"/>
        <v>#DIV/0!</v>
      </c>
      <c r="G58" s="74">
        <f>ROUND(HLOOKUP($G$2,bs!$D$1:$AE$68,ROW(bs!H53),FALSE),0)/IF(LEN($B$1)&gt;4,10000,1)</f>
        <v>0</v>
      </c>
      <c r="H58" s="73" t="e">
        <f t="shared" si="6"/>
        <v>#DIV/0!</v>
      </c>
      <c r="I58" s="74">
        <f>ROUND(HLOOKUP($I$2,bs!$D$1:$AE$68,ROW(bs!K53),FALSE),0)/IF(LEN($B$1)&gt;4,10000,1)</f>
        <v>0</v>
      </c>
      <c r="J58" s="73" t="e">
        <f t="shared" si="7"/>
        <v>#DIV/0!</v>
      </c>
    </row>
    <row r="59" spans="2:10">
      <c r="B59" s="71" t="s">
        <v>107</v>
      </c>
      <c r="C59" s="72">
        <f>ROUND(HLOOKUP($C$2,bs!$D$1:$AE$68,ROW(bs!D54),FALSE),0)/IF(LEN($B$1)&gt;4,10000,1)</f>
        <v>0</v>
      </c>
      <c r="D59" s="73" t="e">
        <f t="shared" si="4"/>
        <v>#DIV/0!</v>
      </c>
      <c r="E59" s="72">
        <f>ROUND(HLOOKUP($E$2,bs!$D$1:$AE$68,ROW(bs!D54),FALSE),0)/IF(LEN($B$1)&gt;4,10000,1)</f>
        <v>0</v>
      </c>
      <c r="F59" s="73" t="e">
        <f t="shared" si="5"/>
        <v>#DIV/0!</v>
      </c>
      <c r="G59" s="74">
        <f>ROUND(HLOOKUP($G$2,bs!$D$1:$AE$68,ROW(bs!H54),FALSE),0)/IF(LEN($B$1)&gt;4,10000,1)</f>
        <v>0</v>
      </c>
      <c r="H59" s="73" t="e">
        <f t="shared" si="6"/>
        <v>#DIV/0!</v>
      </c>
      <c r="I59" s="74">
        <f>ROUND(HLOOKUP($I$2,bs!$D$1:$AE$68,ROW(bs!K54),FALSE),0)/IF(LEN($B$1)&gt;4,10000,1)</f>
        <v>0</v>
      </c>
      <c r="J59" s="73" t="e">
        <f t="shared" si="7"/>
        <v>#DIV/0!</v>
      </c>
    </row>
    <row r="60" spans="2:10">
      <c r="B60" s="71" t="s">
        <v>109</v>
      </c>
      <c r="C60" s="72">
        <f>ROUND(HLOOKUP($C$2,bs!$D$1:$AE$68,ROW(bs!D55),FALSE),0)/IF(LEN($B$1)&gt;4,10000,1)</f>
        <v>0</v>
      </c>
      <c r="D60" s="73" t="e">
        <f t="shared" si="4"/>
        <v>#DIV/0!</v>
      </c>
      <c r="E60" s="72">
        <f>ROUND(HLOOKUP($E$2,bs!$D$1:$AE$68,ROW(bs!D55),FALSE),0)/IF(LEN($B$1)&gt;4,10000,1)</f>
        <v>0</v>
      </c>
      <c r="F60" s="73" t="e">
        <f t="shared" si="5"/>
        <v>#DIV/0!</v>
      </c>
      <c r="G60" s="74">
        <f>ROUND(HLOOKUP($G$2,bs!$D$1:$AE$68,ROW(bs!H54),FALSE),0)/IF(LEN($B$1)&gt;4,10000,1)</f>
        <v>0</v>
      </c>
      <c r="H60" s="73" t="e">
        <f t="shared" si="6"/>
        <v>#DIV/0!</v>
      </c>
      <c r="I60" s="74">
        <f>ROUND(HLOOKUP($I$2,bs!$D$1:$AE$68,ROW(bs!K55),FALSE),0)/IF(LEN($B$1)&gt;4,10000,1)</f>
        <v>0</v>
      </c>
      <c r="J60" s="73" t="e">
        <f t="shared" si="7"/>
        <v>#DIV/0!</v>
      </c>
    </row>
    <row r="61" spans="2:10">
      <c r="B61" s="75" t="s">
        <v>111</v>
      </c>
      <c r="C61" s="76">
        <f>ROUND(HLOOKUP($C$2,bs!$D$1:$AE$68,ROW(bs!D56),FALSE),0)/IF(LEN($B$1)&gt;4,10000,1)</f>
        <v>0</v>
      </c>
      <c r="D61" s="77" t="e">
        <f t="shared" si="4"/>
        <v>#DIV/0!</v>
      </c>
      <c r="E61" s="76">
        <f>ROUND(HLOOKUP($E$2,bs!$D$1:$AE$68,ROW(bs!D56),FALSE),0)/IF(LEN($B$1)&gt;4,10000,1)</f>
        <v>0</v>
      </c>
      <c r="F61" s="77" t="e">
        <f t="shared" si="5"/>
        <v>#DIV/0!</v>
      </c>
      <c r="G61" s="78">
        <f>ROUND(HLOOKUP($G$2,bs!$D$1:$AE$68,ROW(bs!H55),FALSE),0)/IF(LEN($B$1)&gt;4,10000,1)</f>
        <v>0</v>
      </c>
      <c r="H61" s="77" t="e">
        <f t="shared" si="6"/>
        <v>#DIV/0!</v>
      </c>
      <c r="I61" s="78">
        <f>ROUND(HLOOKUP($I$2,bs!$D$1:$AE$68,ROW(bs!K56),FALSE),0)/IF(LEN($B$1)&gt;4,10000,1)</f>
        <v>0</v>
      </c>
      <c r="J61" s="77" t="e">
        <f t="shared" si="7"/>
        <v>#DIV/0!</v>
      </c>
    </row>
    <row r="62" spans="2:10">
      <c r="B62" s="75" t="s">
        <v>113</v>
      </c>
      <c r="C62" s="76">
        <f>ROUND(HLOOKUP($C$2,bs!$D$1:$AE$68,ROW(bs!D57),FALSE),0)/IF(LEN($B$1)&gt;4,10000,1)</f>
        <v>0</v>
      </c>
      <c r="D62" s="77" t="e">
        <f t="shared" si="4"/>
        <v>#DIV/0!</v>
      </c>
      <c r="E62" s="76">
        <f>ROUND(HLOOKUP($E$2,bs!$D$1:$AE$68,ROW(bs!D57),FALSE),0)/IF(LEN($B$1)&gt;4,10000,1)</f>
        <v>0</v>
      </c>
      <c r="F62" s="77" t="e">
        <f t="shared" si="5"/>
        <v>#DIV/0!</v>
      </c>
      <c r="G62" s="78">
        <f>ROUND(HLOOKUP($G$2,bs!$D$1:$AE$68,ROW(bs!H57),FALSE),0)/IF(LEN($B$1)&gt;4,10000,1)</f>
        <v>0</v>
      </c>
      <c r="H62" s="77" t="e">
        <f t="shared" si="6"/>
        <v>#DIV/0!</v>
      </c>
      <c r="I62" s="78">
        <f>ROUND(HLOOKUP($I$2,bs!$D$1:$AE$68,ROW(bs!K57),FALSE),0)/IF(LEN($B$1)&gt;4,10000,1)</f>
        <v>0</v>
      </c>
      <c r="J62" s="77" t="e">
        <f t="shared" si="7"/>
        <v>#DIV/0!</v>
      </c>
    </row>
    <row r="63" spans="2:10">
      <c r="B63" s="79"/>
      <c r="C63" s="80"/>
      <c r="D63" s="81"/>
      <c r="E63" s="80"/>
      <c r="F63" s="81"/>
      <c r="G63" s="82"/>
      <c r="H63" s="81"/>
      <c r="I63" s="82" t="s">
        <v>300</v>
      </c>
      <c r="J63" s="81"/>
    </row>
    <row r="64" spans="2:10">
      <c r="B64" s="146" t="s">
        <v>334</v>
      </c>
      <c r="C64" s="147">
        <f>C2</f>
        <v>44957</v>
      </c>
      <c r="D64" s="148"/>
      <c r="E64" s="147">
        <f>E2</f>
        <v>44926</v>
      </c>
      <c r="F64" s="148"/>
      <c r="G64" s="147">
        <f>G2</f>
        <v>44561</v>
      </c>
      <c r="H64" s="148"/>
      <c r="I64" s="147">
        <f>I2</f>
        <v>44196</v>
      </c>
      <c r="J64" s="148"/>
    </row>
    <row r="65" spans="2:10">
      <c r="B65" s="146"/>
      <c r="C65" s="70" t="s">
        <v>357</v>
      </c>
      <c r="D65" s="70" t="s">
        <v>358</v>
      </c>
      <c r="E65" s="70" t="s">
        <v>357</v>
      </c>
      <c r="F65" s="70" t="s">
        <v>358</v>
      </c>
      <c r="G65" s="70" t="s">
        <v>357</v>
      </c>
      <c r="H65" s="70" t="s">
        <v>358</v>
      </c>
      <c r="I65" s="70" t="s">
        <v>357</v>
      </c>
      <c r="J65" s="70" t="s">
        <v>358</v>
      </c>
    </row>
    <row r="66" spans="2:10">
      <c r="B66" s="71" t="s">
        <v>115</v>
      </c>
      <c r="C66" s="72">
        <f>ROUND(HLOOKUP($C$2,bs!$D$1:$AE$68,ROW(bs!D58),FALSE),0)/IF(LEN($B$1)&gt;4,10000,1)</f>
        <v>0</v>
      </c>
      <c r="D66" s="73" t="e">
        <f>C66/$C$75</f>
        <v>#DIV/0!</v>
      </c>
      <c r="E66" s="72">
        <f>ROUND(HLOOKUP($E$2,bs!$D$1:$AE$68,ROW(bs!D58),FALSE),0)/IF(LEN($B$1)&gt;4,10000,1)</f>
        <v>0</v>
      </c>
      <c r="F66" s="73" t="e">
        <f>E66/$E$75</f>
        <v>#DIV/0!</v>
      </c>
      <c r="G66" s="74">
        <f>ROUND(HLOOKUP($G$2,bs!$D$1:$AE$68,ROW(bs!H58),FALSE),0)/IF(LEN($B$1)&gt;4,10000,1)</f>
        <v>0</v>
      </c>
      <c r="H66" s="73" t="e">
        <f>G66/$G$75</f>
        <v>#DIV/0!</v>
      </c>
      <c r="I66" s="83">
        <f>ROUND(HLOOKUP($I$2,bs!$D$1:$AE$68,ROW(bs!K58),FALSE),0)/IF(LEN($B$1)&gt;4,10000,1)</f>
        <v>0</v>
      </c>
      <c r="J66" s="73" t="e">
        <f>I66/$I$75</f>
        <v>#DIV/0!</v>
      </c>
    </row>
    <row r="67" spans="2:10">
      <c r="B67" s="71" t="s">
        <v>117</v>
      </c>
      <c r="C67" s="72">
        <f>ROUND(HLOOKUP($C$2,bs!$D$1:$AE$68,ROW(bs!D59),FALSE),0)/IF(LEN($B$1)&gt;4,10000,1)</f>
        <v>0</v>
      </c>
      <c r="D67" s="73" t="e">
        <f t="shared" ref="D67:D75" si="8">C67/$C$75</f>
        <v>#DIV/0!</v>
      </c>
      <c r="E67" s="72">
        <f>ROUND(HLOOKUP($E$2,bs!$D$1:$AE$68,ROW(bs!D59),FALSE),0)/IF(LEN($B$1)&gt;4,10000,1)</f>
        <v>0</v>
      </c>
      <c r="F67" s="73" t="e">
        <f t="shared" ref="F67:F75" si="9">E67/$E$75</f>
        <v>#DIV/0!</v>
      </c>
      <c r="G67" s="74">
        <f>ROUND(HLOOKUP($G$2,bs!$D$1:$AE$68,ROW(bs!H59),FALSE),0)/IF(LEN($B$1)&gt;4,10000,1)</f>
        <v>0</v>
      </c>
      <c r="H67" s="73" t="e">
        <f t="shared" ref="H67:H75" si="10">G67/$G$75</f>
        <v>#DIV/0!</v>
      </c>
      <c r="I67" s="74">
        <f>ROUND(HLOOKUP($I$2,bs!$D$1:$AE$68,ROW(bs!K59),FALSE),0)/IF(LEN($B$1)&gt;4,10000,1)</f>
        <v>0</v>
      </c>
      <c r="J67" s="73" t="e">
        <f t="shared" ref="J67:J75" si="11">I67/$I$75</f>
        <v>#DIV/0!</v>
      </c>
    </row>
    <row r="68" spans="2:10">
      <c r="B68" s="71" t="s">
        <v>119</v>
      </c>
      <c r="C68" s="72">
        <f>ROUND(HLOOKUP($C$2,bs!$D$1:$AE$68,ROW(bs!D60),FALSE),0)/IF(LEN($B$1)&gt;4,10000,1)</f>
        <v>0</v>
      </c>
      <c r="D68" s="73" t="e">
        <f t="shared" si="8"/>
        <v>#DIV/0!</v>
      </c>
      <c r="E68" s="72">
        <f>ROUND(HLOOKUP($E$2,bs!$D$1:$AE$68,ROW(bs!D60),FALSE),0)/IF(LEN($B$1)&gt;4,10000,1)</f>
        <v>0</v>
      </c>
      <c r="F68" s="73" t="e">
        <f t="shared" si="9"/>
        <v>#DIV/0!</v>
      </c>
      <c r="G68" s="74">
        <f>ROUND(HLOOKUP($G$2,bs!$D$1:$AE$68,ROW(bs!H60),FALSE),0)/IF(LEN($B$1)&gt;4,10000,1)</f>
        <v>0</v>
      </c>
      <c r="H68" s="73" t="e">
        <f t="shared" si="10"/>
        <v>#DIV/0!</v>
      </c>
      <c r="I68" s="74">
        <f>ROUND(HLOOKUP($I$2,bs!$D$1:$AE$68,ROW(bs!K60),FALSE),0)/IF(LEN($B$1)&gt;4,10000,1)</f>
        <v>0</v>
      </c>
      <c r="J68" s="73" t="e">
        <f t="shared" si="11"/>
        <v>#DIV/0!</v>
      </c>
    </row>
    <row r="69" spans="2:10">
      <c r="B69" s="71" t="s">
        <v>120</v>
      </c>
      <c r="C69" s="72">
        <f>ROUND(HLOOKUP($C$2,bs!$D$1:$AE$68,ROW(bs!D61),FALSE),0)/IF(LEN($B$1)&gt;4,10000,1)</f>
        <v>0</v>
      </c>
      <c r="D69" s="73" t="e">
        <f t="shared" si="8"/>
        <v>#DIV/0!</v>
      </c>
      <c r="E69" s="72">
        <f>ROUND(HLOOKUP($E$2,bs!$D$1:$AE$68,ROW(bs!D61),FALSE),0)/IF(LEN($B$1)&gt;4,10000,1)</f>
        <v>0</v>
      </c>
      <c r="F69" s="73" t="e">
        <f t="shared" si="9"/>
        <v>#DIV/0!</v>
      </c>
      <c r="G69" s="74">
        <f>ROUND(HLOOKUP($G$2,bs!$D$1:$AE$68,ROW(bs!H61),FALSE),0)/IF(LEN($B$1)&gt;4,10000,1)</f>
        <v>0</v>
      </c>
      <c r="H69" s="73" t="e">
        <f t="shared" si="10"/>
        <v>#DIV/0!</v>
      </c>
      <c r="I69" s="74">
        <f>ROUND(HLOOKUP($I$2,bs!$D$1:$AE$68,ROW(bs!K61),FALSE),0)/IF(LEN($B$1)&gt;4,10000,1)</f>
        <v>0</v>
      </c>
      <c r="J69" s="73" t="e">
        <f t="shared" si="11"/>
        <v>#DIV/0!</v>
      </c>
    </row>
    <row r="70" spans="2:10">
      <c r="B70" s="71" t="s">
        <v>122</v>
      </c>
      <c r="C70" s="72">
        <f>ROUND(HLOOKUP($C$2,bs!$D$1:$AE$68,ROW(bs!D62),FALSE),0)/IF(LEN($B$1)&gt;4,10000,1)</f>
        <v>0</v>
      </c>
      <c r="D70" s="73" t="e">
        <f t="shared" si="8"/>
        <v>#DIV/0!</v>
      </c>
      <c r="E70" s="72">
        <f>ROUND(HLOOKUP($E$2,bs!$D$1:$AE$68,ROW(bs!D62),FALSE),0)/IF(LEN($B$1)&gt;4,10000,1)</f>
        <v>0</v>
      </c>
      <c r="F70" s="73" t="e">
        <f t="shared" si="9"/>
        <v>#DIV/0!</v>
      </c>
      <c r="G70" s="74">
        <f>ROUND(HLOOKUP($G$2,bs!$D$1:$AE$68,ROW(bs!H62),FALSE),0)/IF(LEN($B$1)&gt;4,10000,1)</f>
        <v>0</v>
      </c>
      <c r="H70" s="73" t="e">
        <f t="shared" si="10"/>
        <v>#DIV/0!</v>
      </c>
      <c r="I70" s="74">
        <f>ROUND(HLOOKUP($I$2,bs!$D$1:$AE$68,ROW(bs!K62),FALSE),0)/IF(LEN($B$1)&gt;4,10000,1)</f>
        <v>0</v>
      </c>
      <c r="J70" s="73" t="e">
        <f t="shared" si="11"/>
        <v>#DIV/0!</v>
      </c>
    </row>
    <row r="71" spans="2:10">
      <c r="B71" s="71" t="s">
        <v>124</v>
      </c>
      <c r="C71" s="72">
        <f>ROUND(HLOOKUP($C$2,bs!$D$1:$AE$68,ROW(bs!D63),FALSE),0)/IF(LEN($B$1)&gt;4,10000,1)</f>
        <v>0</v>
      </c>
      <c r="D71" s="73" t="e">
        <f t="shared" si="8"/>
        <v>#DIV/0!</v>
      </c>
      <c r="E71" s="72">
        <f>ROUND(HLOOKUP($E$2,bs!$D$1:$AE$68,ROW(bs!D63),FALSE),0)/IF(LEN($B$1)&gt;4,10000,1)</f>
        <v>0</v>
      </c>
      <c r="F71" s="73" t="e">
        <f t="shared" si="9"/>
        <v>#DIV/0!</v>
      </c>
      <c r="G71" s="74">
        <f>ROUND(HLOOKUP($G$2,bs!$D$1:$AE$68,ROW(bs!H63),FALSE),0)/IF(LEN($B$1)&gt;4,10000,1)</f>
        <v>0</v>
      </c>
      <c r="H71" s="73" t="e">
        <f t="shared" si="10"/>
        <v>#DIV/0!</v>
      </c>
      <c r="I71" s="74">
        <f>ROUND(HLOOKUP($I$2,bs!$D$1:$AE$68,ROW(bs!K63),FALSE),0)/IF(LEN($B$1)&gt;4,10000,1)</f>
        <v>0</v>
      </c>
      <c r="J71" s="73" t="e">
        <f t="shared" si="11"/>
        <v>#DIV/0!</v>
      </c>
    </row>
    <row r="72" spans="2:10">
      <c r="B72" s="71" t="s">
        <v>126</v>
      </c>
      <c r="C72" s="72">
        <f>ROUND(HLOOKUP($C$2,bs!$D$1:$AE$68,ROW(bs!D64),FALSE),0)/IF(LEN($B$1)&gt;4,10000,1)</f>
        <v>0</v>
      </c>
      <c r="D72" s="73" t="e">
        <f t="shared" si="8"/>
        <v>#DIV/0!</v>
      </c>
      <c r="E72" s="72">
        <f>ROUND(HLOOKUP($E$2,bs!$D$1:$AE$68,ROW(bs!D64),FALSE),0)/IF(LEN($B$1)&gt;4,10000,1)</f>
        <v>0</v>
      </c>
      <c r="F72" s="73" t="e">
        <f t="shared" si="9"/>
        <v>#DIV/0!</v>
      </c>
      <c r="G72" s="74">
        <f>ROUND(HLOOKUP($G$2,bs!$D$1:$AE$68,ROW(bs!H64),FALSE),0)/IF(LEN($B$1)&gt;4,10000,1)</f>
        <v>0</v>
      </c>
      <c r="H72" s="73" t="e">
        <f t="shared" si="10"/>
        <v>#DIV/0!</v>
      </c>
      <c r="I72" s="74">
        <f>ROUND(HLOOKUP($I$2,bs!$D$1:$AE$68,ROW(bs!K64),FALSE),0)/IF(LEN($B$1)&gt;4,10000,1)</f>
        <v>0</v>
      </c>
      <c r="J72" s="73" t="e">
        <f t="shared" si="11"/>
        <v>#DIV/0!</v>
      </c>
    </row>
    <row r="73" spans="2:10" ht="22.5">
      <c r="B73" s="75" t="s">
        <v>128</v>
      </c>
      <c r="C73" s="76">
        <f>ROUND(HLOOKUP($C$2,bs!$D$1:$AE$68,ROW(bs!D65),FALSE),0)/IF(LEN($B$1)&gt;4,10000,1)</f>
        <v>0</v>
      </c>
      <c r="D73" s="77" t="e">
        <f t="shared" si="8"/>
        <v>#DIV/0!</v>
      </c>
      <c r="E73" s="76">
        <f>ROUND(HLOOKUP($E$2,bs!$D$1:$AE$68,ROW(bs!D65),FALSE),0)/IF(LEN($B$1)&gt;4,10000,1)</f>
        <v>0</v>
      </c>
      <c r="F73" s="77" t="e">
        <f t="shared" si="9"/>
        <v>#DIV/0!</v>
      </c>
      <c r="G73" s="78">
        <f>ROUND(HLOOKUP($G$2,bs!$D$1:$AE$68,ROW(bs!H65),FALSE),0)/IF(LEN($B$1)&gt;4,10000,1)</f>
        <v>0</v>
      </c>
      <c r="H73" s="77" t="e">
        <f t="shared" si="10"/>
        <v>#DIV/0!</v>
      </c>
      <c r="I73" s="78">
        <f>ROUND(HLOOKUP($I$2,bs!$D$1:$AE$68,ROW(bs!K65),FALSE),0)/IF(LEN($B$1)&gt;4,10000,1)</f>
        <v>0</v>
      </c>
      <c r="J73" s="77" t="e">
        <f t="shared" si="11"/>
        <v>#DIV/0!</v>
      </c>
    </row>
    <row r="74" spans="2:10">
      <c r="B74" s="71" t="s">
        <v>130</v>
      </c>
      <c r="C74" s="72">
        <f>ROUND(HLOOKUP($C$2,bs!$D$1:$AE$68,ROW(bs!D66),FALSE),0)/IF(LEN($B$1)&gt;4,10000,1)</f>
        <v>0</v>
      </c>
      <c r="D74" s="73" t="e">
        <f t="shared" si="8"/>
        <v>#DIV/0!</v>
      </c>
      <c r="E74" s="72">
        <f>ROUND(HLOOKUP($E$2,bs!$D$1:$AE$68,ROW(bs!D66),FALSE),0)/IF(LEN($B$1)&gt;4,10000,1)</f>
        <v>0</v>
      </c>
      <c r="F74" s="73" t="e">
        <f t="shared" si="9"/>
        <v>#DIV/0!</v>
      </c>
      <c r="G74" s="74">
        <f>ROUND(HLOOKUP($G$2,bs!$D$1:$AE$68,ROW(bs!H66),FALSE),0)/IF(LEN($B$1)&gt;4,10000,1)</f>
        <v>0</v>
      </c>
      <c r="H74" s="73" t="e">
        <f t="shared" si="10"/>
        <v>#DIV/0!</v>
      </c>
      <c r="I74" s="74">
        <f>ROUND(HLOOKUP($I$2,bs!$D$1:$AE$68,ROW(bs!K66),FALSE),0)/IF(LEN($B$1)&gt;4,10000,1)</f>
        <v>0</v>
      </c>
      <c r="J74" s="73" t="e">
        <f t="shared" si="11"/>
        <v>#DIV/0!</v>
      </c>
    </row>
    <row r="75" spans="2:10">
      <c r="B75" s="75" t="s">
        <v>132</v>
      </c>
      <c r="C75" s="76">
        <f>ROUND(HLOOKUP($C$2,bs!$D$1:$AE$68,ROW(bs!D67),FALSE),0)/IF(LEN($B$1)&gt;4,10000,1)</f>
        <v>0</v>
      </c>
      <c r="D75" s="77" t="e">
        <f t="shared" si="8"/>
        <v>#DIV/0!</v>
      </c>
      <c r="E75" s="76">
        <f>ROUND(HLOOKUP($E$2,bs!$D$1:$AE$68,ROW(bs!D67),FALSE),0)/IF(LEN($B$1)&gt;4,10000,1)</f>
        <v>0</v>
      </c>
      <c r="F75" s="77" t="e">
        <f t="shared" si="9"/>
        <v>#DIV/0!</v>
      </c>
      <c r="G75" s="78">
        <f>ROUND(HLOOKUP($G$2,bs!$D$1:$AE$68,ROW(bs!H67),FALSE),0)/IF(LEN($B$1)&gt;4,10000,1)</f>
        <v>0</v>
      </c>
      <c r="H75" s="77" t="e">
        <f t="shared" si="10"/>
        <v>#DIV/0!</v>
      </c>
      <c r="I75" s="78">
        <f>ROUND(HLOOKUP($I$2,bs!$D$1:$AE$68,ROW(bs!K67),FALSE),0)/IF(LEN($B$1)&gt;4,10000,1)</f>
        <v>0</v>
      </c>
      <c r="J75" s="77" t="e">
        <f t="shared" si="11"/>
        <v>#DIV/0!</v>
      </c>
    </row>
  </sheetData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</customSheetView>
  </customSheetViews>
  <mergeCells count="16">
    <mergeCell ref="B1:J1"/>
    <mergeCell ref="C2:D2"/>
    <mergeCell ref="E2:F2"/>
    <mergeCell ref="G2:H2"/>
    <mergeCell ref="I2:J2"/>
    <mergeCell ref="B2:B3"/>
    <mergeCell ref="I39:J39"/>
    <mergeCell ref="C64:D64"/>
    <mergeCell ref="E64:F64"/>
    <mergeCell ref="G64:H64"/>
    <mergeCell ref="I64:J64"/>
    <mergeCell ref="B39:B40"/>
    <mergeCell ref="B64:B65"/>
    <mergeCell ref="C39:D39"/>
    <mergeCell ref="E39:F39"/>
    <mergeCell ref="G39:H39"/>
  </mergeCells>
  <phoneticPr fontId="39" type="noConversion"/>
  <dataValidations count="1">
    <dataValidation type="list" allowBlank="1" showInputMessage="1" showErrorMessage="1" sqref="B1" xr:uid="{00000000-0002-0000-05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11"/>
  <sheetViews>
    <sheetView topLeftCell="F1" workbookViewId="0">
      <selection activeCell="H7" sqref="H7"/>
    </sheetView>
  </sheetViews>
  <sheetFormatPr defaultColWidth="9" defaultRowHeight="12.75"/>
  <cols>
    <col min="1" max="1" width="36.28515625" customWidth="1"/>
    <col min="2" max="2" width="19.5703125" customWidth="1"/>
    <col min="3" max="3" width="17.28515625" customWidth="1"/>
    <col min="4" max="4" width="17.7109375" customWidth="1"/>
    <col min="5" max="5" width="17.28515625" customWidth="1"/>
    <col min="6" max="6" width="14.28515625" customWidth="1"/>
    <col min="7" max="7" width="26.7109375" customWidth="1"/>
    <col min="8" max="8" width="13.28515625" customWidth="1"/>
    <col min="9" max="9" width="13.5703125" customWidth="1"/>
    <col min="10" max="10" width="14.28515625" customWidth="1"/>
    <col min="11" max="11" width="13.5703125" customWidth="1"/>
  </cols>
  <sheetData>
    <row r="1" spans="1:13" ht="14.25">
      <c r="A1" s="54" t="s">
        <v>334</v>
      </c>
      <c r="B1" s="55">
        <f>'财务分析（2022）'!B3</f>
        <v>44957</v>
      </c>
      <c r="C1" s="55">
        <f>'财务分析（2022）'!C3</f>
        <v>44926</v>
      </c>
      <c r="D1" s="55">
        <f>'财务分析（2022）'!D3</f>
        <v>44561</v>
      </c>
      <c r="E1" s="56">
        <f>'财务分析（2022）'!E3</f>
        <v>44196</v>
      </c>
      <c r="F1" t="s">
        <v>300</v>
      </c>
      <c r="G1" s="57" t="str">
        <f>A1</f>
        <v>项目</v>
      </c>
      <c r="H1" s="58">
        <f>B1</f>
        <v>44957</v>
      </c>
      <c r="I1" s="58">
        <f>C1</f>
        <v>44926</v>
      </c>
      <c r="J1" s="58">
        <f>D1</f>
        <v>44561</v>
      </c>
      <c r="K1" s="67">
        <f>E1</f>
        <v>44196</v>
      </c>
    </row>
    <row r="2" spans="1:13" ht="15.75">
      <c r="A2" s="54" t="s">
        <v>359</v>
      </c>
      <c r="B2" s="59">
        <f>B3-B4</f>
        <v>0</v>
      </c>
      <c r="C2" s="59">
        <f>C3-C4</f>
        <v>0</v>
      </c>
      <c r="D2" s="59">
        <f>D3-D4</f>
        <v>0</v>
      </c>
      <c r="E2" s="59">
        <f>E3-E4</f>
        <v>0</v>
      </c>
      <c r="G2" s="60" t="str">
        <f t="shared" ref="G2:G11" si="0">A2</f>
        <v>经营活动现金流量净额</v>
      </c>
      <c r="H2" s="61">
        <f t="shared" ref="H2:H11" si="1">ROUND(B2,0)/IF(LEN($F$1)&gt;4,10000,1)</f>
        <v>0</v>
      </c>
      <c r="I2" s="61">
        <f t="shared" ref="I2:I11" si="2">ROUND(C2,0)/IF(LEN($F$1)&gt;4,10000,1)</f>
        <v>0</v>
      </c>
      <c r="J2" s="61">
        <f t="shared" ref="J2:J11" si="3">ROUND(D2,0)/IF(LEN($F$1)&gt;4,10000,1)</f>
        <v>0</v>
      </c>
      <c r="K2" s="61">
        <f t="shared" ref="K2:K11" si="4">ROUND(E2,0)/IF(LEN($F$1)&gt;4,10000,1)</f>
        <v>0</v>
      </c>
      <c r="M2" t="str">
        <f>CONCATENATE("近三年及一期，拟承租人",G2,"分别为",ROUND(K2/10000,2),"亿元、",ROUND(J2/10000,2),"亿元、",ROUND(I2/10000,2),"亿元和",ROUND(H2/10000,2),"亿元。")</f>
        <v>近三年及一期，拟承租人经营活动现金流量净额分别为0亿元、0亿元、0亿元和0亿元。</v>
      </c>
    </row>
    <row r="3" spans="1:13" ht="15.75">
      <c r="A3" s="62" t="s">
        <v>360</v>
      </c>
      <c r="B3" s="63">
        <f>HLOOKUP(B1,cf!$C$1:$CL$39,ROW(cf!C6))</f>
        <v>0</v>
      </c>
      <c r="C3" s="63">
        <f>HLOOKUP(C1,cf!$C$1:$CL$39,ROW(cf!D6))</f>
        <v>0</v>
      </c>
      <c r="D3" s="63">
        <f>HLOOKUP(D1,cf!$C$1:$CL$39,ROW(cf!E6))</f>
        <v>0</v>
      </c>
      <c r="E3" s="63">
        <f>HLOOKUP(E1,cf!$C$1:$CL$39,ROW(cf!F6))</f>
        <v>0</v>
      </c>
      <c r="G3" s="64" t="str">
        <f t="shared" si="0"/>
        <v>经营活动现金流入</v>
      </c>
      <c r="H3" s="65">
        <f t="shared" si="1"/>
        <v>0</v>
      </c>
      <c r="I3" s="65">
        <f t="shared" si="2"/>
        <v>0</v>
      </c>
      <c r="J3" s="65">
        <f t="shared" si="3"/>
        <v>0</v>
      </c>
      <c r="K3" s="65">
        <f t="shared" si="4"/>
        <v>0</v>
      </c>
      <c r="M3" t="str">
        <f>CONCATENATE("近三年及一期，拟承租人",G3,"分别为",ROUND(K3/10000,2),"亿元、",ROUND(J3/10000,2),"亿元、",ROUND(I3/10000,2),"亿元和",ROUND(H3/10000,2),"亿元。")</f>
        <v>近三年及一期，拟承租人经营活动现金流入分别为0亿元、0亿元、0亿元和0亿元。</v>
      </c>
    </row>
    <row r="4" spans="1:13" ht="15.75">
      <c r="A4" s="62" t="s">
        <v>361</v>
      </c>
      <c r="B4" s="63">
        <f>HLOOKUP(B1,cf!$C$1:$CL$39,ROW(cf!C11))</f>
        <v>0</v>
      </c>
      <c r="C4" s="63">
        <f>HLOOKUP(C1,cf!$C$1:$CL$39,ROW(cf!D11))</f>
        <v>0</v>
      </c>
      <c r="D4" s="63">
        <f>HLOOKUP(D1,cf!$C$1:$CL$39,ROW(cf!E11))</f>
        <v>0</v>
      </c>
      <c r="E4" s="63">
        <f>HLOOKUP(E1,cf!$C$1:$CL$39,ROW(cf!F11))</f>
        <v>0</v>
      </c>
      <c r="G4" s="64" t="str">
        <f t="shared" si="0"/>
        <v>经营活动现金流出</v>
      </c>
      <c r="H4" s="65">
        <f t="shared" si="1"/>
        <v>0</v>
      </c>
      <c r="I4" s="65">
        <f t="shared" si="2"/>
        <v>0</v>
      </c>
      <c r="J4" s="65">
        <f t="shared" si="3"/>
        <v>0</v>
      </c>
      <c r="K4" s="65">
        <f t="shared" si="4"/>
        <v>0</v>
      </c>
      <c r="M4" t="str">
        <f t="shared" ref="M4:M11" si="5">CONCATENATE("近三年及一期，拟承租人",G4,"分别为",ROUND(K4/10000,2),"亿元、",ROUND(J4/10000,2),"亿元、",ROUND(I4/10000,2),"亿元和",ROUND(H4/10000,2),"亿元。")</f>
        <v>近三年及一期，拟承租人经营活动现金流出分别为0亿元、0亿元、0亿元和0亿元。</v>
      </c>
    </row>
    <row r="5" spans="1:13" ht="15.75">
      <c r="A5" s="54" t="s">
        <v>362</v>
      </c>
      <c r="B5" s="59">
        <f>B6-B7</f>
        <v>0</v>
      </c>
      <c r="C5" s="59">
        <f>C6-C7</f>
        <v>0</v>
      </c>
      <c r="D5" s="59">
        <f>D6-D7</f>
        <v>0</v>
      </c>
      <c r="E5" s="59">
        <f>E6-E7</f>
        <v>0</v>
      </c>
      <c r="G5" s="60" t="str">
        <f t="shared" si="0"/>
        <v>投资活动现金流量净额</v>
      </c>
      <c r="H5" s="61">
        <f t="shared" si="1"/>
        <v>0</v>
      </c>
      <c r="I5" s="61">
        <f t="shared" si="2"/>
        <v>0</v>
      </c>
      <c r="J5" s="61">
        <f t="shared" si="3"/>
        <v>0</v>
      </c>
      <c r="K5" s="61">
        <f t="shared" si="4"/>
        <v>0</v>
      </c>
      <c r="M5" t="str">
        <f t="shared" si="5"/>
        <v>近三年及一期，拟承租人投资活动现金流量净额分别为0亿元、0亿元、0亿元和0亿元。</v>
      </c>
    </row>
    <row r="6" spans="1:13" ht="15.75">
      <c r="A6" s="62" t="s">
        <v>363</v>
      </c>
      <c r="B6" s="63">
        <f>HLOOKUP(B1,cf!$C$1:$CL$39,ROW(cf!C19))</f>
        <v>0</v>
      </c>
      <c r="C6" s="63">
        <f>HLOOKUP(C1,cf!$C$1:$CL$39,ROW(cf!D19))</f>
        <v>0</v>
      </c>
      <c r="D6" s="63">
        <f>HLOOKUP(D1,cf!$C$1:$CL$39,ROW(cf!E19))</f>
        <v>0</v>
      </c>
      <c r="E6" s="63">
        <f>HLOOKUP(E1,cf!$C$1:$CL$39,ROW(cf!F19))</f>
        <v>0</v>
      </c>
      <c r="G6" s="64" t="str">
        <f t="shared" si="0"/>
        <v>投资活动现金流入</v>
      </c>
      <c r="H6" s="65">
        <f t="shared" si="1"/>
        <v>0</v>
      </c>
      <c r="I6" s="65">
        <f t="shared" si="2"/>
        <v>0</v>
      </c>
      <c r="J6" s="65">
        <f t="shared" si="3"/>
        <v>0</v>
      </c>
      <c r="K6" s="65">
        <f t="shared" si="4"/>
        <v>0</v>
      </c>
      <c r="M6" t="str">
        <f t="shared" si="5"/>
        <v>近三年及一期，拟承租人投资活动现金流入分别为0亿元、0亿元、0亿元和0亿元。</v>
      </c>
    </row>
    <row r="7" spans="1:13" ht="15.75">
      <c r="A7" s="62" t="s">
        <v>364</v>
      </c>
      <c r="B7" s="63">
        <f>HLOOKUP(B1,cf!$C$1:$CL$39,ROW(cf!C24))</f>
        <v>0</v>
      </c>
      <c r="C7" s="63">
        <f>HLOOKUP(C1,cf!$C$1:$CL$39,ROW(cf!D24))</f>
        <v>0</v>
      </c>
      <c r="D7" s="63">
        <f>HLOOKUP(D1,cf!$C$1:$CL$39,ROW(cf!E24))</f>
        <v>0</v>
      </c>
      <c r="E7" s="63">
        <f>HLOOKUP(E1,cf!$C$1:$CL$39,ROW(cf!F24))</f>
        <v>0</v>
      </c>
      <c r="G7" s="64" t="str">
        <f t="shared" si="0"/>
        <v>投资活动现金流出</v>
      </c>
      <c r="H7" s="65">
        <f t="shared" si="1"/>
        <v>0</v>
      </c>
      <c r="I7" s="65">
        <f t="shared" si="2"/>
        <v>0</v>
      </c>
      <c r="J7" s="65">
        <f t="shared" si="3"/>
        <v>0</v>
      </c>
      <c r="K7" s="65">
        <f t="shared" si="4"/>
        <v>0</v>
      </c>
      <c r="M7" t="str">
        <f t="shared" si="5"/>
        <v>近三年及一期，拟承租人投资活动现金流出分别为0亿元、0亿元、0亿元和0亿元。</v>
      </c>
    </row>
    <row r="8" spans="1:13" ht="15.75">
      <c r="A8" s="54" t="s">
        <v>365</v>
      </c>
      <c r="B8" s="59">
        <f>B9-B10</f>
        <v>0</v>
      </c>
      <c r="C8" s="59">
        <f>C9-C10</f>
        <v>0</v>
      </c>
      <c r="D8" s="59">
        <f>D9-D10</f>
        <v>0</v>
      </c>
      <c r="E8" s="59">
        <f>E9-E10</f>
        <v>0</v>
      </c>
      <c r="G8" s="60" t="str">
        <f t="shared" si="0"/>
        <v>筹资活动现金流量净额</v>
      </c>
      <c r="H8" s="61">
        <f t="shared" si="1"/>
        <v>0</v>
      </c>
      <c r="I8" s="61">
        <f t="shared" si="2"/>
        <v>0</v>
      </c>
      <c r="J8" s="61">
        <f t="shared" si="3"/>
        <v>0</v>
      </c>
      <c r="K8" s="61">
        <f t="shared" si="4"/>
        <v>0</v>
      </c>
      <c r="M8" t="str">
        <f t="shared" si="5"/>
        <v>近三年及一期，拟承租人筹资活动现金流量净额分别为0亿元、0亿元、0亿元和0亿元。</v>
      </c>
    </row>
    <row r="9" spans="1:13" ht="15.75">
      <c r="A9" s="62" t="s">
        <v>366</v>
      </c>
      <c r="B9" s="63">
        <f>HLOOKUP(B1,cf!$C$1:$CL$39,ROW(cf!C30))</f>
        <v>0</v>
      </c>
      <c r="C9" s="63">
        <f>HLOOKUP(C1,cf!$C$1:$CL$39,ROW(cf!D30))</f>
        <v>0</v>
      </c>
      <c r="D9" s="63">
        <f>HLOOKUP(D1,cf!$C$1:$CL$39,ROW(cf!E30))</f>
        <v>0</v>
      </c>
      <c r="E9" s="63">
        <f>HLOOKUP(E1,cf!$C$1:$CL$39,ROW(cf!F30))</f>
        <v>0</v>
      </c>
      <c r="G9" s="64" t="str">
        <f t="shared" si="0"/>
        <v>筹资活动现金流入</v>
      </c>
      <c r="H9" s="65">
        <f t="shared" si="1"/>
        <v>0</v>
      </c>
      <c r="I9" s="65">
        <f t="shared" si="2"/>
        <v>0</v>
      </c>
      <c r="J9" s="65">
        <f t="shared" si="3"/>
        <v>0</v>
      </c>
      <c r="K9" s="65">
        <f t="shared" si="4"/>
        <v>0</v>
      </c>
      <c r="M9" t="str">
        <f t="shared" si="5"/>
        <v>近三年及一期，拟承租人筹资活动现金流入分别为0亿元、0亿元、0亿元和0亿元。</v>
      </c>
    </row>
    <row r="10" spans="1:13" ht="15.75">
      <c r="A10" s="62" t="s">
        <v>367</v>
      </c>
      <c r="B10" s="63">
        <f>HLOOKUP(B1,cf!$C$1:$CL$39,ROW(cf!C34))</f>
        <v>0</v>
      </c>
      <c r="C10" s="63">
        <f>HLOOKUP(C1,cf!$C$1:$CL$39,ROW(cf!D34))</f>
        <v>0</v>
      </c>
      <c r="D10" s="63">
        <f>HLOOKUP(D1,cf!$C$1:$CL$39,ROW(cf!E34))</f>
        <v>0</v>
      </c>
      <c r="E10" s="63">
        <f>HLOOKUP(E1,cf!$C$1:$CL$39,ROW(cf!F34))</f>
        <v>0</v>
      </c>
      <c r="G10" s="64" t="str">
        <f t="shared" si="0"/>
        <v>筹资活动现金流出</v>
      </c>
      <c r="H10" s="65">
        <f t="shared" si="1"/>
        <v>0</v>
      </c>
      <c r="I10" s="65">
        <f t="shared" si="2"/>
        <v>0</v>
      </c>
      <c r="J10" s="65">
        <f t="shared" si="3"/>
        <v>0</v>
      </c>
      <c r="K10" s="65">
        <f t="shared" si="4"/>
        <v>0</v>
      </c>
      <c r="M10" t="str">
        <f t="shared" si="5"/>
        <v>近三年及一期，拟承租人筹资活动现金流出分别为0亿元、0亿元、0亿元和0亿元。</v>
      </c>
    </row>
    <row r="11" spans="1:13" ht="28.5">
      <c r="A11" s="62" t="s">
        <v>280</v>
      </c>
      <c r="B11" s="63">
        <f>HLOOKUP(B1,cf!$C$1:$CL$39,ROW(cf!C32))</f>
        <v>0</v>
      </c>
      <c r="C11" s="63">
        <f>HLOOKUP(C1,cf!$C$1:$CL$39,ROW(cf!D32))</f>
        <v>0</v>
      </c>
      <c r="D11" s="63">
        <f>HLOOKUP(D1,cf!$C$1:$CL$39,ROW(cf!E32))</f>
        <v>0</v>
      </c>
      <c r="E11" s="63">
        <f>HLOOKUP(E1,cf!$C$1:$CL$39,ROW(cf!F32))</f>
        <v>0</v>
      </c>
      <c r="G11" s="66" t="str">
        <f t="shared" si="0"/>
        <v>分配股利、利润或偿付利息支付的现金</v>
      </c>
      <c r="H11" s="65">
        <f t="shared" si="1"/>
        <v>0</v>
      </c>
      <c r="I11" s="65">
        <f t="shared" si="2"/>
        <v>0</v>
      </c>
      <c r="J11" s="65">
        <f t="shared" si="3"/>
        <v>0</v>
      </c>
      <c r="K11" s="65">
        <f t="shared" si="4"/>
        <v>0</v>
      </c>
      <c r="M11" t="str">
        <f t="shared" si="5"/>
        <v>近三年及一期，拟承租人分配股利、利润或偿付利息支付的现金分别为0亿元、0亿元、0亿元和0亿元。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</customSheetView>
  </customSheetViews>
  <phoneticPr fontId="39" type="noConversion"/>
  <dataValidations count="1">
    <dataValidation type="list" allowBlank="1" showInputMessage="1" showErrorMessage="1" sqref="F1" xr:uid="{00000000-0002-0000-06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K39"/>
  <sheetViews>
    <sheetView topLeftCell="E5" workbookViewId="0">
      <selection activeCell="H31" sqref="H31:H32"/>
    </sheetView>
  </sheetViews>
  <sheetFormatPr defaultColWidth="9" defaultRowHeight="12.75"/>
  <cols>
    <col min="1" max="1" width="28.7109375" customWidth="1"/>
    <col min="2" max="2" width="23.7109375" customWidth="1"/>
    <col min="3" max="3" width="16.28515625" customWidth="1"/>
    <col min="4" max="4" width="17.7109375" customWidth="1"/>
    <col min="5" max="5" width="19.42578125" customWidth="1"/>
    <col min="7" max="7" width="27.5703125" customWidth="1"/>
    <col min="8" max="11" width="17.28515625" customWidth="1"/>
  </cols>
  <sheetData>
    <row r="1" spans="1:11" ht="14.25">
      <c r="A1" s="153" t="s">
        <v>334</v>
      </c>
      <c r="B1" s="33">
        <f>'财务分析（2022）'!B3</f>
        <v>44957</v>
      </c>
      <c r="C1" s="34">
        <f>'财务分析（2022）'!C3</f>
        <v>44926</v>
      </c>
      <c r="D1" s="34">
        <f>'财务分析（2022）'!D3</f>
        <v>44561</v>
      </c>
      <c r="E1" s="34">
        <f>'财务分析（2022）'!E3</f>
        <v>44196</v>
      </c>
      <c r="F1" s="35"/>
      <c r="G1" s="154" t="s">
        <v>334</v>
      </c>
      <c r="H1" s="36">
        <f>B1</f>
        <v>44957</v>
      </c>
      <c r="I1" s="36">
        <f>C1</f>
        <v>44926</v>
      </c>
      <c r="J1" s="36">
        <f>D1</f>
        <v>44561</v>
      </c>
      <c r="K1" s="36">
        <f>E1</f>
        <v>44196</v>
      </c>
    </row>
    <row r="2" spans="1:11" ht="14.25">
      <c r="A2" s="153"/>
      <c r="B2" s="37" t="s">
        <v>357</v>
      </c>
      <c r="C2" s="37" t="s">
        <v>357</v>
      </c>
      <c r="D2" s="37" t="s">
        <v>357</v>
      </c>
      <c r="E2" s="37" t="s">
        <v>357</v>
      </c>
      <c r="F2" s="35"/>
      <c r="G2" s="154"/>
      <c r="H2" s="38" t="s">
        <v>357</v>
      </c>
      <c r="I2" s="38" t="s">
        <v>357</v>
      </c>
      <c r="J2" s="38" t="s">
        <v>357</v>
      </c>
      <c r="K2" s="38" t="s">
        <v>357</v>
      </c>
    </row>
    <row r="3" spans="1:11" ht="15">
      <c r="A3" s="39" t="s">
        <v>368</v>
      </c>
      <c r="B3" s="40">
        <f>HLOOKUP(B1,cf!$C$1:$CL$39,ROW(cf!C3))</f>
        <v>0</v>
      </c>
      <c r="C3" s="40">
        <f>HLOOKUP(C1,cf!$C$1:$CL$39,ROW(cf!D3))</f>
        <v>0</v>
      </c>
      <c r="D3" s="40">
        <f>HLOOKUP(D1,cf!$C$1:$CL$39,ROW(cf!E3))</f>
        <v>0</v>
      </c>
      <c r="E3" s="40">
        <f>HLOOKUP(E1,cf!$C$1:$CL$39,ROW(cf!F3))</f>
        <v>0</v>
      </c>
      <c r="F3" s="35"/>
      <c r="G3" s="41" t="str">
        <f>A3</f>
        <v>销售商品收到的现金</v>
      </c>
      <c r="H3" s="42">
        <f>ROUND(B3/10000,0)</f>
        <v>0</v>
      </c>
      <c r="I3" s="42">
        <f>ROUND(C3/10000,0)</f>
        <v>0</v>
      </c>
      <c r="J3" s="42">
        <f>ROUND(D3/10000,0)</f>
        <v>0</v>
      </c>
      <c r="K3" s="42">
        <f>ROUND(E3/10000,0)</f>
        <v>0</v>
      </c>
    </row>
    <row r="4" spans="1:11" ht="15">
      <c r="A4" s="39" t="s">
        <v>139</v>
      </c>
      <c r="B4" s="43" t="e">
        <f>HLOOKUP(B1,pl!$D$1:$CL$43,ROW(pl!D3),FALSE)</f>
        <v>#N/A</v>
      </c>
      <c r="C4" s="43">
        <f>HLOOKUP(C1,pl!$D$1:$CL$43,ROW(pl!E3),FALSE)</f>
        <v>0</v>
      </c>
      <c r="D4" s="40">
        <f>HLOOKUP(D1,pl!$D$1:$CL$43,ROW(pl!F3),FALSE)</f>
        <v>0</v>
      </c>
      <c r="E4" s="43">
        <f>HLOOKUP(E1,pl!$D$1:$CL$43,ROW(pl!G3),FALSE)</f>
        <v>0</v>
      </c>
      <c r="F4" s="35"/>
      <c r="G4" s="41" t="str">
        <f t="shared" ref="G4:G11" si="0">A4</f>
        <v>主营业务收入</v>
      </c>
      <c r="H4" s="42" t="e">
        <f t="shared" ref="H4:K10" si="1">ROUND(B4/10000,0)</f>
        <v>#N/A</v>
      </c>
      <c r="I4" s="42">
        <f t="shared" si="1"/>
        <v>0</v>
      </c>
      <c r="J4" s="42">
        <f t="shared" si="1"/>
        <v>0</v>
      </c>
      <c r="K4" s="42">
        <f t="shared" si="1"/>
        <v>0</v>
      </c>
    </row>
    <row r="5" spans="1:11" ht="31.5" customHeight="1">
      <c r="A5" s="39" t="s">
        <v>230</v>
      </c>
      <c r="B5" s="40">
        <f>HLOOKUP(B1,cf!$C$1:$CL$39,ROW(cf!C7))</f>
        <v>0</v>
      </c>
      <c r="C5" s="40">
        <f>HLOOKUP(C1,cf!$C$1:$CL$39,ROW(cf!D7))</f>
        <v>0</v>
      </c>
      <c r="D5" s="40">
        <f>HLOOKUP(D1,cf!$C$1:$CL$39,ROW(cf!E7))</f>
        <v>0</v>
      </c>
      <c r="E5" s="40">
        <f>HLOOKUP(E1,cf!$C$1:$CL$39,ROW(cf!F7))</f>
        <v>0</v>
      </c>
      <c r="F5" s="35"/>
      <c r="G5" s="41" t="str">
        <f t="shared" si="0"/>
        <v>购买商品、接受劳务支付的现金</v>
      </c>
      <c r="H5" s="42">
        <f t="shared" si="1"/>
        <v>0</v>
      </c>
      <c r="I5" s="42">
        <f t="shared" si="1"/>
        <v>0</v>
      </c>
      <c r="J5" s="42">
        <f t="shared" si="1"/>
        <v>0</v>
      </c>
      <c r="K5" s="42">
        <f t="shared" si="1"/>
        <v>0</v>
      </c>
    </row>
    <row r="6" spans="1:11" ht="23.25" customHeight="1">
      <c r="A6" s="39" t="s">
        <v>145</v>
      </c>
      <c r="B6" s="40" t="e">
        <f>HLOOKUP(B1,pl!$D$1:$CL$43,ROW(pl!D6),FALSE)</f>
        <v>#N/A</v>
      </c>
      <c r="C6" s="40">
        <f>HLOOKUP(C1,pl!$D$1:$CL$43,ROW(pl!E6),FALSE)</f>
        <v>0</v>
      </c>
      <c r="D6" s="40">
        <f>HLOOKUP(D1,pl!$D$1:$CL$43,ROW(pl!F6),FALSE)</f>
        <v>0</v>
      </c>
      <c r="E6" s="40">
        <f>HLOOKUP(E1,pl!$D$1:$CL$43,ROW(pl!G6),FALSE)</f>
        <v>0</v>
      </c>
      <c r="F6" s="35"/>
      <c r="G6" s="41" t="str">
        <f t="shared" si="0"/>
        <v>主营业务成本</v>
      </c>
      <c r="H6" s="42" t="e">
        <f t="shared" si="1"/>
        <v>#N/A</v>
      </c>
      <c r="I6" s="42">
        <f t="shared" si="1"/>
        <v>0</v>
      </c>
      <c r="J6" s="42">
        <f t="shared" si="1"/>
        <v>0</v>
      </c>
      <c r="K6" s="42">
        <f t="shared" si="1"/>
        <v>0</v>
      </c>
    </row>
    <row r="7" spans="1:11" ht="43.5" customHeight="1">
      <c r="A7" s="39" t="s">
        <v>280</v>
      </c>
      <c r="B7" s="40">
        <f>HLOOKUP(B1,cf!$C$1:$CL$39,ROW(cf!C32))</f>
        <v>0</v>
      </c>
      <c r="C7" s="40">
        <f>HLOOKUP(C1,cf!$C$1:$CL$39,ROW(cf!D32))</f>
        <v>0</v>
      </c>
      <c r="D7" s="40">
        <f>HLOOKUP(D1,cf!$C$1:$CL$39,ROW(cf!E32))</f>
        <v>0</v>
      </c>
      <c r="E7" s="40">
        <f>HLOOKUP(E1,cf!$C$1:$CL$39,ROW(cf!F32))</f>
        <v>0</v>
      </c>
      <c r="F7" s="35"/>
      <c r="G7" s="41" t="str">
        <f t="shared" si="0"/>
        <v>分配股利、利润或偿付利息支付的现金</v>
      </c>
      <c r="H7" s="42">
        <f t="shared" si="1"/>
        <v>0</v>
      </c>
      <c r="I7" s="42">
        <f t="shared" si="1"/>
        <v>0</v>
      </c>
      <c r="J7" s="42">
        <f>ROUND(D7/10000,0)</f>
        <v>0</v>
      </c>
      <c r="K7" s="42">
        <f t="shared" si="1"/>
        <v>0</v>
      </c>
    </row>
    <row r="8" spans="1:11" ht="15">
      <c r="A8" s="39" t="s">
        <v>155</v>
      </c>
      <c r="B8" s="40" t="e">
        <f>HLOOKUP(B1,pl!$D$1:$CL$43,ROW(pl!D11),FALSE)</f>
        <v>#N/A</v>
      </c>
      <c r="C8" s="40">
        <f>HLOOKUP(C1,pl!$D$1:$CL$43,ROW(pl!E11),FALSE)</f>
        <v>0</v>
      </c>
      <c r="D8" s="40">
        <f>HLOOKUP(D1,pl!$D$1:$CL$43,ROW(pl!F11),FALSE)</f>
        <v>0</v>
      </c>
      <c r="E8" s="40">
        <f>HLOOKUP(E1,pl!$D$1:$CL$43,ROW(pl!G11),FALSE)</f>
        <v>0</v>
      </c>
      <c r="F8" s="35"/>
      <c r="G8" s="41" t="str">
        <f t="shared" si="0"/>
        <v>财务费用</v>
      </c>
      <c r="H8" s="42" t="e">
        <f t="shared" si="1"/>
        <v>#N/A</v>
      </c>
      <c r="I8" s="42">
        <f t="shared" si="1"/>
        <v>0</v>
      </c>
      <c r="J8" s="42">
        <f>ROUND(D8/10000,0)</f>
        <v>0</v>
      </c>
      <c r="K8" s="42">
        <f t="shared" si="1"/>
        <v>0</v>
      </c>
    </row>
    <row r="9" spans="1:11" ht="15">
      <c r="A9" s="39" t="s">
        <v>369</v>
      </c>
      <c r="B9" s="40">
        <f>HLOOKUP(B1,cf!$C$1:$CL$39,ROW(cf!C12))</f>
        <v>0</v>
      </c>
      <c r="C9" s="40">
        <f>HLOOKUP(C1,cf!$C$1:$CL$39,ROW(cf!D12))</f>
        <v>0</v>
      </c>
      <c r="D9" s="40">
        <f>HLOOKUP(D1,cf!$C$1:$CL$39,ROW(cf!E12))</f>
        <v>0</v>
      </c>
      <c r="E9" s="40">
        <f>HLOOKUP(E1,cf!$C$1:$CL$39,ROW(cf!F12))</f>
        <v>0</v>
      </c>
      <c r="F9" s="35"/>
      <c r="G9" s="41" t="str">
        <f t="shared" si="0"/>
        <v>经营性现金净流量</v>
      </c>
      <c r="H9" s="42">
        <f t="shared" si="1"/>
        <v>0</v>
      </c>
      <c r="I9" s="42">
        <f t="shared" si="1"/>
        <v>0</v>
      </c>
      <c r="J9" s="42">
        <f>ROUND(D9/10000,0)</f>
        <v>0</v>
      </c>
      <c r="K9" s="42">
        <f t="shared" si="1"/>
        <v>0</v>
      </c>
    </row>
    <row r="10" spans="1:11" ht="15">
      <c r="A10" s="39" t="s">
        <v>173</v>
      </c>
      <c r="B10" s="40" t="e">
        <f>HLOOKUP(B1,pl!$D$1:$CL$43,ROW(pl!D20),FALSE)</f>
        <v>#N/A</v>
      </c>
      <c r="C10" s="40">
        <f>HLOOKUP(C1,pl!$D$1:$CL$43,ROW(pl!E20),FALSE)</f>
        <v>0</v>
      </c>
      <c r="D10" s="40">
        <f>HLOOKUP(D1,pl!$D$1:$CL$43,ROW(pl!F20),FALSE)</f>
        <v>0</v>
      </c>
      <c r="E10" s="40">
        <f>HLOOKUP(E1,pl!$D$1:$CL$43,ROW(pl!G20),FALSE)</f>
        <v>0</v>
      </c>
      <c r="F10" s="35"/>
      <c r="G10" s="41" t="str">
        <f t="shared" si="0"/>
        <v>净利润</v>
      </c>
      <c r="H10" s="42" t="e">
        <f t="shared" si="1"/>
        <v>#N/A</v>
      </c>
      <c r="I10" s="42">
        <f t="shared" si="1"/>
        <v>0</v>
      </c>
      <c r="J10" s="42">
        <f t="shared" si="1"/>
        <v>0</v>
      </c>
      <c r="K10" s="42">
        <f t="shared" si="1"/>
        <v>0</v>
      </c>
    </row>
    <row r="11" spans="1:11" ht="15">
      <c r="A11" s="39" t="s">
        <v>370</v>
      </c>
      <c r="B11" s="40" t="e">
        <f>B9/B10</f>
        <v>#N/A</v>
      </c>
      <c r="C11" s="40" t="e">
        <f>C9/C10</f>
        <v>#DIV/0!</v>
      </c>
      <c r="D11" s="40" t="e">
        <f>D9/D10</f>
        <v>#DIV/0!</v>
      </c>
      <c r="E11" s="40" t="e">
        <f>E9/E10</f>
        <v>#DIV/0!</v>
      </c>
      <c r="F11" s="35"/>
      <c r="G11" s="41" t="str">
        <f t="shared" si="0"/>
        <v>盈利现金比</v>
      </c>
      <c r="H11" s="42" t="e">
        <f>B11</f>
        <v>#N/A</v>
      </c>
      <c r="I11" s="42" t="e">
        <f>C11</f>
        <v>#DIV/0!</v>
      </c>
      <c r="J11" s="42" t="e">
        <f>D11</f>
        <v>#DIV/0!</v>
      </c>
      <c r="K11" s="42" t="e">
        <f>E11</f>
        <v>#DIV/0!</v>
      </c>
    </row>
    <row r="12" spans="1:11">
      <c r="G12" s="15" t="s">
        <v>71</v>
      </c>
      <c r="H12">
        <f>bs!H36</f>
        <v>0</v>
      </c>
      <c r="I12">
        <f>bs!G36</f>
        <v>0</v>
      </c>
      <c r="J12">
        <f>bs!F36</f>
        <v>0</v>
      </c>
      <c r="K12">
        <f>bs!E36</f>
        <v>0</v>
      </c>
    </row>
    <row r="13" spans="1:11">
      <c r="G13" t="s">
        <v>368</v>
      </c>
      <c r="H13">
        <v>57403</v>
      </c>
      <c r="I13">
        <v>88363</v>
      </c>
      <c r="J13">
        <v>120993</v>
      </c>
      <c r="K13">
        <v>110718</v>
      </c>
    </row>
    <row r="14" spans="1:11">
      <c r="G14" s="15" t="s">
        <v>7</v>
      </c>
    </row>
    <row r="19" spans="7:11">
      <c r="G19" s="9"/>
      <c r="H19" s="44">
        <v>43465</v>
      </c>
      <c r="I19" s="44">
        <v>43830</v>
      </c>
      <c r="J19" s="44">
        <v>44196</v>
      </c>
      <c r="K19" s="52">
        <v>44530</v>
      </c>
    </row>
    <row r="20" spans="7:11">
      <c r="G20" s="45" t="s">
        <v>7</v>
      </c>
      <c r="H20" s="46">
        <v>201008250</v>
      </c>
      <c r="I20" s="46">
        <v>672980000</v>
      </c>
      <c r="J20" s="46">
        <v>396246752.62</v>
      </c>
      <c r="K20" s="46">
        <v>287500000</v>
      </c>
    </row>
    <row r="21" spans="7:11">
      <c r="G21" s="45" t="s">
        <v>9</v>
      </c>
      <c r="H21" s="46">
        <v>308997386.75999999</v>
      </c>
      <c r="I21" s="46">
        <v>280807512.47000003</v>
      </c>
      <c r="J21" s="46">
        <v>150757491.84999999</v>
      </c>
      <c r="K21" s="46">
        <v>153605646.18000001</v>
      </c>
    </row>
    <row r="22" spans="7:11">
      <c r="G22" s="9"/>
      <c r="H22" s="27"/>
      <c r="I22" s="27"/>
      <c r="J22" s="27"/>
      <c r="K22" s="27"/>
    </row>
    <row r="23" spans="7:11">
      <c r="G23" s="45" t="s">
        <v>222</v>
      </c>
      <c r="H23" s="46">
        <v>1107184274.8900001</v>
      </c>
      <c r="I23" s="46">
        <v>1209932502.4000001</v>
      </c>
      <c r="J23" s="46">
        <v>883630914.13</v>
      </c>
      <c r="K23" s="46">
        <v>574029883.22000003</v>
      </c>
    </row>
    <row r="24" spans="7:11">
      <c r="G24" s="8" t="s">
        <v>371</v>
      </c>
      <c r="H24" s="47">
        <f>H23</f>
        <v>1107184274.8900001</v>
      </c>
      <c r="I24" s="47">
        <f>SUM(I23)</f>
        <v>1209932502.4000001</v>
      </c>
      <c r="J24" s="47">
        <f>SUM(J21,J23)</f>
        <v>1034388405.98</v>
      </c>
      <c r="K24" s="47">
        <f>SUM(K21,K20,K23)</f>
        <v>1015135529.4000001</v>
      </c>
    </row>
    <row r="25" spans="7:11" ht="37.5">
      <c r="G25" s="8" t="s">
        <v>372</v>
      </c>
      <c r="H25" s="48" t="str">
        <f>I25</f>
        <v>销售商品、提供劳务收到的现金</v>
      </c>
      <c r="I25" s="48" t="str">
        <f>G23</f>
        <v>销售商品、提供劳务收到的现金</v>
      </c>
      <c r="J25" s="53" t="s">
        <v>373</v>
      </c>
      <c r="K25" s="53" t="s">
        <v>374</v>
      </c>
    </row>
    <row r="26" spans="7:11">
      <c r="G26" s="49" t="s">
        <v>137</v>
      </c>
      <c r="H26" s="50">
        <v>913276863.59000003</v>
      </c>
      <c r="I26" s="50">
        <v>1114615416.79</v>
      </c>
      <c r="J26" s="47">
        <v>1011661321.48</v>
      </c>
      <c r="K26" s="47">
        <v>1014548010.3</v>
      </c>
    </row>
    <row r="29" spans="7:11">
      <c r="G29" s="9"/>
      <c r="H29" s="44">
        <v>43465</v>
      </c>
      <c r="I29" s="44">
        <v>43830</v>
      </c>
      <c r="J29" s="44">
        <v>44196</v>
      </c>
      <c r="K29" s="52">
        <v>44530</v>
      </c>
    </row>
    <row r="30" spans="7:11">
      <c r="G30" s="45" t="s">
        <v>272</v>
      </c>
      <c r="H30" s="51">
        <v>187690000</v>
      </c>
      <c r="I30" s="51">
        <v>475882255.55000001</v>
      </c>
      <c r="J30" s="51">
        <v>1042458644.11</v>
      </c>
      <c r="K30" s="51">
        <v>793137623.50999999</v>
      </c>
    </row>
    <row r="31" spans="7:11">
      <c r="G31" s="45" t="s">
        <v>286</v>
      </c>
      <c r="H31" s="10">
        <v>-32545623.359999999</v>
      </c>
      <c r="I31" s="10">
        <v>291385317.02999997</v>
      </c>
      <c r="J31" s="10">
        <v>277024031.63</v>
      </c>
      <c r="K31" s="10">
        <v>288445917.62</v>
      </c>
    </row>
    <row r="32" spans="7:11">
      <c r="G32" s="10" t="s">
        <v>71</v>
      </c>
      <c r="H32" s="10">
        <v>86000000</v>
      </c>
      <c r="I32" s="10">
        <v>439516875.26999998</v>
      </c>
      <c r="J32" s="10">
        <v>280000000</v>
      </c>
      <c r="K32" s="10">
        <v>281280000</v>
      </c>
    </row>
    <row r="33" spans="7:11">
      <c r="G33" s="45" t="s">
        <v>7</v>
      </c>
      <c r="H33" s="46">
        <v>201008250</v>
      </c>
      <c r="I33" s="46">
        <v>672980000</v>
      </c>
      <c r="J33" s="46">
        <v>396246752.62</v>
      </c>
      <c r="K33" s="46">
        <v>287500000</v>
      </c>
    </row>
    <row r="34" spans="7:11">
      <c r="G34" s="45" t="s">
        <v>9</v>
      </c>
      <c r="H34" s="46">
        <v>308997386.75999999</v>
      </c>
      <c r="I34" s="46">
        <v>280807512.47000003</v>
      </c>
      <c r="J34" s="46">
        <v>150757491.84999999</v>
      </c>
      <c r="K34" s="46">
        <v>153605646.18000001</v>
      </c>
    </row>
    <row r="35" spans="7:11">
      <c r="G35" s="9"/>
      <c r="H35" s="44">
        <v>43465</v>
      </c>
      <c r="I35" s="44">
        <v>43830</v>
      </c>
      <c r="J35" s="44">
        <v>44196</v>
      </c>
      <c r="K35" s="52">
        <v>44530</v>
      </c>
    </row>
    <row r="36" spans="7:11">
      <c r="G36" s="45" t="s">
        <v>278</v>
      </c>
      <c r="H36" s="10">
        <v>180500000</v>
      </c>
      <c r="I36" s="10">
        <v>144730000</v>
      </c>
      <c r="J36" s="10">
        <v>63450000</v>
      </c>
      <c r="K36" s="10">
        <v>502535229.30000001</v>
      </c>
    </row>
    <row r="37" spans="7:11">
      <c r="G37" s="45" t="s">
        <v>280</v>
      </c>
      <c r="H37" s="10">
        <v>4628281.9000000004</v>
      </c>
      <c r="I37" s="10">
        <v>3842873.63</v>
      </c>
      <c r="J37" s="10">
        <v>537638.93000000005</v>
      </c>
      <c r="K37" s="10"/>
    </row>
    <row r="38" spans="7:11">
      <c r="G38" s="45" t="s">
        <v>282</v>
      </c>
      <c r="H38" s="10">
        <v>70694034.569999993</v>
      </c>
      <c r="I38" s="10">
        <v>117142127.33</v>
      </c>
      <c r="J38" s="10">
        <v>828221778.32000005</v>
      </c>
      <c r="K38" s="10">
        <v>69991003.730000004</v>
      </c>
    </row>
    <row r="39" spans="7:11">
      <c r="G39" s="45" t="s">
        <v>284</v>
      </c>
      <c r="H39" s="10">
        <v>255822316.47</v>
      </c>
      <c r="I39" s="10">
        <v>265715000.96000001</v>
      </c>
      <c r="J39" s="10">
        <v>892209417.25</v>
      </c>
      <c r="K39" s="10">
        <v>572526233.02999997</v>
      </c>
    </row>
  </sheetData>
  <customSheetViews>
    <customSheetView guid="{EFE5EB9F-962C-4232-9E60-22B2AE19D01B}">
      <selection activeCell="E11" sqref="E11"/>
      <pageMargins left="0.7" right="0.7" top="0.75" bottom="0.75" header="0.3" footer="0.3"/>
    </customSheetView>
  </customSheetViews>
  <mergeCells count="2">
    <mergeCell ref="A1:A2"/>
    <mergeCell ref="G1:G2"/>
  </mergeCells>
  <phoneticPr fontId="3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B2:F10"/>
  <sheetViews>
    <sheetView workbookViewId="0">
      <selection activeCell="C4" sqref="C4"/>
    </sheetView>
  </sheetViews>
  <sheetFormatPr defaultColWidth="9" defaultRowHeight="12.75"/>
  <cols>
    <col min="2" max="2" width="19.42578125" customWidth="1"/>
    <col min="3" max="3" width="12.28515625" customWidth="1"/>
    <col min="4" max="6" width="13.5703125" customWidth="1"/>
  </cols>
  <sheetData>
    <row r="2" spans="2:6">
      <c r="F2" t="str">
        <f>'财务分析-万位'!G6</f>
        <v>单位：万元</v>
      </c>
    </row>
    <row r="3" spans="2:6" ht="15.75">
      <c r="B3" s="28" t="s">
        <v>375</v>
      </c>
      <c r="C3" s="29">
        <f>'财务分析（2022）'!B3</f>
        <v>44957</v>
      </c>
      <c r="D3" s="29">
        <f>'财务分析（2022）'!C3</f>
        <v>44926</v>
      </c>
      <c r="E3" s="29">
        <f>'财务分析（2022）'!D3</f>
        <v>44561</v>
      </c>
      <c r="F3" s="29">
        <f>'财务分析（2022）'!E3</f>
        <v>44196</v>
      </c>
    </row>
    <row r="4" spans="2:6" ht="15.75">
      <c r="B4" s="30" t="s">
        <v>338</v>
      </c>
      <c r="C4" s="31">
        <f>'财务分析（2022）'!B21</f>
        <v>0</v>
      </c>
      <c r="D4" s="31">
        <f>'财务分析（2022）'!C21</f>
        <v>0</v>
      </c>
      <c r="E4" s="31">
        <f>'财务分析（2022）'!D21</f>
        <v>0</v>
      </c>
      <c r="F4" s="31">
        <f>'财务分析（2022）'!E21</f>
        <v>0</v>
      </c>
    </row>
    <row r="5" spans="2:6" ht="15.75">
      <c r="B5" s="30" t="s">
        <v>376</v>
      </c>
      <c r="C5" s="31">
        <f>'财务分析（2022）'!B40</f>
        <v>0</v>
      </c>
      <c r="D5" s="31">
        <f>'财务分析（2022）'!C40</f>
        <v>0</v>
      </c>
      <c r="E5" s="31">
        <f>'财务分析（2022）'!D40</f>
        <v>0</v>
      </c>
      <c r="F5" s="31">
        <f>'财务分析（2022）'!E40</f>
        <v>0</v>
      </c>
    </row>
    <row r="6" spans="2:6" ht="15.75">
      <c r="B6" s="30" t="s">
        <v>377</v>
      </c>
      <c r="C6" s="32" t="e">
        <f>'财务分析（2022）'!B70</f>
        <v>#DIV/0!</v>
      </c>
      <c r="D6" s="32" t="e">
        <f>'财务分析（2022）'!C70</f>
        <v>#DIV/0!</v>
      </c>
      <c r="E6" s="32" t="e">
        <f>'财务分析（2022）'!D70</f>
        <v>#DIV/0!</v>
      </c>
      <c r="F6" s="32" t="e">
        <f>'财务分析（2022）'!E70</f>
        <v>#DIV/0!</v>
      </c>
    </row>
    <row r="7" spans="2:6" ht="15.75">
      <c r="B7" s="30" t="s">
        <v>137</v>
      </c>
      <c r="C7" s="31" t="e">
        <f>'财务分析（2022）'!B42</f>
        <v>#N/A</v>
      </c>
      <c r="D7" s="31">
        <f>'财务分析（2022）'!C42</f>
        <v>0</v>
      </c>
      <c r="E7" s="31">
        <f>'财务分析（2022）'!D42</f>
        <v>0</v>
      </c>
      <c r="F7" s="31">
        <f>'财务分析（2022）'!E42</f>
        <v>0</v>
      </c>
    </row>
    <row r="8" spans="2:6" ht="15.75">
      <c r="B8" s="30" t="s">
        <v>169</v>
      </c>
      <c r="C8" s="31" t="e">
        <f>'财务分析（2022）'!B50</f>
        <v>#N/A</v>
      </c>
      <c r="D8" s="31">
        <f>'财务分析（2022）'!C50</f>
        <v>0</v>
      </c>
      <c r="E8" s="31">
        <f>'财务分析（2022）'!D50</f>
        <v>0</v>
      </c>
      <c r="F8" s="31">
        <f>'财务分析（2022）'!E50</f>
        <v>0</v>
      </c>
    </row>
    <row r="9" spans="2:6" ht="15.75">
      <c r="B9" s="30" t="s">
        <v>369</v>
      </c>
      <c r="C9" s="31">
        <f>'财务分析（2022）'!B58</f>
        <v>0</v>
      </c>
      <c r="D9" s="31">
        <f>'财务分析（2022）'!C58</f>
        <v>0</v>
      </c>
      <c r="E9" s="31">
        <f>'财务分析（2022）'!D58</f>
        <v>0</v>
      </c>
      <c r="F9" s="31">
        <f>'财务分析（2022）'!E58</f>
        <v>0</v>
      </c>
    </row>
    <row r="10" spans="2:6" ht="15.75">
      <c r="B10" s="30" t="s">
        <v>378</v>
      </c>
      <c r="C10" s="31">
        <f>'财务分析（2022）'!B64</f>
        <v>0</v>
      </c>
      <c r="D10" s="31">
        <f>'财务分析（2022）'!C64</f>
        <v>0</v>
      </c>
      <c r="E10" s="31">
        <f>'财务分析（2022）'!D64</f>
        <v>0</v>
      </c>
      <c r="F10" s="31">
        <f>'财务分析（2022）'!E64</f>
        <v>0</v>
      </c>
    </row>
  </sheetData>
  <customSheetViews>
    <customSheetView guid="{EFE5EB9F-962C-4232-9E60-22B2AE19D01B}">
      <selection activeCell="E33" sqref="E33"/>
      <pageMargins left="0.7" right="0.7" top="0.75" bottom="0.75" header="0.3" footer="0.3"/>
    </customSheetView>
  </customSheetViews>
  <phoneticPr fontId="3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4"/>
  <sheetViews>
    <sheetView workbookViewId="0">
      <selection sqref="A1:F10"/>
    </sheetView>
  </sheetViews>
  <sheetFormatPr defaultColWidth="9.140625" defaultRowHeight="12.75"/>
  <cols>
    <col min="1" max="2" width="20.7109375" customWidth="1"/>
    <col min="3" max="3" width="24.5703125" customWidth="1"/>
    <col min="4" max="4" width="23" customWidth="1"/>
    <col min="5" max="5" width="25.7109375" customWidth="1"/>
    <col min="6" max="6" width="24" customWidth="1"/>
    <col min="7" max="7" width="20.7109375" customWidth="1"/>
  </cols>
  <sheetData>
    <row r="1" spans="1:6" ht="14.25">
      <c r="A1" s="16"/>
      <c r="B1" s="17"/>
      <c r="C1" s="18">
        <f>'财务分析（2022）'!B3</f>
        <v>44957</v>
      </c>
      <c r="D1" s="19">
        <f>'财务分析（2022）'!C3</f>
        <v>44926</v>
      </c>
      <c r="E1" s="19">
        <f>'财务分析（2022）'!D3</f>
        <v>44561</v>
      </c>
      <c r="F1" s="19">
        <f>'财务分析（2022）'!E3</f>
        <v>44196</v>
      </c>
    </row>
    <row r="2" spans="1:6" ht="14.25">
      <c r="A2" s="20"/>
      <c r="B2" s="21" t="s">
        <v>379</v>
      </c>
      <c r="C2" s="22">
        <f>bs!J36+bs!J38+bs!J46+bs!J49+bs!J51</f>
        <v>0</v>
      </c>
      <c r="D2" s="22">
        <f>bs!I36+bs!I38+bs!I46+bs!I49+bs!I51</f>
        <v>0</v>
      </c>
      <c r="E2" s="23">
        <f>bs!G36+bs!G38+bs!G46+bs!G49+bs!G51</f>
        <v>0</v>
      </c>
      <c r="F2" s="23">
        <f>bs!F36+bs!F38+bs!F46+bs!F49+bs!F51</f>
        <v>0</v>
      </c>
    </row>
    <row r="3" spans="1:6" ht="30" customHeight="1">
      <c r="A3" s="156" t="s">
        <v>380</v>
      </c>
      <c r="B3" s="21" t="s">
        <v>381</v>
      </c>
      <c r="C3" s="22">
        <f>bs!J36+bs!J49</f>
        <v>0</v>
      </c>
      <c r="D3" s="22">
        <f>bs!I36+bs!I49</f>
        <v>0</v>
      </c>
      <c r="E3" s="22">
        <f>bs!G36+bs!G49</f>
        <v>0</v>
      </c>
      <c r="F3" s="23">
        <f>bs!F36+bs!F49</f>
        <v>0</v>
      </c>
    </row>
    <row r="4" spans="1:6" ht="14.25">
      <c r="A4" s="156"/>
      <c r="B4" s="21" t="s">
        <v>382</v>
      </c>
      <c r="C4" s="22">
        <f>bs!J51</f>
        <v>0</v>
      </c>
      <c r="D4" s="22">
        <f>bs!I46</f>
        <v>0</v>
      </c>
      <c r="E4" s="22">
        <f>bs!G46</f>
        <v>0</v>
      </c>
      <c r="F4" s="23">
        <f>bs!F46</f>
        <v>0</v>
      </c>
    </row>
    <row r="5" spans="1:6" ht="14.25">
      <c r="A5" s="156"/>
      <c r="B5" s="21" t="s">
        <v>383</v>
      </c>
      <c r="C5" s="22" t="s">
        <v>384</v>
      </c>
      <c r="D5" s="22" t="s">
        <v>384</v>
      </c>
      <c r="E5" s="22" t="s">
        <v>384</v>
      </c>
      <c r="F5" s="23" t="s">
        <v>384</v>
      </c>
    </row>
    <row r="6" spans="1:6" ht="14.25">
      <c r="A6" s="156"/>
      <c r="B6" s="21" t="s">
        <v>385</v>
      </c>
      <c r="C6" s="22" t="s">
        <v>384</v>
      </c>
      <c r="D6" s="22" t="s">
        <v>384</v>
      </c>
      <c r="E6" s="22" t="s">
        <v>384</v>
      </c>
      <c r="F6" s="23" t="s">
        <v>384</v>
      </c>
    </row>
    <row r="7" spans="1:6" ht="14.25">
      <c r="A7" s="156"/>
      <c r="B7" s="21" t="s">
        <v>386</v>
      </c>
      <c r="C7" s="22">
        <f>bs!J50</f>
        <v>0</v>
      </c>
      <c r="D7" s="22">
        <f>bs!I46</f>
        <v>0</v>
      </c>
      <c r="E7" s="22">
        <f>bs!G50</f>
        <v>0</v>
      </c>
      <c r="F7" s="23">
        <f>bs!F50</f>
        <v>0</v>
      </c>
    </row>
    <row r="8" spans="1:6" ht="30" customHeight="1">
      <c r="A8" s="156" t="s">
        <v>387</v>
      </c>
      <c r="B8" s="21" t="s">
        <v>388</v>
      </c>
      <c r="C8" s="22">
        <f>bs!J36+bs!J38+bs!J46</f>
        <v>0</v>
      </c>
      <c r="D8" s="22">
        <f>bs!I36+bs!I38+bs!I46</f>
        <v>0</v>
      </c>
      <c r="E8" s="22">
        <f>bs!G36+bs!G38+bs!G46</f>
        <v>0</v>
      </c>
      <c r="F8" s="23">
        <f>bs!F36+bs!F38+bs!F46</f>
        <v>0</v>
      </c>
    </row>
    <row r="9" spans="1:6" ht="14.25">
      <c r="A9" s="156"/>
      <c r="B9" s="24" t="s">
        <v>389</v>
      </c>
      <c r="C9" s="25">
        <f>bs!J49+bs!J50+bs!J55</f>
        <v>0</v>
      </c>
      <c r="D9" s="25">
        <f>bs!I49+bs!I50+bs!I55</f>
        <v>0</v>
      </c>
      <c r="E9" s="25">
        <f>bs!G49+bs!G50+bs!G55</f>
        <v>0</v>
      </c>
      <c r="F9" s="25">
        <f>bs!F49+bs!F50+bs!F55</f>
        <v>0</v>
      </c>
    </row>
    <row r="10" spans="1:6" ht="58.5" customHeight="1">
      <c r="A10" s="26" t="s">
        <v>390</v>
      </c>
      <c r="B10" s="155"/>
      <c r="C10" s="155"/>
      <c r="D10" s="155"/>
      <c r="E10" s="155"/>
      <c r="F10" s="155"/>
    </row>
    <row r="11" spans="1:6">
      <c r="A11" s="15" t="s">
        <v>391</v>
      </c>
      <c r="F11" t="s">
        <v>295</v>
      </c>
    </row>
    <row r="12" spans="1:6">
      <c r="A12" s="15" t="s">
        <v>392</v>
      </c>
    </row>
    <row r="13" spans="1:6">
      <c r="A13" s="15" t="s">
        <v>393</v>
      </c>
    </row>
    <row r="14" spans="1:6">
      <c r="A14" s="15" t="s">
        <v>394</v>
      </c>
    </row>
  </sheetData>
  <mergeCells count="3">
    <mergeCell ref="B10:F10"/>
    <mergeCell ref="A3:A7"/>
    <mergeCell ref="A8:A9"/>
  </mergeCells>
  <phoneticPr fontId="39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A3"/>
  <sheetViews>
    <sheetView workbookViewId="0">
      <selection activeCell="A4" sqref="A4"/>
    </sheetView>
  </sheetViews>
  <sheetFormatPr defaultColWidth="9" defaultRowHeight="12.75"/>
  <sheetData>
    <row r="1" spans="1:1">
      <c r="A1" s="15" t="s">
        <v>395</v>
      </c>
    </row>
    <row r="2" spans="1:1">
      <c r="A2" t="s">
        <v>396</v>
      </c>
    </row>
    <row r="3" spans="1:1">
      <c r="A3" t="s">
        <v>397</v>
      </c>
    </row>
  </sheetData>
  <customSheetViews>
    <customSheetView guid="{EFE5EB9F-962C-4232-9E60-22B2AE19D01B}">
      <selection activeCell="A2" sqref="A2"/>
      <pageMargins left="0.7" right="0.7" top="0.75" bottom="0.75" header="0.3" footer="0.3"/>
    </customSheetView>
  </customSheetViews>
  <phoneticPr fontId="3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indexed="13"/>
  </sheetPr>
  <dimension ref="A1:I8"/>
  <sheetViews>
    <sheetView workbookViewId="0">
      <selection activeCell="A3" sqref="A3"/>
    </sheetView>
  </sheetViews>
  <sheetFormatPr defaultColWidth="9" defaultRowHeight="12.75"/>
  <cols>
    <col min="1" max="1" width="18" customWidth="1"/>
    <col min="4" max="4" width="15.140625" customWidth="1"/>
    <col min="5" max="5" width="9.7109375" customWidth="1"/>
    <col min="8" max="8" width="10.28515625" customWidth="1"/>
  </cols>
  <sheetData>
    <row r="1" spans="1:9" ht="16.5">
      <c r="A1" s="11" t="s">
        <v>398</v>
      </c>
      <c r="B1" s="11" t="s">
        <v>399</v>
      </c>
      <c r="C1" s="11" t="s">
        <v>400</v>
      </c>
      <c r="D1" s="11" t="s">
        <v>401</v>
      </c>
    </row>
    <row r="2" spans="1:9" ht="16.5">
      <c r="A2" s="133" t="s">
        <v>413</v>
      </c>
      <c r="B2" s="12" t="str">
        <f>LEFT(A2,4)</f>
        <v>2023</v>
      </c>
      <c r="C2" s="12" t="str">
        <f>RIGHT(A2,2)</f>
        <v>.6</v>
      </c>
      <c r="D2" s="13" t="str">
        <f>TEXT(DATE(B2,C2+1,0),"e/m/d")</f>
        <v>2022/12/31</v>
      </c>
      <c r="E2" s="14" t="str">
        <f>B2&amp;B1&amp;C2&amp;C1</f>
        <v>2023年.6月</v>
      </c>
      <c r="F2">
        <f>$B$2-I2</f>
        <v>2022</v>
      </c>
      <c r="G2" t="s">
        <v>402</v>
      </c>
      <c r="H2" t="str">
        <f>F2&amp;$G$2</f>
        <v>2022/12/31</v>
      </c>
      <c r="I2">
        <v>1</v>
      </c>
    </row>
    <row r="3" spans="1:9">
      <c r="F3">
        <f t="shared" ref="F3:F8" si="0">$B$2-I3</f>
        <v>2021</v>
      </c>
      <c r="H3" t="str">
        <f t="shared" ref="H3:H8" si="1">F3&amp;$G$2</f>
        <v>2021/12/31</v>
      </c>
      <c r="I3">
        <v>2</v>
      </c>
    </row>
    <row r="4" spans="1:9">
      <c r="A4" s="14"/>
      <c r="F4">
        <f t="shared" si="0"/>
        <v>2020</v>
      </c>
      <c r="H4" t="str">
        <f t="shared" si="1"/>
        <v>2020/12/31</v>
      </c>
      <c r="I4">
        <v>3</v>
      </c>
    </row>
    <row r="5" spans="1:9">
      <c r="F5">
        <f t="shared" si="0"/>
        <v>2019</v>
      </c>
      <c r="H5" t="str">
        <f t="shared" si="1"/>
        <v>2019/12/31</v>
      </c>
      <c r="I5">
        <v>4</v>
      </c>
    </row>
    <row r="6" spans="1:9">
      <c r="F6">
        <f t="shared" si="0"/>
        <v>2018</v>
      </c>
      <c r="H6" t="str">
        <f t="shared" si="1"/>
        <v>2018/12/31</v>
      </c>
      <c r="I6">
        <v>5</v>
      </c>
    </row>
    <row r="7" spans="1:9">
      <c r="F7">
        <f t="shared" si="0"/>
        <v>2017</v>
      </c>
      <c r="H7" t="str">
        <f t="shared" si="1"/>
        <v>2017/12/31</v>
      </c>
      <c r="I7">
        <v>6</v>
      </c>
    </row>
    <row r="8" spans="1:9">
      <c r="F8">
        <f t="shared" si="0"/>
        <v>2016</v>
      </c>
      <c r="H8" t="str">
        <f t="shared" si="1"/>
        <v>2016/12/31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</customSheetView>
  </customSheetViews>
  <phoneticPr fontId="39" type="noConversion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F5"/>
  <sheetViews>
    <sheetView workbookViewId="0">
      <selection activeCell="C46" sqref="C46"/>
    </sheetView>
  </sheetViews>
  <sheetFormatPr defaultColWidth="9.140625" defaultRowHeight="12.75"/>
  <cols>
    <col min="1" max="1" width="5.28515625" customWidth="1"/>
    <col min="2" max="2" width="12.7109375" customWidth="1"/>
    <col min="3" max="3" width="19.140625" customWidth="1"/>
    <col min="4" max="4" width="14.7109375" customWidth="1"/>
    <col min="5" max="5" width="24.42578125" customWidth="1"/>
    <col min="6" max="6" width="4.7109375" customWidth="1"/>
  </cols>
  <sheetData>
    <row r="1" spans="1:6" ht="31.5">
      <c r="A1" s="1" t="s">
        <v>403</v>
      </c>
      <c r="B1" s="1" t="s">
        <v>404</v>
      </c>
      <c r="C1" s="2" t="s">
        <v>405</v>
      </c>
      <c r="D1" s="2" t="s">
        <v>406</v>
      </c>
      <c r="E1" s="2" t="s">
        <v>407</v>
      </c>
      <c r="F1" s="2" t="s">
        <v>408</v>
      </c>
    </row>
    <row r="2" spans="1:6" ht="17.25">
      <c r="A2" s="3">
        <v>1</v>
      </c>
      <c r="B2" s="4">
        <v>43390</v>
      </c>
      <c r="C2" s="5">
        <v>32122018001458</v>
      </c>
      <c r="D2" s="6">
        <v>2220.45408</v>
      </c>
      <c r="E2" s="3" t="s">
        <v>409</v>
      </c>
      <c r="F2" s="3" t="s">
        <v>410</v>
      </c>
    </row>
    <row r="3" spans="1:6" ht="17.25">
      <c r="A3" s="3">
        <v>2</v>
      </c>
      <c r="B3" s="4">
        <v>43908</v>
      </c>
      <c r="C3" s="7">
        <v>32012020022721</v>
      </c>
      <c r="D3" s="6">
        <v>21140.231299999999</v>
      </c>
      <c r="E3" s="3" t="s">
        <v>411</v>
      </c>
      <c r="F3" s="3" t="s">
        <v>410</v>
      </c>
    </row>
    <row r="4" spans="1:6" ht="17.25">
      <c r="A4" s="3">
        <v>3</v>
      </c>
      <c r="B4" s="4">
        <v>43390</v>
      </c>
      <c r="C4" s="7">
        <v>32122018001459</v>
      </c>
      <c r="D4" s="6">
        <v>1126.7424000000001</v>
      </c>
      <c r="E4" s="3" t="s">
        <v>412</v>
      </c>
      <c r="F4" s="3" t="s">
        <v>410</v>
      </c>
    </row>
    <row r="5" spans="1:6">
      <c r="A5" s="8" t="s">
        <v>371</v>
      </c>
      <c r="B5" s="9"/>
      <c r="C5" s="9"/>
      <c r="D5" s="10">
        <f>SUM(D2:D4)</f>
        <v>24487.427779999998</v>
      </c>
      <c r="E5" s="9"/>
      <c r="F5" s="9"/>
    </row>
  </sheetData>
  <phoneticPr fontId="39" type="noConversion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bs</vt:lpstr>
      <vt:lpstr>pl</vt:lpstr>
      <vt:lpstr>cf</vt:lpstr>
      <vt:lpstr>财务分析（2022）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'财务分析（2022）'!Print_Area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lastModifiedBy>xxd</cp:lastModifiedBy>
  <dcterms:created xsi:type="dcterms:W3CDTF">2012-10-09T05:54:00Z</dcterms:created>
  <dcterms:modified xsi:type="dcterms:W3CDTF">2023-06-19T08:43:27Z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2052-11.8.2.10972</vt:lpwstr>
  </property>
  <property fmtid="{D5CDD505-2E9C-101B-9397-08002B2CF9AE}" pid="3" name="ICV">
    <vt:lpwstr>0FE24BD227674B049EAD84E1420D757A</vt:lpwstr>
  </property>
</Properties>
</file>