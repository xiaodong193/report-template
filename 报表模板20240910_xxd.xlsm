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SynologyDrive\外贸金租工作文档\模板\"/>
    </mc:Choice>
  </mc:AlternateContent>
  <xr:revisionPtr revIDLastSave="0" documentId="13_ncr:1_{87127433-237C-4CB9-BFE9-2811DF61A8FC}" xr6:coauthVersionLast="47" xr6:coauthVersionMax="47" xr10:uidLastSave="{00000000-0000-0000-0000-000000000000}"/>
  <bookViews>
    <workbookView xWindow="5025" yWindow="5025" windowWidth="38700" windowHeight="15180" firstSheet="3" activeTab="6" xr2:uid="{00000000-000D-0000-FFFF-FFFF00000000}"/>
  </bookViews>
  <sheets>
    <sheet name="012283707.IB-资产负债表" sheetId="30" state="hidden" r:id="rId1"/>
    <sheet name="012283707.IB-利润表" sheetId="29" state="hidden" r:id="rId2"/>
    <sheet name="012283707.IB-现金流量表" sheetId="28" state="hidden" r:id="rId3"/>
    <sheet name="bs" sheetId="4" r:id="rId4"/>
    <sheet name="pl" sheetId="9" r:id="rId5"/>
    <sheet name="cf" sheetId="13" r:id="rId6"/>
    <sheet name="财务分析（2022）版" sheetId="25" r:id="rId7"/>
    <sheet name="财务分析-万位" sheetId="8" state="hidden" r:id="rId8"/>
    <sheet name="资产负债权益结构分析" sheetId="22" r:id="rId9"/>
    <sheet name="现金流分析表" sheetId="19" r:id="rId10"/>
    <sheet name="财务对比分析表" sheetId="20" r:id="rId11"/>
    <sheet name="财务变化表" sheetId="21" r:id="rId12"/>
    <sheet name="刚性负债情况" sheetId="26" r:id="rId13"/>
    <sheet name="版本更新说明" sheetId="24" r:id="rId14"/>
    <sheet name="初始设置" sheetId="23" r:id="rId15"/>
    <sheet name="Sheet1" sheetId="27" r:id="rId16"/>
  </sheets>
  <externalReferences>
    <externalReference r:id="rId17"/>
  </externalReferences>
  <definedNames>
    <definedName name="_xlnm._FilterDatabase" localSheetId="3" hidden="1">bs!$A$1:$I$111</definedName>
    <definedName name="_xlnm._FilterDatabase" localSheetId="5" hidden="1">cf!$A$1:$E$57</definedName>
    <definedName name="_xlnm._FilterDatabase" localSheetId="4" hidden="1">pl!$A$1:$E$70</definedName>
    <definedName name="_xlnm._FilterDatabase" localSheetId="6" hidden="1">'财务分析（2022）版'!$F$5:$H$163</definedName>
    <definedName name="_xlnm._FilterDatabase" localSheetId="8" hidden="1">资产负债权益结构分析!$L$3:$L$92</definedName>
    <definedName name="_xlnm.Print_Area" localSheetId="6">'财务分析（2022）版'!$A$1:$E$163</definedName>
  </definedNames>
  <calcPr calcId="191029"/>
  <customWorkbookViews>
    <customWorkbookView name="显示全部视图" guid="{EFE5EB9F-962C-4232-9E60-22B2AE19D01B}" maximized="1" xWindow="-8" yWindow="-8" windowWidth="1456" windowHeight="876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23" l="1"/>
  <c r="H5" i="23" s="1"/>
  <c r="F2" i="23"/>
  <c r="H2" i="23" s="1"/>
  <c r="E2" i="23"/>
  <c r="D2" i="23"/>
  <c r="C2" i="23"/>
  <c r="B2" i="23"/>
  <c r="F8" i="23" s="1"/>
  <c r="H8" i="23" s="1"/>
  <c r="F1" i="26"/>
  <c r="F21" i="26" s="1"/>
  <c r="F7" i="26" s="1"/>
  <c r="E1" i="26"/>
  <c r="E21" i="26" s="1"/>
  <c r="E7" i="26" s="1"/>
  <c r="D1" i="26"/>
  <c r="D16" i="26" s="1"/>
  <c r="C1" i="26"/>
  <c r="F17" i="26" s="1"/>
  <c r="F10" i="21"/>
  <c r="E10" i="21"/>
  <c r="D10" i="21"/>
  <c r="C10" i="21"/>
  <c r="F9" i="21"/>
  <c r="E9" i="21"/>
  <c r="D9" i="21"/>
  <c r="C9" i="21"/>
  <c r="F8" i="21"/>
  <c r="E8" i="21"/>
  <c r="D8" i="21"/>
  <c r="C8" i="21"/>
  <c r="F7" i="21"/>
  <c r="E7" i="21"/>
  <c r="D7" i="21"/>
  <c r="C7" i="21"/>
  <c r="F6" i="21"/>
  <c r="E6" i="21"/>
  <c r="D6" i="21"/>
  <c r="C6" i="21"/>
  <c r="F5" i="21"/>
  <c r="E5" i="21"/>
  <c r="D5" i="21"/>
  <c r="C5" i="21"/>
  <c r="F4" i="21"/>
  <c r="E4" i="21"/>
  <c r="D4" i="21"/>
  <c r="C4" i="21"/>
  <c r="F3" i="21"/>
  <c r="E3" i="21"/>
  <c r="D3" i="21"/>
  <c r="C3" i="21"/>
  <c r="F2" i="21"/>
  <c r="I25" i="20"/>
  <c r="H25" i="20" s="1"/>
  <c r="K24" i="20"/>
  <c r="J24" i="20"/>
  <c r="I24" i="20"/>
  <c r="H24" i="20"/>
  <c r="K12" i="20"/>
  <c r="J12" i="20"/>
  <c r="I12" i="20"/>
  <c r="H12" i="20"/>
  <c r="G11" i="20"/>
  <c r="G10" i="20"/>
  <c r="G9" i="20"/>
  <c r="I8" i="20"/>
  <c r="G8" i="20"/>
  <c r="C8" i="20"/>
  <c r="B8" i="20"/>
  <c r="H8" i="20" s="1"/>
  <c r="J7" i="20"/>
  <c r="G7" i="20"/>
  <c r="D7" i="20"/>
  <c r="C7" i="20"/>
  <c r="I7" i="20" s="1"/>
  <c r="B7" i="20"/>
  <c r="H7" i="20" s="1"/>
  <c r="G6" i="20"/>
  <c r="D6" i="20"/>
  <c r="J6" i="20" s="1"/>
  <c r="C6" i="20"/>
  <c r="I6" i="20" s="1"/>
  <c r="B6" i="20"/>
  <c r="H6" i="20" s="1"/>
  <c r="G5" i="20"/>
  <c r="D5" i="20"/>
  <c r="J5" i="20" s="1"/>
  <c r="C5" i="20"/>
  <c r="I5" i="20" s="1"/>
  <c r="G4" i="20"/>
  <c r="D4" i="20"/>
  <c r="J4" i="20" s="1"/>
  <c r="G3" i="20"/>
  <c r="J1" i="20"/>
  <c r="I1" i="20"/>
  <c r="H1" i="20"/>
  <c r="E1" i="20"/>
  <c r="E10" i="20" s="1"/>
  <c r="K10" i="20" s="1"/>
  <c r="D1" i="20"/>
  <c r="D3" i="20" s="1"/>
  <c r="J3" i="20" s="1"/>
  <c r="C1" i="20"/>
  <c r="C4" i="20" s="1"/>
  <c r="I4" i="20" s="1"/>
  <c r="B1" i="20"/>
  <c r="B5" i="20" s="1"/>
  <c r="H5" i="20" s="1"/>
  <c r="B16" i="19"/>
  <c r="G11" i="19"/>
  <c r="E11" i="19"/>
  <c r="K11" i="19" s="1"/>
  <c r="G10" i="19"/>
  <c r="C10" i="19"/>
  <c r="I10" i="19" s="1"/>
  <c r="G9" i="19"/>
  <c r="E9" i="19"/>
  <c r="K9" i="19" s="1"/>
  <c r="C9" i="19"/>
  <c r="I9" i="19" s="1"/>
  <c r="B9" i="19"/>
  <c r="G8" i="19"/>
  <c r="G7" i="19"/>
  <c r="E7" i="19"/>
  <c r="K7" i="19" s="1"/>
  <c r="G6" i="19"/>
  <c r="C6" i="19"/>
  <c r="G5" i="19"/>
  <c r="G4" i="19"/>
  <c r="E4" i="19"/>
  <c r="K4" i="19" s="1"/>
  <c r="D4" i="19"/>
  <c r="J4" i="19" s="1"/>
  <c r="C4" i="19"/>
  <c r="I4" i="19" s="1"/>
  <c r="G3" i="19"/>
  <c r="E3" i="19"/>
  <c r="E2" i="19" s="1"/>
  <c r="K2" i="19" s="1"/>
  <c r="G2" i="19"/>
  <c r="K1" i="19"/>
  <c r="J1" i="19"/>
  <c r="I1" i="19"/>
  <c r="G1" i="19"/>
  <c r="E1" i="19"/>
  <c r="E10" i="19" s="1"/>
  <c r="K10" i="19" s="1"/>
  <c r="D1" i="19"/>
  <c r="D11" i="19" s="1"/>
  <c r="J11" i="19" s="1"/>
  <c r="C1" i="19"/>
  <c r="C11" i="19" s="1"/>
  <c r="I11" i="19" s="1"/>
  <c r="B1" i="19"/>
  <c r="B4" i="19" s="1"/>
  <c r="H4" i="19" s="1"/>
  <c r="M92" i="22"/>
  <c r="N91" i="22"/>
  <c r="M90" i="22"/>
  <c r="M89" i="22"/>
  <c r="N88" i="22"/>
  <c r="N86" i="22"/>
  <c r="C86" i="22"/>
  <c r="N85" i="22"/>
  <c r="M84" i="22"/>
  <c r="M83" i="22"/>
  <c r="M82" i="22"/>
  <c r="M81" i="22"/>
  <c r="M80" i="22"/>
  <c r="M79" i="22"/>
  <c r="N77" i="22"/>
  <c r="N68" i="22"/>
  <c r="M67" i="22"/>
  <c r="M66" i="22"/>
  <c r="N65" i="22"/>
  <c r="N64" i="22"/>
  <c r="M58" i="22"/>
  <c r="M57" i="22"/>
  <c r="M53" i="22"/>
  <c r="N49" i="22"/>
  <c r="M48" i="22"/>
  <c r="M47" i="22"/>
  <c r="M46" i="22"/>
  <c r="M45" i="22"/>
  <c r="M44" i="22"/>
  <c r="M41" i="22"/>
  <c r="E41" i="22"/>
  <c r="M38" i="22"/>
  <c r="M34" i="22"/>
  <c r="M31" i="22"/>
  <c r="M28" i="22"/>
  <c r="C27" i="22"/>
  <c r="E25" i="22"/>
  <c r="M18" i="22"/>
  <c r="E18" i="22"/>
  <c r="M17" i="22"/>
  <c r="M13" i="22"/>
  <c r="E12" i="22"/>
  <c r="C12" i="22"/>
  <c r="M10" i="22"/>
  <c r="M9" i="22"/>
  <c r="E8" i="22"/>
  <c r="C8" i="22"/>
  <c r="M7" i="22"/>
  <c r="M4" i="22"/>
  <c r="E4" i="22"/>
  <c r="C4" i="22"/>
  <c r="E2" i="22"/>
  <c r="E72" i="22" s="1"/>
  <c r="C2" i="22"/>
  <c r="C37" i="22" s="1"/>
  <c r="A75" i="8"/>
  <c r="A74" i="8"/>
  <c r="A73" i="8"/>
  <c r="A72" i="8"/>
  <c r="A71" i="8"/>
  <c r="A70" i="8"/>
  <c r="B69" i="8"/>
  <c r="A69" i="8"/>
  <c r="A68" i="8"/>
  <c r="B61" i="8"/>
  <c r="A61" i="8"/>
  <c r="A60" i="8"/>
  <c r="B32" i="8"/>
  <c r="B75" i="8" s="1"/>
  <c r="B28" i="8"/>
  <c r="B71" i="8" s="1"/>
  <c r="B25" i="8"/>
  <c r="B58" i="8" s="1"/>
  <c r="B24" i="8"/>
  <c r="B23" i="8"/>
  <c r="B22" i="8"/>
  <c r="B21" i="8"/>
  <c r="B20" i="8"/>
  <c r="B40" i="8" s="1"/>
  <c r="B19" i="8"/>
  <c r="B39" i="8" s="1"/>
  <c r="B18" i="8"/>
  <c r="B38" i="8" s="1"/>
  <c r="B17" i="8"/>
  <c r="B16" i="8"/>
  <c r="B15" i="8"/>
  <c r="B29" i="8" s="1"/>
  <c r="B72" i="8" s="1"/>
  <c r="B14" i="8"/>
  <c r="B55" i="8" s="1"/>
  <c r="B13" i="8"/>
  <c r="B56" i="8" s="1"/>
  <c r="B12" i="8"/>
  <c r="B11" i="8"/>
  <c r="B10" i="8"/>
  <c r="B31" i="8" s="1"/>
  <c r="B74" i="8" s="1"/>
  <c r="B9" i="8"/>
  <c r="B8" i="8"/>
  <c r="B7" i="8"/>
  <c r="E6" i="8"/>
  <c r="B6" i="8"/>
  <c r="B5" i="8"/>
  <c r="E4" i="8"/>
  <c r="B4" i="8"/>
  <c r="B27" i="8" s="1"/>
  <c r="B70" i="8" s="1"/>
  <c r="B3" i="8"/>
  <c r="E2" i="8"/>
  <c r="B2" i="8"/>
  <c r="E1" i="8"/>
  <c r="E61" i="8" s="1"/>
  <c r="D1" i="8"/>
  <c r="D61" i="8" s="1"/>
  <c r="C1" i="8"/>
  <c r="C69" i="8" s="1"/>
  <c r="B150" i="25"/>
  <c r="H141" i="25"/>
  <c r="G141" i="25"/>
  <c r="B138" i="25"/>
  <c r="H136" i="25"/>
  <c r="B135" i="25"/>
  <c r="B134" i="25"/>
  <c r="B133" i="25"/>
  <c r="B132" i="25"/>
  <c r="B131" i="25"/>
  <c r="B130" i="25"/>
  <c r="B129" i="25"/>
  <c r="B128" i="25"/>
  <c r="B162" i="25" s="1"/>
  <c r="B127" i="25"/>
  <c r="B126" i="25"/>
  <c r="F125" i="25"/>
  <c r="G125" i="25" s="1"/>
  <c r="B125" i="25"/>
  <c r="B161" i="25" s="1"/>
  <c r="H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F110" i="25"/>
  <c r="B110" i="25"/>
  <c r="G108" i="25"/>
  <c r="F108" i="25"/>
  <c r="B108" i="25"/>
  <c r="B158" i="25" s="1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140" i="25" s="1"/>
  <c r="B93" i="25"/>
  <c r="B159" i="25" s="1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139" i="25" s="1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C3" i="25"/>
  <c r="C128" i="25" s="1"/>
  <c r="C56" i="13"/>
  <c r="F52" i="13"/>
  <c r="E52" i="13"/>
  <c r="D52" i="13"/>
  <c r="C52" i="13"/>
  <c r="F48" i="13"/>
  <c r="F53" i="13" s="1"/>
  <c r="E48" i="13"/>
  <c r="E53" i="13" s="1"/>
  <c r="D48" i="13"/>
  <c r="D53" i="13" s="1"/>
  <c r="C48" i="13"/>
  <c r="C53" i="13" s="1"/>
  <c r="D42" i="13"/>
  <c r="F41" i="13"/>
  <c r="E41" i="13"/>
  <c r="D41" i="13"/>
  <c r="C36" i="13"/>
  <c r="C41" i="13" s="1"/>
  <c r="F35" i="13"/>
  <c r="F42" i="13" s="1"/>
  <c r="E35" i="13"/>
  <c r="E42" i="13" s="1"/>
  <c r="D35" i="13"/>
  <c r="C35" i="13"/>
  <c r="D28" i="13"/>
  <c r="F27" i="13"/>
  <c r="E27" i="13"/>
  <c r="D27" i="13"/>
  <c r="C26" i="13"/>
  <c r="C25" i="13"/>
  <c r="C24" i="13"/>
  <c r="C17" i="13"/>
  <c r="C27" i="13" s="1"/>
  <c r="F16" i="13"/>
  <c r="F28" i="13" s="1"/>
  <c r="E16" i="13"/>
  <c r="E28" i="13" s="1"/>
  <c r="D16" i="13"/>
  <c r="C15" i="13"/>
  <c r="C3" i="13"/>
  <c r="C16" i="13" s="1"/>
  <c r="C28" i="13" s="1"/>
  <c r="C38" i="9"/>
  <c r="C37" i="9"/>
  <c r="F36" i="9"/>
  <c r="F39" i="9" s="1"/>
  <c r="F41" i="9" s="1"/>
  <c r="F65" i="9" s="1"/>
  <c r="C23" i="9"/>
  <c r="C21" i="9"/>
  <c r="C20" i="9"/>
  <c r="C19" i="9"/>
  <c r="C10" i="9"/>
  <c r="C9" i="9" s="1"/>
  <c r="F9" i="9"/>
  <c r="E9" i="9"/>
  <c r="D9" i="9"/>
  <c r="C3" i="9"/>
  <c r="F2" i="9"/>
  <c r="E2" i="9"/>
  <c r="E36" i="9" s="1"/>
  <c r="E39" i="9" s="1"/>
  <c r="E41" i="9" s="1"/>
  <c r="D2" i="9"/>
  <c r="D36" i="9" s="1"/>
  <c r="D39" i="9" s="1"/>
  <c r="D41" i="9" s="1"/>
  <c r="D65" i="9" s="1"/>
  <c r="C2" i="9"/>
  <c r="H110" i="4"/>
  <c r="H109" i="4"/>
  <c r="F109" i="4"/>
  <c r="E109" i="4"/>
  <c r="I108" i="4"/>
  <c r="H108" i="4"/>
  <c r="G108" i="4"/>
  <c r="H107" i="4"/>
  <c r="F107" i="4"/>
  <c r="E107" i="4"/>
  <c r="D107" i="4"/>
  <c r="D109" i="4" s="1"/>
  <c r="H106" i="4"/>
  <c r="G106" i="4"/>
  <c r="C106" i="4"/>
  <c r="I106" i="4" s="1"/>
  <c r="I105" i="4"/>
  <c r="H105" i="4"/>
  <c r="G105" i="4"/>
  <c r="I104" i="4"/>
  <c r="H104" i="4"/>
  <c r="G104" i="4"/>
  <c r="I103" i="4"/>
  <c r="H103" i="4"/>
  <c r="G103" i="4"/>
  <c r="I102" i="4"/>
  <c r="H102" i="4"/>
  <c r="G102" i="4"/>
  <c r="I101" i="4"/>
  <c r="H101" i="4"/>
  <c r="G101" i="4"/>
  <c r="I100" i="4"/>
  <c r="H100" i="4"/>
  <c r="G100" i="4"/>
  <c r="I99" i="4"/>
  <c r="H99" i="4"/>
  <c r="G99" i="4"/>
  <c r="I98" i="4"/>
  <c r="H98" i="4"/>
  <c r="G98" i="4"/>
  <c r="I97" i="4"/>
  <c r="H97" i="4"/>
  <c r="G97" i="4"/>
  <c r="H96" i="4"/>
  <c r="C96" i="4"/>
  <c r="C107" i="4" s="1"/>
  <c r="I95" i="4"/>
  <c r="H95" i="4"/>
  <c r="G95" i="4"/>
  <c r="H94" i="4"/>
  <c r="E94" i="4"/>
  <c r="E110" i="4" s="1"/>
  <c r="H93" i="4"/>
  <c r="F93" i="4"/>
  <c r="E93" i="4"/>
  <c r="D93" i="4"/>
  <c r="D94" i="4" s="1"/>
  <c r="D110" i="4" s="1"/>
  <c r="I92" i="4"/>
  <c r="H92" i="4"/>
  <c r="G92" i="4"/>
  <c r="I91" i="4"/>
  <c r="H91" i="4"/>
  <c r="G91" i="4"/>
  <c r="I90" i="4"/>
  <c r="H90" i="4"/>
  <c r="G90" i="4"/>
  <c r="I89" i="4"/>
  <c r="H89" i="4"/>
  <c r="G89" i="4"/>
  <c r="I88" i="4"/>
  <c r="H88" i="4"/>
  <c r="G88" i="4"/>
  <c r="I87" i="4"/>
  <c r="H87" i="4"/>
  <c r="G87" i="4"/>
  <c r="I86" i="4"/>
  <c r="H86" i="4"/>
  <c r="G86" i="4"/>
  <c r="I85" i="4"/>
  <c r="H85" i="4"/>
  <c r="G85" i="4"/>
  <c r="I84" i="4"/>
  <c r="H84" i="4"/>
  <c r="G84" i="4"/>
  <c r="I83" i="4"/>
  <c r="H83" i="4"/>
  <c r="G83" i="4"/>
  <c r="I82" i="4"/>
  <c r="H82" i="4"/>
  <c r="G82" i="4"/>
  <c r="H81" i="4"/>
  <c r="G81" i="4"/>
  <c r="C81" i="4"/>
  <c r="C93" i="4" s="1"/>
  <c r="I80" i="4"/>
  <c r="H80" i="4"/>
  <c r="G80" i="4"/>
  <c r="I79" i="4"/>
  <c r="H79" i="4"/>
  <c r="G79" i="4"/>
  <c r="H78" i="4"/>
  <c r="F78" i="4"/>
  <c r="I78" i="4" s="1"/>
  <c r="E78" i="4"/>
  <c r="D78" i="4"/>
  <c r="I77" i="4"/>
  <c r="H77" i="4"/>
  <c r="G77" i="4"/>
  <c r="I76" i="4"/>
  <c r="H76" i="4"/>
  <c r="G76" i="4"/>
  <c r="I75" i="4"/>
  <c r="H75" i="4"/>
  <c r="G75" i="4"/>
  <c r="I74" i="4"/>
  <c r="H74" i="4"/>
  <c r="G74" i="4"/>
  <c r="I73" i="4"/>
  <c r="H73" i="4"/>
  <c r="G73" i="4"/>
  <c r="I72" i="4"/>
  <c r="H72" i="4"/>
  <c r="G72" i="4"/>
  <c r="I71" i="4"/>
  <c r="H71" i="4"/>
  <c r="G71" i="4"/>
  <c r="I70" i="4"/>
  <c r="H70" i="4"/>
  <c r="C70" i="4"/>
  <c r="G70" i="4" s="1"/>
  <c r="H69" i="4"/>
  <c r="C69" i="4"/>
  <c r="I68" i="4"/>
  <c r="H68" i="4"/>
  <c r="C68" i="4"/>
  <c r="G68" i="4" s="1"/>
  <c r="I67" i="4"/>
  <c r="H67" i="4"/>
  <c r="G67" i="4"/>
  <c r="I66" i="4"/>
  <c r="H66" i="4"/>
  <c r="G66" i="4"/>
  <c r="I65" i="4"/>
  <c r="H65" i="4"/>
  <c r="G65" i="4"/>
  <c r="I64" i="4"/>
  <c r="H64" i="4"/>
  <c r="G64" i="4"/>
  <c r="I63" i="4"/>
  <c r="H63" i="4"/>
  <c r="G63" i="4"/>
  <c r="H62" i="4"/>
  <c r="C62" i="4"/>
  <c r="I62" i="4" s="1"/>
  <c r="I61" i="4"/>
  <c r="H61" i="4"/>
  <c r="G61" i="4"/>
  <c r="C61" i="4"/>
  <c r="C78" i="4" s="1"/>
  <c r="I60" i="4"/>
  <c r="H60" i="4"/>
  <c r="G60" i="4"/>
  <c r="I59" i="4"/>
  <c r="H59" i="4"/>
  <c r="G59" i="4"/>
  <c r="I58" i="4"/>
  <c r="H58" i="4"/>
  <c r="G58" i="4"/>
  <c r="I57" i="4"/>
  <c r="H57" i="4"/>
  <c r="G57" i="4"/>
  <c r="I56" i="4"/>
  <c r="H56" i="4"/>
  <c r="G56" i="4"/>
  <c r="I55" i="4"/>
  <c r="H55" i="4"/>
  <c r="G55" i="4"/>
  <c r="H54" i="4"/>
  <c r="G54" i="4"/>
  <c r="H53" i="4"/>
  <c r="H52" i="4"/>
  <c r="I51" i="4"/>
  <c r="H51" i="4"/>
  <c r="G51" i="4"/>
  <c r="I50" i="4"/>
  <c r="H50" i="4"/>
  <c r="G50" i="4"/>
  <c r="H49" i="4"/>
  <c r="C49" i="4"/>
  <c r="I49" i="4" s="1"/>
  <c r="I48" i="4"/>
  <c r="H48" i="4"/>
  <c r="G48" i="4"/>
  <c r="I47" i="4"/>
  <c r="H47" i="4"/>
  <c r="G47" i="4"/>
  <c r="H46" i="4"/>
  <c r="G46" i="4"/>
  <c r="C46" i="4"/>
  <c r="I46" i="4" s="1"/>
  <c r="I45" i="4"/>
  <c r="H45" i="4"/>
  <c r="G45" i="4"/>
  <c r="I44" i="4"/>
  <c r="H44" i="4"/>
  <c r="G44" i="4"/>
  <c r="I43" i="4"/>
  <c r="H43" i="4"/>
  <c r="G43" i="4"/>
  <c r="H42" i="4"/>
  <c r="G42" i="4"/>
  <c r="C42" i="4"/>
  <c r="I42" i="4" s="1"/>
  <c r="I41" i="4"/>
  <c r="H41" i="4"/>
  <c r="G41" i="4"/>
  <c r="I40" i="4"/>
  <c r="H40" i="4"/>
  <c r="G40" i="4"/>
  <c r="H39" i="4"/>
  <c r="F39" i="4"/>
  <c r="F52" i="4" s="1"/>
  <c r="E39" i="4"/>
  <c r="E52" i="4" s="1"/>
  <c r="D39" i="4"/>
  <c r="D52" i="4" s="1"/>
  <c r="D53" i="4" s="1"/>
  <c r="I38" i="4"/>
  <c r="H38" i="4"/>
  <c r="G38" i="4"/>
  <c r="I37" i="4"/>
  <c r="H37" i="4"/>
  <c r="G37" i="4"/>
  <c r="H36" i="4"/>
  <c r="C36" i="4"/>
  <c r="I36" i="4" s="1"/>
  <c r="I35" i="4"/>
  <c r="H35" i="4"/>
  <c r="G35" i="4"/>
  <c r="I34" i="4"/>
  <c r="H34" i="4"/>
  <c r="G34" i="4"/>
  <c r="I33" i="4"/>
  <c r="H33" i="4"/>
  <c r="G33" i="4"/>
  <c r="I32" i="4"/>
  <c r="H32" i="4"/>
  <c r="G32" i="4"/>
  <c r="I31" i="4"/>
  <c r="H31" i="4"/>
  <c r="G31" i="4"/>
  <c r="I30" i="4"/>
  <c r="H30" i="4"/>
  <c r="G30" i="4"/>
  <c r="I29" i="4"/>
  <c r="H29" i="4"/>
  <c r="G29" i="4"/>
  <c r="I28" i="4"/>
  <c r="H28" i="4"/>
  <c r="G28" i="4"/>
  <c r="I27" i="4"/>
  <c r="H27" i="4"/>
  <c r="G27" i="4"/>
  <c r="I26" i="4"/>
  <c r="H26" i="4"/>
  <c r="G26" i="4"/>
  <c r="H25" i="4"/>
  <c r="G25" i="4"/>
  <c r="H24" i="4"/>
  <c r="F24" i="4"/>
  <c r="E24" i="4"/>
  <c r="D24" i="4"/>
  <c r="I23" i="4"/>
  <c r="H23" i="4"/>
  <c r="G23" i="4"/>
  <c r="I22" i="4"/>
  <c r="H22" i="4"/>
  <c r="G22" i="4"/>
  <c r="I21" i="4"/>
  <c r="H21" i="4"/>
  <c r="G21" i="4"/>
  <c r="I20" i="4"/>
  <c r="H20" i="4"/>
  <c r="G20" i="4"/>
  <c r="I19" i="4"/>
  <c r="H19" i="4"/>
  <c r="G19" i="4"/>
  <c r="C19" i="4"/>
  <c r="I18" i="4"/>
  <c r="H18" i="4"/>
  <c r="G18" i="4"/>
  <c r="I17" i="4"/>
  <c r="H17" i="4"/>
  <c r="G17" i="4"/>
  <c r="I16" i="4"/>
  <c r="H16" i="4"/>
  <c r="G16" i="4"/>
  <c r="H15" i="4"/>
  <c r="G15" i="4"/>
  <c r="C15" i="4"/>
  <c r="I15" i="4" s="1"/>
  <c r="I14" i="4"/>
  <c r="H14" i="4"/>
  <c r="G14" i="4"/>
  <c r="I13" i="4"/>
  <c r="H13" i="4"/>
  <c r="G13" i="4"/>
  <c r="I12" i="4"/>
  <c r="H12" i="4"/>
  <c r="G12" i="4"/>
  <c r="H11" i="4"/>
  <c r="G11" i="4"/>
  <c r="C11" i="4"/>
  <c r="I11" i="4" s="1"/>
  <c r="I10" i="4"/>
  <c r="H10" i="4"/>
  <c r="G10" i="4"/>
  <c r="H9" i="4"/>
  <c r="C9" i="4"/>
  <c r="I9" i="4" s="1"/>
  <c r="I8" i="4"/>
  <c r="H8" i="4"/>
  <c r="G8" i="4"/>
  <c r="I7" i="4"/>
  <c r="H7" i="4"/>
  <c r="G7" i="4"/>
  <c r="I6" i="4"/>
  <c r="H6" i="4"/>
  <c r="G6" i="4"/>
  <c r="I5" i="4"/>
  <c r="H5" i="4"/>
  <c r="G5" i="4"/>
  <c r="I4" i="4"/>
  <c r="H4" i="4"/>
  <c r="G4" i="4"/>
  <c r="H3" i="4"/>
  <c r="C3" i="4"/>
  <c r="H2" i="4"/>
  <c r="G2" i="4"/>
  <c r="F6" i="23" l="1"/>
  <c r="H6" i="23" s="1"/>
  <c r="F3" i="23"/>
  <c r="H3" i="23" s="1"/>
  <c r="F7" i="23"/>
  <c r="H7" i="23" s="1"/>
  <c r="F4" i="23"/>
  <c r="H4" i="23" s="1"/>
  <c r="C16" i="26"/>
  <c r="D18" i="26"/>
  <c r="E22" i="26"/>
  <c r="E4" i="26" s="1"/>
  <c r="F16" i="26"/>
  <c r="F18" i="26"/>
  <c r="F20" i="26"/>
  <c r="F22" i="26"/>
  <c r="F4" i="26" s="1"/>
  <c r="C22" i="26"/>
  <c r="C4" i="26" s="1"/>
  <c r="D20" i="26"/>
  <c r="D3" i="26" s="1"/>
  <c r="E20" i="26"/>
  <c r="C15" i="26"/>
  <c r="C17" i="26"/>
  <c r="C19" i="26"/>
  <c r="C8" i="26" s="1"/>
  <c r="C21" i="26"/>
  <c r="C7" i="26" s="1"/>
  <c r="C20" i="26"/>
  <c r="D22" i="26"/>
  <c r="D4" i="26" s="1"/>
  <c r="E18" i="26"/>
  <c r="D15" i="26"/>
  <c r="D17" i="26"/>
  <c r="D23" i="26" s="1"/>
  <c r="D2" i="26" s="1"/>
  <c r="D9" i="26" s="1"/>
  <c r="D19" i="26"/>
  <c r="D8" i="26" s="1"/>
  <c r="D21" i="26"/>
  <c r="D7" i="26" s="1"/>
  <c r="E16" i="26"/>
  <c r="E15" i="26"/>
  <c r="E17" i="26"/>
  <c r="E19" i="26"/>
  <c r="E8" i="26" s="1"/>
  <c r="C18" i="26"/>
  <c r="F15" i="26"/>
  <c r="F19" i="26"/>
  <c r="F8" i="26" s="1"/>
  <c r="E3" i="20"/>
  <c r="K3" i="20" s="1"/>
  <c r="B9" i="20"/>
  <c r="E5" i="20"/>
  <c r="K5" i="20" s="1"/>
  <c r="K1" i="20"/>
  <c r="E7" i="20"/>
  <c r="K7" i="20" s="1"/>
  <c r="D8" i="20"/>
  <c r="J8" i="20" s="1"/>
  <c r="C9" i="20"/>
  <c r="B10" i="20"/>
  <c r="H10" i="20" s="1"/>
  <c r="B3" i="20"/>
  <c r="H3" i="20" s="1"/>
  <c r="E8" i="20"/>
  <c r="K8" i="20" s="1"/>
  <c r="D9" i="20"/>
  <c r="C10" i="20"/>
  <c r="I10" i="20" s="1"/>
  <c r="E4" i="20"/>
  <c r="K4" i="20" s="1"/>
  <c r="E6" i="20"/>
  <c r="K6" i="20" s="1"/>
  <c r="C3" i="20"/>
  <c r="I3" i="20" s="1"/>
  <c r="B4" i="20"/>
  <c r="H4" i="20" s="1"/>
  <c r="E9" i="20"/>
  <c r="D10" i="20"/>
  <c r="J10" i="20" s="1"/>
  <c r="M4" i="19"/>
  <c r="I6" i="19"/>
  <c r="E8" i="19"/>
  <c r="K8" i="19" s="1"/>
  <c r="B6" i="19"/>
  <c r="D9" i="19"/>
  <c r="B10" i="19"/>
  <c r="H10" i="19" s="1"/>
  <c r="C8" i="19"/>
  <c r="I8" i="19" s="1"/>
  <c r="B3" i="19"/>
  <c r="K3" i="19"/>
  <c r="D6" i="19"/>
  <c r="B7" i="19"/>
  <c r="H7" i="19" s="1"/>
  <c r="D10" i="19"/>
  <c r="J10" i="19" s="1"/>
  <c r="M10" i="19" s="1"/>
  <c r="B11" i="19"/>
  <c r="H11" i="19" s="1"/>
  <c r="M11" i="19" s="1"/>
  <c r="C3" i="19"/>
  <c r="E6" i="19"/>
  <c r="C7" i="19"/>
  <c r="I7" i="19" s="1"/>
  <c r="H9" i="19"/>
  <c r="H1" i="19"/>
  <c r="D3" i="19"/>
  <c r="D7" i="19"/>
  <c r="J7" i="19" s="1"/>
  <c r="M7" i="19" s="1"/>
  <c r="D4" i="22"/>
  <c r="E16" i="22"/>
  <c r="C20" i="22"/>
  <c r="E23" i="22"/>
  <c r="C25" i="22"/>
  <c r="C36" i="22"/>
  <c r="D36" i="22" s="1"/>
  <c r="E85" i="22"/>
  <c r="C9" i="22"/>
  <c r="E11" i="22"/>
  <c r="C13" i="22"/>
  <c r="E17" i="22"/>
  <c r="C19" i="22"/>
  <c r="E30" i="22"/>
  <c r="E45" i="22"/>
  <c r="F45" i="22" s="1"/>
  <c r="C5" i="22"/>
  <c r="E9" i="22"/>
  <c r="E13" i="22"/>
  <c r="E19" i="22"/>
  <c r="C89" i="22"/>
  <c r="C78" i="22"/>
  <c r="C71" i="22"/>
  <c r="D71" i="22" s="1"/>
  <c r="C63" i="22"/>
  <c r="C53" i="22"/>
  <c r="C40" i="22"/>
  <c r="C30" i="22"/>
  <c r="C24" i="22"/>
  <c r="C18" i="22"/>
  <c r="C84" i="22"/>
  <c r="C70" i="22"/>
  <c r="D70" i="22" s="1"/>
  <c r="C62" i="22"/>
  <c r="C52" i="22"/>
  <c r="C39" i="22"/>
  <c r="C29" i="22"/>
  <c r="C23" i="22"/>
  <c r="C92" i="22"/>
  <c r="D92" i="22" s="1"/>
  <c r="C88" i="22"/>
  <c r="D88" i="22" s="1"/>
  <c r="C77" i="22"/>
  <c r="D77" i="22" s="1"/>
  <c r="C69" i="22"/>
  <c r="C61" i="22"/>
  <c r="C57" i="22"/>
  <c r="D57" i="22" s="1"/>
  <c r="C51" i="22"/>
  <c r="C44" i="22"/>
  <c r="C34" i="22"/>
  <c r="C22" i="22"/>
  <c r="C87" i="22"/>
  <c r="D87" i="22" s="1"/>
  <c r="C80" i="22"/>
  <c r="D80" i="22" s="1"/>
  <c r="C76" i="22"/>
  <c r="D76" i="22" s="1"/>
  <c r="C66" i="22"/>
  <c r="D66" i="22" s="1"/>
  <c r="C60" i="22"/>
  <c r="D60" i="22" s="1"/>
  <c r="C56" i="22"/>
  <c r="D56" i="22" s="1"/>
  <c r="C50" i="22"/>
  <c r="D50" i="22" s="1"/>
  <c r="C47" i="22"/>
  <c r="C43" i="22"/>
  <c r="D43" i="22" s="1"/>
  <c r="C33" i="22"/>
  <c r="C91" i="22"/>
  <c r="D91" i="22" s="1"/>
  <c r="C75" i="22"/>
  <c r="D75" i="22" s="1"/>
  <c r="C68" i="22"/>
  <c r="D68" i="22" s="1"/>
  <c r="C59" i="22"/>
  <c r="D59" i="22" s="1"/>
  <c r="C55" i="22"/>
  <c r="D55" i="22" s="1"/>
  <c r="C42" i="22"/>
  <c r="C38" i="22"/>
  <c r="D38" i="22" s="1"/>
  <c r="C32" i="22"/>
  <c r="C90" i="22"/>
  <c r="D90" i="22" s="1"/>
  <c r="C73" i="22"/>
  <c r="D73" i="22" s="1"/>
  <c r="C85" i="22"/>
  <c r="D85" i="22" s="1"/>
  <c r="C82" i="22"/>
  <c r="C79" i="22"/>
  <c r="D79" i="22" s="1"/>
  <c r="C72" i="22"/>
  <c r="D72" i="22" s="1"/>
  <c r="C67" i="22"/>
  <c r="D67" i="22" s="1"/>
  <c r="C64" i="22"/>
  <c r="D64" i="22" s="1"/>
  <c r="C58" i="22"/>
  <c r="D58" i="22" s="1"/>
  <c r="C45" i="22"/>
  <c r="D45" i="22" s="1"/>
  <c r="C41" i="22"/>
  <c r="C35" i="22"/>
  <c r="C31" i="22"/>
  <c r="C6" i="22"/>
  <c r="C10" i="22"/>
  <c r="D10" i="22" s="1"/>
  <c r="C14" i="22"/>
  <c r="E31" i="22"/>
  <c r="E67" i="22"/>
  <c r="E92" i="22"/>
  <c r="F92" i="22" s="1"/>
  <c r="E88" i="22"/>
  <c r="F88" i="22" s="1"/>
  <c r="E77" i="22"/>
  <c r="E69" i="22"/>
  <c r="E61" i="22"/>
  <c r="E57" i="22"/>
  <c r="E51" i="22"/>
  <c r="E44" i="22"/>
  <c r="E34" i="22"/>
  <c r="E22" i="22"/>
  <c r="E87" i="22"/>
  <c r="F87" i="22" s="1"/>
  <c r="E80" i="22"/>
  <c r="F80" i="22" s="1"/>
  <c r="E76" i="22"/>
  <c r="E66" i="22"/>
  <c r="E60" i="22"/>
  <c r="E56" i="22"/>
  <c r="E50" i="22"/>
  <c r="E43" i="22"/>
  <c r="E33" i="22"/>
  <c r="E21" i="22"/>
  <c r="F21" i="22" s="1"/>
  <c r="E91" i="22"/>
  <c r="F91" i="22" s="1"/>
  <c r="E75" i="22"/>
  <c r="E68" i="22"/>
  <c r="E59" i="22"/>
  <c r="E55" i="22"/>
  <c r="E47" i="22"/>
  <c r="E42" i="22"/>
  <c r="E38" i="22"/>
  <c r="F38" i="22" s="1"/>
  <c r="E32" i="22"/>
  <c r="E28" i="22"/>
  <c r="E20" i="22"/>
  <c r="E86" i="22"/>
  <c r="F86" i="22" s="1"/>
  <c r="E74" i="22"/>
  <c r="E65" i="22"/>
  <c r="E54" i="22"/>
  <c r="E49" i="22"/>
  <c r="F49" i="22" s="1"/>
  <c r="E37" i="22"/>
  <c r="E27" i="22"/>
  <c r="E90" i="22"/>
  <c r="F90" i="22" s="1"/>
  <c r="E73" i="22"/>
  <c r="E36" i="22"/>
  <c r="E89" i="22"/>
  <c r="F89" i="22" s="1"/>
  <c r="E82" i="22"/>
  <c r="E78" i="22"/>
  <c r="F78" i="22" s="1"/>
  <c r="E71" i="22"/>
  <c r="E63" i="22"/>
  <c r="E53" i="22"/>
  <c r="E40" i="22"/>
  <c r="E84" i="22"/>
  <c r="F84" i="22" s="1"/>
  <c r="E70" i="22"/>
  <c r="E62" i="22"/>
  <c r="E52" i="22"/>
  <c r="F52" i="22" s="1"/>
  <c r="E39" i="22"/>
  <c r="E5" i="22"/>
  <c r="C7" i="22"/>
  <c r="D7" i="22" s="1"/>
  <c r="C15" i="22"/>
  <c r="D15" i="22" s="1"/>
  <c r="E24" i="22"/>
  <c r="C26" i="22"/>
  <c r="D26" i="22" s="1"/>
  <c r="E29" i="22"/>
  <c r="E58" i="22"/>
  <c r="F58" i="22" s="1"/>
  <c r="E64" i="22"/>
  <c r="E79" i="22"/>
  <c r="G2" i="22"/>
  <c r="E6" i="22"/>
  <c r="E10" i="22"/>
  <c r="E14" i="22"/>
  <c r="C16" i="22"/>
  <c r="D16" i="22" s="1"/>
  <c r="C74" i="22"/>
  <c r="D74" i="22" s="1"/>
  <c r="E7" i="22"/>
  <c r="C11" i="22"/>
  <c r="D11" i="22" s="1"/>
  <c r="E15" i="22"/>
  <c r="C17" i="22"/>
  <c r="D17" i="22" s="1"/>
  <c r="C21" i="22"/>
  <c r="D21" i="22" s="1"/>
  <c r="E26" i="22"/>
  <c r="C28" i="22"/>
  <c r="D28" i="22" s="1"/>
  <c r="E35" i="22"/>
  <c r="F35" i="22" s="1"/>
  <c r="C49" i="22"/>
  <c r="D49" i="22" s="1"/>
  <c r="C54" i="22"/>
  <c r="D54" i="22" s="1"/>
  <c r="C65" i="22"/>
  <c r="D65" i="22" s="1"/>
  <c r="B50" i="8"/>
  <c r="B45" i="8"/>
  <c r="B65" i="8" s="1"/>
  <c r="C11" i="8"/>
  <c r="C21" i="8"/>
  <c r="D2" i="8"/>
  <c r="D4" i="8"/>
  <c r="D6" i="8"/>
  <c r="D8" i="8"/>
  <c r="D10" i="8"/>
  <c r="D31" i="8" s="1"/>
  <c r="D74" i="8" s="1"/>
  <c r="D12" i="8"/>
  <c r="D14" i="8"/>
  <c r="D16" i="8"/>
  <c r="D18" i="8"/>
  <c r="D20" i="8"/>
  <c r="D22" i="8"/>
  <c r="D24" i="8"/>
  <c r="D69" i="8"/>
  <c r="E8" i="8"/>
  <c r="E10" i="8"/>
  <c r="E31" i="8" s="1"/>
  <c r="E74" i="8" s="1"/>
  <c r="E12" i="8"/>
  <c r="E14" i="8"/>
  <c r="E16" i="8"/>
  <c r="E18" i="8"/>
  <c r="E38" i="8" s="1"/>
  <c r="E20" i="8"/>
  <c r="E40" i="8" s="1"/>
  <c r="E22" i="8"/>
  <c r="E24" i="8"/>
  <c r="E27" i="8"/>
  <c r="E70" i="8" s="1"/>
  <c r="E69" i="8"/>
  <c r="C13" i="8"/>
  <c r="C25" i="8"/>
  <c r="D3" i="8"/>
  <c r="D5" i="8"/>
  <c r="D7" i="8"/>
  <c r="D9" i="8"/>
  <c r="D11" i="8"/>
  <c r="D13" i="8"/>
  <c r="D15" i="8"/>
  <c r="D17" i="8"/>
  <c r="D19" i="8"/>
  <c r="D39" i="8" s="1"/>
  <c r="D21" i="8"/>
  <c r="D23" i="8"/>
  <c r="D25" i="8"/>
  <c r="C9" i="8"/>
  <c r="C19" i="8"/>
  <c r="E3" i="8"/>
  <c r="E5" i="8"/>
  <c r="E7" i="8"/>
  <c r="E50" i="8" s="1"/>
  <c r="E9" i="8"/>
  <c r="E11" i="8"/>
  <c r="E13" i="8"/>
  <c r="E15" i="8"/>
  <c r="E17" i="8"/>
  <c r="E19" i="8"/>
  <c r="E39" i="8" s="1"/>
  <c r="E21" i="8"/>
  <c r="E23" i="8"/>
  <c r="E25" i="8"/>
  <c r="C61" i="8"/>
  <c r="B30" i="8"/>
  <c r="B73" i="8" s="1"/>
  <c r="B37" i="8"/>
  <c r="B42" i="8"/>
  <c r="B62" i="8" s="1"/>
  <c r="B51" i="8"/>
  <c r="C3" i="8"/>
  <c r="B36" i="8" s="1"/>
  <c r="C7" i="8"/>
  <c r="C50" i="8" s="1"/>
  <c r="C17" i="8"/>
  <c r="B43" i="8"/>
  <c r="B63" i="8" s="1"/>
  <c r="C5" i="8"/>
  <c r="C15" i="8"/>
  <c r="C23" i="8"/>
  <c r="C2" i="8"/>
  <c r="B34" i="8" s="1"/>
  <c r="C4" i="8"/>
  <c r="C6" i="8"/>
  <c r="C8" i="8"/>
  <c r="C10" i="8"/>
  <c r="C12" i="8"/>
  <c r="C14" i="8"/>
  <c r="C16" i="8"/>
  <c r="C18" i="8"/>
  <c r="C38" i="8" s="1"/>
  <c r="C20" i="8"/>
  <c r="C22" i="8"/>
  <c r="C24" i="8"/>
  <c r="C11" i="25"/>
  <c r="C19" i="25"/>
  <c r="C27" i="25"/>
  <c r="C29" i="25"/>
  <c r="C43" i="25"/>
  <c r="C45" i="25"/>
  <c r="C48" i="25"/>
  <c r="C13" i="25"/>
  <c r="C36" i="25"/>
  <c r="B152" i="25"/>
  <c r="B156" i="25"/>
  <c r="C32" i="25"/>
  <c r="C69" i="25"/>
  <c r="C85" i="25"/>
  <c r="C101" i="25"/>
  <c r="B147" i="25"/>
  <c r="E3" i="25"/>
  <c r="C117" i="25"/>
  <c r="C131" i="25"/>
  <c r="C125" i="25"/>
  <c r="C120" i="25"/>
  <c r="C112" i="25"/>
  <c r="C104" i="25"/>
  <c r="C96" i="25"/>
  <c r="C88" i="25"/>
  <c r="C80" i="25"/>
  <c r="C72" i="25"/>
  <c r="C64" i="25"/>
  <c r="C134" i="25"/>
  <c r="C126" i="25"/>
  <c r="C115" i="25"/>
  <c r="C107" i="25"/>
  <c r="C99" i="25"/>
  <c r="C91" i="25"/>
  <c r="C83" i="25"/>
  <c r="C75" i="25"/>
  <c r="C67" i="25"/>
  <c r="C59" i="25"/>
  <c r="C51" i="25"/>
  <c r="C129" i="25"/>
  <c r="C118" i="25"/>
  <c r="C102" i="25"/>
  <c r="C94" i="25"/>
  <c r="C86" i="25"/>
  <c r="C78" i="25"/>
  <c r="C70" i="25"/>
  <c r="C62" i="25"/>
  <c r="C54" i="25"/>
  <c r="C46" i="25"/>
  <c r="C38" i="25"/>
  <c r="C30" i="25"/>
  <c r="C132" i="25"/>
  <c r="C121" i="25"/>
  <c r="C113" i="25"/>
  <c r="C148" i="25" s="1"/>
  <c r="C105" i="25"/>
  <c r="C97" i="25"/>
  <c r="C89" i="25"/>
  <c r="C81" i="25"/>
  <c r="C73" i="25"/>
  <c r="C65" i="25"/>
  <c r="C57" i="25"/>
  <c r="C49" i="25"/>
  <c r="C41" i="25"/>
  <c r="C33" i="25"/>
  <c r="C25" i="25"/>
  <c r="C17" i="25"/>
  <c r="C9" i="25"/>
  <c r="C135" i="25"/>
  <c r="C163" i="25" s="1"/>
  <c r="C127" i="25"/>
  <c r="C116" i="25"/>
  <c r="C150" i="25" s="1"/>
  <c r="C108" i="25"/>
  <c r="C100" i="25"/>
  <c r="C92" i="25"/>
  <c r="C84" i="25"/>
  <c r="C76" i="25"/>
  <c r="C68" i="25"/>
  <c r="C60" i="25"/>
  <c r="C52" i="25"/>
  <c r="C130" i="25"/>
  <c r="C119" i="25"/>
  <c r="C110" i="25"/>
  <c r="C103" i="25"/>
  <c r="C95" i="25"/>
  <c r="C87" i="25"/>
  <c r="C79" i="25"/>
  <c r="C71" i="25"/>
  <c r="C63" i="25"/>
  <c r="C55" i="25"/>
  <c r="B154" i="25" s="1"/>
  <c r="C47" i="25"/>
  <c r="C39" i="25"/>
  <c r="C31" i="25"/>
  <c r="C23" i="25"/>
  <c r="C15" i="25"/>
  <c r="C7" i="25"/>
  <c r="C133" i="25"/>
  <c r="C122" i="25"/>
  <c r="C114" i="25"/>
  <c r="C149" i="25" s="1"/>
  <c r="C111" i="25"/>
  <c r="C106" i="25"/>
  <c r="C98" i="25"/>
  <c r="C90" i="25"/>
  <c r="C82" i="25"/>
  <c r="C74" i="25"/>
  <c r="C66" i="25"/>
  <c r="C58" i="25"/>
  <c r="C34" i="25"/>
  <c r="D3" i="25"/>
  <c r="C35" i="25"/>
  <c r="C37" i="25"/>
  <c r="C56" i="25"/>
  <c r="C6" i="25"/>
  <c r="C8" i="25"/>
  <c r="C10" i="25"/>
  <c r="C12" i="25"/>
  <c r="C14" i="25"/>
  <c r="C16" i="25"/>
  <c r="C18" i="25"/>
  <c r="C20" i="25"/>
  <c r="C22" i="25"/>
  <c r="B144" i="25" s="1"/>
  <c r="C24" i="25"/>
  <c r="C26" i="25"/>
  <c r="C28" i="25"/>
  <c r="C42" i="25"/>
  <c r="C44" i="25"/>
  <c r="C21" i="25"/>
  <c r="C53" i="25"/>
  <c r="C40" i="25"/>
  <c r="C50" i="25"/>
  <c r="C61" i="25"/>
  <c r="C77" i="25"/>
  <c r="C93" i="25"/>
  <c r="C159" i="25" s="1"/>
  <c r="B149" i="25"/>
  <c r="B153" i="25"/>
  <c r="B163" i="25"/>
  <c r="B142" i="25"/>
  <c r="B146" i="25"/>
  <c r="B148" i="25"/>
  <c r="E55" i="13"/>
  <c r="E57" i="13" s="1"/>
  <c r="F55" i="13"/>
  <c r="F57" i="13" s="1"/>
  <c r="C42" i="13"/>
  <c r="C55" i="13" s="1"/>
  <c r="C57" i="13" s="1"/>
  <c r="D55" i="13"/>
  <c r="D57" i="13" s="1"/>
  <c r="E66" i="9"/>
  <c r="E65" i="9"/>
  <c r="C36" i="9"/>
  <c r="C39" i="9" s="1"/>
  <c r="C41" i="9" s="1"/>
  <c r="C65" i="9" s="1"/>
  <c r="D111" i="4"/>
  <c r="E53" i="4"/>
  <c r="E111" i="4" s="1"/>
  <c r="F53" i="4"/>
  <c r="G107" i="4"/>
  <c r="C109" i="4"/>
  <c r="G109" i="4" s="1"/>
  <c r="I107" i="4"/>
  <c r="G93" i="4"/>
  <c r="I93" i="4"/>
  <c r="C94" i="4"/>
  <c r="G78" i="4"/>
  <c r="G49" i="4"/>
  <c r="G62" i="4"/>
  <c r="G3" i="4"/>
  <c r="G69" i="4"/>
  <c r="F94" i="4"/>
  <c r="G96" i="4"/>
  <c r="I3" i="4"/>
  <c r="I69" i="4"/>
  <c r="I96" i="4"/>
  <c r="G9" i="4"/>
  <c r="C24" i="4"/>
  <c r="G36" i="4"/>
  <c r="C39" i="4"/>
  <c r="I39" i="4" s="1"/>
  <c r="I81" i="4"/>
  <c r="E23" i="26" l="1"/>
  <c r="E2" i="26" s="1"/>
  <c r="E9" i="26" s="1"/>
  <c r="E3" i="26"/>
  <c r="F23" i="26"/>
  <c r="F2" i="26" s="1"/>
  <c r="F9" i="26" s="1"/>
  <c r="F3" i="26"/>
  <c r="C3" i="26"/>
  <c r="C23" i="26"/>
  <c r="C2" i="26" s="1"/>
  <c r="C9" i="26" s="1"/>
  <c r="C11" i="20"/>
  <c r="I11" i="20" s="1"/>
  <c r="I9" i="20"/>
  <c r="D11" i="20"/>
  <c r="J11" i="20" s="1"/>
  <c r="J9" i="20"/>
  <c r="B11" i="20"/>
  <c r="H11" i="20" s="1"/>
  <c r="H9" i="20"/>
  <c r="E11" i="20"/>
  <c r="K11" i="20" s="1"/>
  <c r="K9" i="20"/>
  <c r="E5" i="19"/>
  <c r="K5" i="19" s="1"/>
  <c r="K6" i="19"/>
  <c r="J9" i="19"/>
  <c r="M9" i="19" s="1"/>
  <c r="D8" i="19"/>
  <c r="J8" i="19" s="1"/>
  <c r="M8" i="19" s="1"/>
  <c r="H3" i="19"/>
  <c r="B2" i="19"/>
  <c r="H2" i="19" s="1"/>
  <c r="B5" i="19"/>
  <c r="H5" i="19" s="1"/>
  <c r="H6" i="19"/>
  <c r="C5" i="19"/>
  <c r="I5" i="19" s="1"/>
  <c r="C2" i="19"/>
  <c r="I2" i="19" s="1"/>
  <c r="I3" i="19"/>
  <c r="D5" i="19"/>
  <c r="J5" i="19" s="1"/>
  <c r="J6" i="19"/>
  <c r="J3" i="19"/>
  <c r="M3" i="19" s="1"/>
  <c r="D2" i="19"/>
  <c r="J2" i="19" s="1"/>
  <c r="M2" i="19" s="1"/>
  <c r="B8" i="19"/>
  <c r="H8" i="19" s="1"/>
  <c r="F29" i="22"/>
  <c r="F62" i="22"/>
  <c r="F54" i="22"/>
  <c r="F42" i="22"/>
  <c r="F33" i="22"/>
  <c r="F77" i="22"/>
  <c r="D6" i="22"/>
  <c r="D42" i="22"/>
  <c r="D22" i="22"/>
  <c r="D84" i="22"/>
  <c r="D78" i="22"/>
  <c r="F30" i="22"/>
  <c r="D25" i="22"/>
  <c r="D27" i="22"/>
  <c r="F69" i="22"/>
  <c r="D31" i="22"/>
  <c r="D34" i="22"/>
  <c r="D18" i="22"/>
  <c r="D89" i="22"/>
  <c r="D19" i="22"/>
  <c r="F23" i="22"/>
  <c r="F72" i="22"/>
  <c r="F26" i="22"/>
  <c r="F14" i="22"/>
  <c r="F70" i="22"/>
  <c r="F65" i="22"/>
  <c r="F43" i="22"/>
  <c r="F22" i="22"/>
  <c r="F10" i="22"/>
  <c r="F24" i="22"/>
  <c r="F36" i="22"/>
  <c r="F74" i="22"/>
  <c r="F55" i="22"/>
  <c r="F50" i="22"/>
  <c r="F34" i="22"/>
  <c r="D35" i="22"/>
  <c r="D44" i="22"/>
  <c r="D23" i="22"/>
  <c r="D24" i="22"/>
  <c r="D86" i="22"/>
  <c r="F17" i="22"/>
  <c r="D20" i="22"/>
  <c r="F25" i="22"/>
  <c r="F6" i="22"/>
  <c r="F40" i="22"/>
  <c r="F73" i="22"/>
  <c r="F59" i="22"/>
  <c r="F56" i="22"/>
  <c r="F44" i="22"/>
  <c r="F41" i="22"/>
  <c r="D41" i="22"/>
  <c r="D51" i="22"/>
  <c r="D29" i="22"/>
  <c r="D30" i="22"/>
  <c r="F19" i="22"/>
  <c r="D13" i="22"/>
  <c r="F16" i="22"/>
  <c r="D37" i="22"/>
  <c r="F15" i="22"/>
  <c r="G91" i="22"/>
  <c r="G75" i="22"/>
  <c r="H75" i="22" s="1"/>
  <c r="G68" i="22"/>
  <c r="G59" i="22"/>
  <c r="G55" i="22"/>
  <c r="G42" i="22"/>
  <c r="G38" i="22"/>
  <c r="G32" i="22"/>
  <c r="G28" i="22"/>
  <c r="G20" i="22"/>
  <c r="H20" i="22" s="1"/>
  <c r="G86" i="22"/>
  <c r="G74" i="22"/>
  <c r="G65" i="22"/>
  <c r="G54" i="22"/>
  <c r="G49" i="22"/>
  <c r="G47" i="22"/>
  <c r="G37" i="22"/>
  <c r="G27" i="22"/>
  <c r="H27" i="22" s="1"/>
  <c r="G90" i="22"/>
  <c r="G73" i="22"/>
  <c r="G36" i="22"/>
  <c r="G26" i="22"/>
  <c r="G85" i="22"/>
  <c r="G79" i="22"/>
  <c r="G72" i="22"/>
  <c r="G67" i="22"/>
  <c r="H67" i="22" s="1"/>
  <c r="G64" i="22"/>
  <c r="G58" i="22"/>
  <c r="G45" i="22"/>
  <c r="H45" i="22" s="1"/>
  <c r="G41" i="22"/>
  <c r="G35" i="22"/>
  <c r="G31" i="22"/>
  <c r="G25" i="22"/>
  <c r="H25" i="22" s="1"/>
  <c r="G89" i="22"/>
  <c r="H89" i="22" s="1"/>
  <c r="G78" i="22"/>
  <c r="G71" i="22"/>
  <c r="G63" i="22"/>
  <c r="G53" i="22"/>
  <c r="G40" i="22"/>
  <c r="H40" i="22" s="1"/>
  <c r="G30" i="22"/>
  <c r="G92" i="22"/>
  <c r="H92" i="22" s="1"/>
  <c r="G88" i="22"/>
  <c r="H88" i="22" s="1"/>
  <c r="G77" i="22"/>
  <c r="G69" i="22"/>
  <c r="G61" i="22"/>
  <c r="G57" i="22"/>
  <c r="G51" i="22"/>
  <c r="G44" i="22"/>
  <c r="G87" i="22"/>
  <c r="H87" i="22" s="1"/>
  <c r="G80" i="22"/>
  <c r="H80" i="22" s="1"/>
  <c r="G76" i="22"/>
  <c r="G66" i="22"/>
  <c r="G60" i="22"/>
  <c r="G56" i="22"/>
  <c r="G50" i="22"/>
  <c r="G43" i="22"/>
  <c r="H43" i="22" s="1"/>
  <c r="G33" i="22"/>
  <c r="H33" i="22" s="1"/>
  <c r="G29" i="22"/>
  <c r="H29" i="22" s="1"/>
  <c r="G24" i="22"/>
  <c r="H24" i="22" s="1"/>
  <c r="G5" i="22"/>
  <c r="H5" i="22" s="1"/>
  <c r="I2" i="22"/>
  <c r="G84" i="22"/>
  <c r="H84" i="22" s="1"/>
  <c r="G70" i="22"/>
  <c r="G22" i="22"/>
  <c r="H22" i="22" s="1"/>
  <c r="G13" i="22"/>
  <c r="H13" i="22" s="1"/>
  <c r="G9" i="22"/>
  <c r="H9" i="22" s="1"/>
  <c r="G52" i="22"/>
  <c r="H52" i="22" s="1"/>
  <c r="G19" i="22"/>
  <c r="H19" i="22" s="1"/>
  <c r="G18" i="22"/>
  <c r="H18" i="22" s="1"/>
  <c r="G12" i="22"/>
  <c r="H12" i="22" s="1"/>
  <c r="G8" i="22"/>
  <c r="H8" i="22" s="1"/>
  <c r="G4" i="22"/>
  <c r="H4" i="22" s="1"/>
  <c r="G82" i="22"/>
  <c r="G62" i="22"/>
  <c r="H62" i="22" s="1"/>
  <c r="G34" i="22"/>
  <c r="H34" i="22" s="1"/>
  <c r="G11" i="22"/>
  <c r="H11" i="22" s="1"/>
  <c r="G23" i="22"/>
  <c r="H23" i="22" s="1"/>
  <c r="G15" i="22"/>
  <c r="H15" i="22" s="1"/>
  <c r="G7" i="22"/>
  <c r="H7" i="22" s="1"/>
  <c r="G10" i="22"/>
  <c r="H10" i="22" s="1"/>
  <c r="G17" i="22"/>
  <c r="H17" i="22" s="1"/>
  <c r="G39" i="22"/>
  <c r="H39" i="22" s="1"/>
  <c r="G21" i="22"/>
  <c r="H21" i="22" s="1"/>
  <c r="G14" i="22"/>
  <c r="H14" i="22" s="1"/>
  <c r="G6" i="22"/>
  <c r="H6" i="22" s="1"/>
  <c r="G16" i="22"/>
  <c r="H16" i="22" s="1"/>
  <c r="F53" i="22"/>
  <c r="F20" i="22"/>
  <c r="F68" i="22"/>
  <c r="F60" i="22"/>
  <c r="F51" i="22"/>
  <c r="F67" i="22"/>
  <c r="D39" i="22"/>
  <c r="D40" i="22"/>
  <c r="F13" i="22"/>
  <c r="F11" i="22"/>
  <c r="F12" i="22"/>
  <c r="F8" i="22"/>
  <c r="F79" i="22"/>
  <c r="F5" i="22"/>
  <c r="F63" i="22"/>
  <c r="F27" i="22"/>
  <c r="F28" i="22"/>
  <c r="F75" i="22"/>
  <c r="F66" i="22"/>
  <c r="F57" i="22"/>
  <c r="F31" i="22"/>
  <c r="D61" i="22"/>
  <c r="D52" i="22"/>
  <c r="D53" i="22"/>
  <c r="F9" i="22"/>
  <c r="D9" i="22"/>
  <c r="F4" i="22"/>
  <c r="F18" i="22"/>
  <c r="F7" i="22"/>
  <c r="F64" i="22"/>
  <c r="F39" i="22"/>
  <c r="F71" i="22"/>
  <c r="F37" i="22"/>
  <c r="F32" i="22"/>
  <c r="F76" i="22"/>
  <c r="F61" i="22"/>
  <c r="D14" i="22"/>
  <c r="D32" i="22"/>
  <c r="D33" i="22"/>
  <c r="D69" i="22"/>
  <c r="D62" i="22"/>
  <c r="D63" i="22"/>
  <c r="D5" i="22"/>
  <c r="F85" i="22"/>
  <c r="D12" i="22"/>
  <c r="D8" i="22"/>
  <c r="C53" i="8"/>
  <c r="C44" i="8"/>
  <c r="C64" i="8" s="1"/>
  <c r="B53" i="8"/>
  <c r="C32" i="8"/>
  <c r="C75" i="8" s="1"/>
  <c r="C34" i="8"/>
  <c r="C37" i="8"/>
  <c r="E58" i="8"/>
  <c r="D58" i="8"/>
  <c r="D35" i="8"/>
  <c r="D48" i="8"/>
  <c r="D36" i="8"/>
  <c r="C52" i="8"/>
  <c r="C43" i="8"/>
  <c r="C63" i="8" s="1"/>
  <c r="C40" i="8"/>
  <c r="C27" i="8"/>
  <c r="C70" i="8" s="1"/>
  <c r="C28" i="8"/>
  <c r="C71" i="8" s="1"/>
  <c r="E49" i="8"/>
  <c r="E46" i="8"/>
  <c r="E66" i="8" s="1"/>
  <c r="E42" i="8"/>
  <c r="E62" i="8" s="1"/>
  <c r="E45" i="8"/>
  <c r="E65" i="8" s="1"/>
  <c r="D49" i="8"/>
  <c r="D46" i="8"/>
  <c r="D66" i="8" s="1"/>
  <c r="D42" i="8"/>
  <c r="D62" i="8" s="1"/>
  <c r="D45" i="8"/>
  <c r="D65" i="8" s="1"/>
  <c r="D50" i="8"/>
  <c r="D30" i="8"/>
  <c r="D73" i="8" s="1"/>
  <c r="D55" i="8"/>
  <c r="C45" i="8"/>
  <c r="C65" i="8" s="1"/>
  <c r="C46" i="8"/>
  <c r="C66" i="8" s="1"/>
  <c r="C49" i="8"/>
  <c r="C42" i="8"/>
  <c r="C62" i="8" s="1"/>
  <c r="C55" i="8"/>
  <c r="C30" i="8"/>
  <c r="C73" i="8" s="1"/>
  <c r="C29" i="8"/>
  <c r="C72" i="8" s="1"/>
  <c r="C51" i="8"/>
  <c r="E37" i="8"/>
  <c r="E34" i="8"/>
  <c r="C39" i="8"/>
  <c r="D37" i="8"/>
  <c r="D34" i="8"/>
  <c r="C58" i="8"/>
  <c r="E28" i="8"/>
  <c r="E71" i="8" s="1"/>
  <c r="E52" i="8"/>
  <c r="E43" i="8"/>
  <c r="E63" i="8" s="1"/>
  <c r="E51" i="8"/>
  <c r="E29" i="8"/>
  <c r="E72" i="8" s="1"/>
  <c r="D51" i="8"/>
  <c r="D29" i="8"/>
  <c r="D72" i="8" s="1"/>
  <c r="C56" i="8"/>
  <c r="D53" i="8"/>
  <c r="D44" i="8"/>
  <c r="D64" i="8" s="1"/>
  <c r="D32" i="8"/>
  <c r="D75" i="8" s="1"/>
  <c r="B52" i="8"/>
  <c r="C31" i="8"/>
  <c r="C74" i="8" s="1"/>
  <c r="E56" i="8"/>
  <c r="B49" i="8"/>
  <c r="D56" i="8"/>
  <c r="B44" i="8"/>
  <c r="B64" i="8" s="1"/>
  <c r="E35" i="8"/>
  <c r="E48" i="8"/>
  <c r="E36" i="8"/>
  <c r="D40" i="8"/>
  <c r="D28" i="8"/>
  <c r="D71" i="8" s="1"/>
  <c r="D27" i="8"/>
  <c r="D70" i="8" s="1"/>
  <c r="D52" i="8"/>
  <c r="D43" i="8"/>
  <c r="D63" i="8" s="1"/>
  <c r="C48" i="8"/>
  <c r="C36" i="8"/>
  <c r="C35" i="8"/>
  <c r="E53" i="8"/>
  <c r="E44" i="8"/>
  <c r="E64" i="8" s="1"/>
  <c r="E32" i="8"/>
  <c r="E75" i="8" s="1"/>
  <c r="B46" i="8"/>
  <c r="B66" i="8" s="1"/>
  <c r="B35" i="8"/>
  <c r="E30" i="8"/>
  <c r="E73" i="8" s="1"/>
  <c r="E55" i="8"/>
  <c r="D38" i="8"/>
  <c r="B48" i="8"/>
  <c r="H7" i="25"/>
  <c r="H71" i="25"/>
  <c r="H50" i="25"/>
  <c r="H90" i="25"/>
  <c r="H107" i="25"/>
  <c r="H41" i="25"/>
  <c r="H91" i="25"/>
  <c r="H19" i="25"/>
  <c r="H28" i="25"/>
  <c r="C147" i="25"/>
  <c r="C162" i="25"/>
  <c r="H36" i="25"/>
  <c r="C153" i="25"/>
  <c r="H111" i="25"/>
  <c r="B155" i="25"/>
  <c r="C161" i="25"/>
  <c r="E129" i="25"/>
  <c r="E118" i="25"/>
  <c r="E102" i="25"/>
  <c r="E94" i="25"/>
  <c r="E86" i="25"/>
  <c r="E78" i="25"/>
  <c r="E70" i="25"/>
  <c r="E62" i="25"/>
  <c r="E132" i="25"/>
  <c r="E121" i="25"/>
  <c r="E113" i="25"/>
  <c r="G110" i="25"/>
  <c r="E105" i="25"/>
  <c r="E97" i="25"/>
  <c r="E89" i="25"/>
  <c r="E81" i="25"/>
  <c r="E73" i="25"/>
  <c r="E65" i="25"/>
  <c r="E57" i="25"/>
  <c r="E49" i="25"/>
  <c r="E135" i="25"/>
  <c r="E163" i="25" s="1"/>
  <c r="E127" i="25"/>
  <c r="E116" i="25"/>
  <c r="E108" i="25"/>
  <c r="E100" i="25"/>
  <c r="E92" i="25"/>
  <c r="E84" i="25"/>
  <c r="E76" i="25"/>
  <c r="E68" i="25"/>
  <c r="E60" i="25"/>
  <c r="E52" i="25"/>
  <c r="E44" i="25"/>
  <c r="E36" i="25"/>
  <c r="E28" i="25"/>
  <c r="E130" i="25"/>
  <c r="E119" i="25"/>
  <c r="E110" i="25"/>
  <c r="E103" i="25"/>
  <c r="E95" i="25"/>
  <c r="E87" i="25"/>
  <c r="E79" i="25"/>
  <c r="E71" i="25"/>
  <c r="E63" i="25"/>
  <c r="E55" i="25"/>
  <c r="E47" i="25"/>
  <c r="E39" i="25"/>
  <c r="E31" i="25"/>
  <c r="E23" i="25"/>
  <c r="E15" i="25"/>
  <c r="E7" i="25"/>
  <c r="E133" i="25"/>
  <c r="E122" i="25"/>
  <c r="E114" i="25"/>
  <c r="E149" i="25" s="1"/>
  <c r="E111" i="25"/>
  <c r="E106" i="25"/>
  <c r="E98" i="25"/>
  <c r="E90" i="25"/>
  <c r="E82" i="25"/>
  <c r="E74" i="25"/>
  <c r="E66" i="25"/>
  <c r="E58" i="25"/>
  <c r="E50" i="25"/>
  <c r="E128" i="25"/>
  <c r="E117" i="25"/>
  <c r="E101" i="25"/>
  <c r="E93" i="25"/>
  <c r="E85" i="25"/>
  <c r="E77" i="25"/>
  <c r="E69" i="25"/>
  <c r="E61" i="25"/>
  <c r="E53" i="25"/>
  <c r="E45" i="25"/>
  <c r="E37" i="25"/>
  <c r="E29" i="25"/>
  <c r="E21" i="25"/>
  <c r="E13" i="25"/>
  <c r="E131" i="25"/>
  <c r="E125" i="25"/>
  <c r="E120" i="25"/>
  <c r="E112" i="25"/>
  <c r="E104" i="25"/>
  <c r="E96" i="25"/>
  <c r="E88" i="25"/>
  <c r="E80" i="25"/>
  <c r="E72" i="25"/>
  <c r="E64" i="25"/>
  <c r="E56" i="25"/>
  <c r="E42" i="25"/>
  <c r="E35" i="25"/>
  <c r="E33" i="25"/>
  <c r="E26" i="25"/>
  <c r="E20" i="25"/>
  <c r="E18" i="25"/>
  <c r="E12" i="25"/>
  <c r="E10" i="25"/>
  <c r="E24" i="25"/>
  <c r="E22" i="25"/>
  <c r="E16" i="25"/>
  <c r="E14" i="25"/>
  <c r="E30" i="25"/>
  <c r="E134" i="25"/>
  <c r="E46" i="25"/>
  <c r="E32" i="25"/>
  <c r="E11" i="25"/>
  <c r="E38" i="25"/>
  <c r="E107" i="25"/>
  <c r="E91" i="25"/>
  <c r="E75" i="25"/>
  <c r="E59" i="25"/>
  <c r="H59" i="25" s="1"/>
  <c r="E48" i="25"/>
  <c r="E43" i="25"/>
  <c r="E41" i="25"/>
  <c r="E34" i="25"/>
  <c r="E27" i="25"/>
  <c r="E25" i="25"/>
  <c r="E19" i="25"/>
  <c r="E17" i="25"/>
  <c r="H17" i="25" s="1"/>
  <c r="E9" i="25"/>
  <c r="E8" i="25"/>
  <c r="E6" i="25"/>
  <c r="E51" i="25"/>
  <c r="E126" i="25"/>
  <c r="E115" i="25"/>
  <c r="E54" i="25"/>
  <c r="E40" i="25"/>
  <c r="E99" i="25"/>
  <c r="E83" i="25"/>
  <c r="E67" i="25"/>
  <c r="C152" i="25"/>
  <c r="H43" i="25"/>
  <c r="C140" i="25"/>
  <c r="H94" i="25"/>
  <c r="C158" i="25"/>
  <c r="H51" i="25"/>
  <c r="B145" i="25"/>
  <c r="H37" i="25"/>
  <c r="H52" i="25"/>
  <c r="D134" i="25"/>
  <c r="H134" i="25" s="1"/>
  <c r="D126" i="25"/>
  <c r="H126" i="25" s="1"/>
  <c r="D115" i="25"/>
  <c r="H115" i="25" s="1"/>
  <c r="D107" i="25"/>
  <c r="D99" i="25"/>
  <c r="H99" i="25" s="1"/>
  <c r="D91" i="25"/>
  <c r="D83" i="25"/>
  <c r="H83" i="25" s="1"/>
  <c r="D75" i="25"/>
  <c r="H75" i="25" s="1"/>
  <c r="D67" i="25"/>
  <c r="D129" i="25"/>
  <c r="H129" i="25" s="1"/>
  <c r="D118" i="25"/>
  <c r="H118" i="25" s="1"/>
  <c r="D102" i="25"/>
  <c r="H102" i="25" s="1"/>
  <c r="D94" i="25"/>
  <c r="D86" i="25"/>
  <c r="H86" i="25" s="1"/>
  <c r="D78" i="25"/>
  <c r="D70" i="25"/>
  <c r="H70" i="25" s="1"/>
  <c r="D62" i="25"/>
  <c r="H62" i="25" s="1"/>
  <c r="D54" i="25"/>
  <c r="H54" i="25" s="1"/>
  <c r="D132" i="25"/>
  <c r="H132" i="25" s="1"/>
  <c r="D121" i="25"/>
  <c r="H121" i="25" s="1"/>
  <c r="D113" i="25"/>
  <c r="D105" i="25"/>
  <c r="H105" i="25" s="1"/>
  <c r="D97" i="25"/>
  <c r="H97" i="25" s="1"/>
  <c r="D89" i="25"/>
  <c r="H89" i="25" s="1"/>
  <c r="D81" i="25"/>
  <c r="H81" i="25" s="1"/>
  <c r="D73" i="25"/>
  <c r="H73" i="25" s="1"/>
  <c r="D65" i="25"/>
  <c r="H65" i="25" s="1"/>
  <c r="D57" i="25"/>
  <c r="D49" i="25"/>
  <c r="H49" i="25" s="1"/>
  <c r="D41" i="25"/>
  <c r="D33" i="25"/>
  <c r="H33" i="25" s="1"/>
  <c r="D135" i="25"/>
  <c r="D127" i="25"/>
  <c r="H127" i="25" s="1"/>
  <c r="D116" i="25"/>
  <c r="D150" i="25" s="1"/>
  <c r="D108" i="25"/>
  <c r="D158" i="25" s="1"/>
  <c r="D100" i="25"/>
  <c r="H100" i="25" s="1"/>
  <c r="D92" i="25"/>
  <c r="H92" i="25" s="1"/>
  <c r="D84" i="25"/>
  <c r="H84" i="25" s="1"/>
  <c r="D76" i="25"/>
  <c r="H76" i="25" s="1"/>
  <c r="D68" i="25"/>
  <c r="H68" i="25" s="1"/>
  <c r="D60" i="25"/>
  <c r="D52" i="25"/>
  <c r="D44" i="25"/>
  <c r="H44" i="25" s="1"/>
  <c r="D36" i="25"/>
  <c r="D28" i="25"/>
  <c r="D20" i="25"/>
  <c r="H20" i="25" s="1"/>
  <c r="D12" i="25"/>
  <c r="H12" i="25" s="1"/>
  <c r="D55" i="25"/>
  <c r="C154" i="25" s="1"/>
  <c r="D47" i="25"/>
  <c r="D130" i="25"/>
  <c r="H130" i="25" s="1"/>
  <c r="D119" i="25"/>
  <c r="D110" i="25"/>
  <c r="D103" i="25"/>
  <c r="H103" i="25" s="1"/>
  <c r="D95" i="25"/>
  <c r="H95" i="25" s="1"/>
  <c r="D87" i="25"/>
  <c r="H87" i="25" s="1"/>
  <c r="D79" i="25"/>
  <c r="D142" i="25" s="1"/>
  <c r="D71" i="25"/>
  <c r="D63" i="25"/>
  <c r="H63" i="25" s="1"/>
  <c r="D133" i="25"/>
  <c r="H133" i="25" s="1"/>
  <c r="D122" i="25"/>
  <c r="D114" i="25"/>
  <c r="D111" i="25"/>
  <c r="D106" i="25"/>
  <c r="H106" i="25" s="1"/>
  <c r="D98" i="25"/>
  <c r="H98" i="25" s="1"/>
  <c r="D90" i="25"/>
  <c r="D82" i="25"/>
  <c r="H82" i="25" s="1"/>
  <c r="D74" i="25"/>
  <c r="H74" i="25" s="1"/>
  <c r="D66" i="25"/>
  <c r="D58" i="25"/>
  <c r="D50" i="25"/>
  <c r="D42" i="25"/>
  <c r="H42" i="25" s="1"/>
  <c r="D34" i="25"/>
  <c r="H34" i="25" s="1"/>
  <c r="D26" i="25"/>
  <c r="H26" i="25" s="1"/>
  <c r="D18" i="25"/>
  <c r="H18" i="25" s="1"/>
  <c r="D10" i="25"/>
  <c r="H10" i="25" s="1"/>
  <c r="D128" i="25"/>
  <c r="D117" i="25"/>
  <c r="H117" i="25" s="1"/>
  <c r="D101" i="25"/>
  <c r="H101" i="25" s="1"/>
  <c r="D93" i="25"/>
  <c r="D85" i="25"/>
  <c r="H85" i="25" s="1"/>
  <c r="D77" i="25"/>
  <c r="H77" i="25" s="1"/>
  <c r="D69" i="25"/>
  <c r="H69" i="25" s="1"/>
  <c r="D61" i="25"/>
  <c r="H61" i="25" s="1"/>
  <c r="D53" i="25"/>
  <c r="H53" i="25" s="1"/>
  <c r="D24" i="25"/>
  <c r="H24" i="25" s="1"/>
  <c r="D22" i="25"/>
  <c r="C144" i="25" s="1"/>
  <c r="D16" i="25"/>
  <c r="H16" i="25" s="1"/>
  <c r="D14" i="25"/>
  <c r="H14" i="25" s="1"/>
  <c r="D8" i="25"/>
  <c r="H8" i="25" s="1"/>
  <c r="D6" i="25"/>
  <c r="H6" i="25" s="1"/>
  <c r="D56" i="25"/>
  <c r="H56" i="25" s="1"/>
  <c r="D19" i="25"/>
  <c r="D17" i="25"/>
  <c r="D125" i="25"/>
  <c r="D161" i="25" s="1"/>
  <c r="D37" i="25"/>
  <c r="D35" i="25"/>
  <c r="H35" i="25" s="1"/>
  <c r="D112" i="25"/>
  <c r="H112" i="25" s="1"/>
  <c r="D39" i="25"/>
  <c r="H39" i="25" s="1"/>
  <c r="D30" i="25"/>
  <c r="H30" i="25" s="1"/>
  <c r="D29" i="25"/>
  <c r="H29" i="25" s="1"/>
  <c r="D27" i="25"/>
  <c r="D25" i="25"/>
  <c r="H25" i="25" s="1"/>
  <c r="D96" i="25"/>
  <c r="H96" i="25" s="1"/>
  <c r="D80" i="25"/>
  <c r="D64" i="25"/>
  <c r="H64" i="25" s="1"/>
  <c r="D46" i="25"/>
  <c r="H46" i="25" s="1"/>
  <c r="D32" i="25"/>
  <c r="H32" i="25" s="1"/>
  <c r="D59" i="25"/>
  <c r="D23" i="25"/>
  <c r="H23" i="25" s="1"/>
  <c r="D21" i="25"/>
  <c r="H21" i="25" s="1"/>
  <c r="D15" i="25"/>
  <c r="H15" i="25" s="1"/>
  <c r="D13" i="25"/>
  <c r="H13" i="25" s="1"/>
  <c r="D7" i="25"/>
  <c r="D48" i="25"/>
  <c r="H48" i="25" s="1"/>
  <c r="D45" i="25"/>
  <c r="H45" i="25" s="1"/>
  <c r="D43" i="25"/>
  <c r="D11" i="25"/>
  <c r="H11" i="25" s="1"/>
  <c r="D9" i="25"/>
  <c r="H9" i="25" s="1"/>
  <c r="D131" i="25"/>
  <c r="H131" i="25" s="1"/>
  <c r="D120" i="25"/>
  <c r="D51" i="25"/>
  <c r="D38" i="25"/>
  <c r="H38" i="25" s="1"/>
  <c r="D31" i="25"/>
  <c r="H31" i="25" s="1"/>
  <c r="D104" i="25"/>
  <c r="H104" i="25" s="1"/>
  <c r="D88" i="25"/>
  <c r="H88" i="25" s="1"/>
  <c r="D72" i="25"/>
  <c r="H72" i="25" s="1"/>
  <c r="D40" i="25"/>
  <c r="H40" i="25" s="1"/>
  <c r="C142" i="25"/>
  <c r="H60" i="25"/>
  <c r="H57" i="25"/>
  <c r="H78" i="25"/>
  <c r="H67" i="25"/>
  <c r="C139" i="25"/>
  <c r="C138" i="25"/>
  <c r="H27" i="25"/>
  <c r="F110" i="4"/>
  <c r="I94" i="4"/>
  <c r="C110" i="4"/>
  <c r="G94" i="4"/>
  <c r="G24" i="4"/>
  <c r="C53" i="4"/>
  <c r="G53" i="4" s="1"/>
  <c r="C52" i="4"/>
  <c r="G39" i="4"/>
  <c r="I24" i="4"/>
  <c r="I109" i="4"/>
  <c r="M6" i="19" l="1"/>
  <c r="M5" i="19"/>
  <c r="H72" i="22"/>
  <c r="H37" i="22"/>
  <c r="H28" i="22"/>
  <c r="H91" i="22"/>
  <c r="L91" i="22" s="1"/>
  <c r="H44" i="22"/>
  <c r="H30" i="22"/>
  <c r="H31" i="22"/>
  <c r="H79" i="22"/>
  <c r="H32" i="22"/>
  <c r="H70" i="22"/>
  <c r="H50" i="22"/>
  <c r="H51" i="22"/>
  <c r="H35" i="22"/>
  <c r="L35" i="22" s="1"/>
  <c r="H85" i="22"/>
  <c r="H49" i="22"/>
  <c r="H38" i="22"/>
  <c r="H56" i="22"/>
  <c r="H57" i="22"/>
  <c r="H53" i="22"/>
  <c r="H41" i="22"/>
  <c r="H26" i="22"/>
  <c r="L26" i="22" s="1"/>
  <c r="H54" i="22"/>
  <c r="H42" i="22"/>
  <c r="L42" i="22" s="1"/>
  <c r="L27" i="22"/>
  <c r="I90" i="22"/>
  <c r="I73" i="22"/>
  <c r="I47" i="22"/>
  <c r="I36" i="22"/>
  <c r="I26" i="22"/>
  <c r="J26" i="22" s="1"/>
  <c r="I85" i="22"/>
  <c r="I79" i="22"/>
  <c r="I72" i="22"/>
  <c r="I67" i="22"/>
  <c r="I64" i="22"/>
  <c r="I58" i="22"/>
  <c r="I45" i="22"/>
  <c r="I41" i="22"/>
  <c r="I35" i="22"/>
  <c r="J35" i="22" s="1"/>
  <c r="I31" i="22"/>
  <c r="I25" i="22"/>
  <c r="I89" i="22"/>
  <c r="I78" i="22"/>
  <c r="I71" i="22"/>
  <c r="I63" i="22"/>
  <c r="I53" i="22"/>
  <c r="I40" i="22"/>
  <c r="J40" i="22" s="1"/>
  <c r="I30" i="22"/>
  <c r="I24" i="22"/>
  <c r="I18" i="22"/>
  <c r="I84" i="22"/>
  <c r="J84" i="22" s="1"/>
  <c r="L84" i="22" s="1"/>
  <c r="I70" i="22"/>
  <c r="I62" i="22"/>
  <c r="I52" i="22"/>
  <c r="J52" i="22" s="1"/>
  <c r="L52" i="22" s="1"/>
  <c r="I39" i="22"/>
  <c r="J39" i="22" s="1"/>
  <c r="I29" i="22"/>
  <c r="J29" i="22" s="1"/>
  <c r="L29" i="22" s="1"/>
  <c r="I23" i="22"/>
  <c r="I92" i="22"/>
  <c r="I88" i="22"/>
  <c r="J88" i="22" s="1"/>
  <c r="L88" i="22" s="1"/>
  <c r="I82" i="22"/>
  <c r="I77" i="22"/>
  <c r="I69" i="22"/>
  <c r="J69" i="22" s="1"/>
  <c r="I61" i="22"/>
  <c r="I57" i="22"/>
  <c r="I51" i="22"/>
  <c r="I44" i="22"/>
  <c r="I34" i="22"/>
  <c r="I91" i="22"/>
  <c r="J91" i="22" s="1"/>
  <c r="I75" i="22"/>
  <c r="I68" i="22"/>
  <c r="J68" i="22" s="1"/>
  <c r="I59" i="22"/>
  <c r="I55" i="22"/>
  <c r="I42" i="22"/>
  <c r="J42" i="22" s="1"/>
  <c r="I38" i="22"/>
  <c r="I86" i="22"/>
  <c r="J86" i="22" s="1"/>
  <c r="I74" i="22"/>
  <c r="I65" i="22"/>
  <c r="I54" i="22"/>
  <c r="J54" i="22" s="1"/>
  <c r="I49" i="22"/>
  <c r="I37" i="22"/>
  <c r="J37" i="22" s="1"/>
  <c r="L37" i="22" s="1"/>
  <c r="I32" i="22"/>
  <c r="J32" i="22" s="1"/>
  <c r="I22" i="22"/>
  <c r="J22" i="22" s="1"/>
  <c r="L22" i="22" s="1"/>
  <c r="I13" i="22"/>
  <c r="I9" i="22"/>
  <c r="I43" i="22"/>
  <c r="J43" i="22" s="1"/>
  <c r="L43" i="22" s="1"/>
  <c r="I12" i="22"/>
  <c r="J12" i="22" s="1"/>
  <c r="L12" i="22" s="1"/>
  <c r="I8" i="22"/>
  <c r="J8" i="22" s="1"/>
  <c r="L8" i="22" s="1"/>
  <c r="I4" i="22"/>
  <c r="I33" i="22"/>
  <c r="J33" i="22" s="1"/>
  <c r="L33" i="22" s="1"/>
  <c r="I87" i="22"/>
  <c r="J87" i="22" s="1"/>
  <c r="L87" i="22" s="1"/>
  <c r="I19" i="22"/>
  <c r="J19" i="22" s="1"/>
  <c r="L19" i="22" s="1"/>
  <c r="I11" i="22"/>
  <c r="J11" i="22" s="1"/>
  <c r="L11" i="22" s="1"/>
  <c r="I66" i="22"/>
  <c r="I56" i="22"/>
  <c r="J56" i="22" s="1"/>
  <c r="I6" i="22"/>
  <c r="J6" i="22" s="1"/>
  <c r="I27" i="22"/>
  <c r="J27" i="22" s="1"/>
  <c r="I20" i="22"/>
  <c r="J20" i="22" s="1"/>
  <c r="L20" i="22" s="1"/>
  <c r="I17" i="22"/>
  <c r="I16" i="22"/>
  <c r="J16" i="22" s="1"/>
  <c r="L16" i="22" s="1"/>
  <c r="I15" i="22"/>
  <c r="J15" i="22" s="1"/>
  <c r="L15" i="22" s="1"/>
  <c r="I7" i="22"/>
  <c r="I50" i="22"/>
  <c r="J50" i="22" s="1"/>
  <c r="L50" i="22" s="1"/>
  <c r="I21" i="22"/>
  <c r="J21" i="22" s="1"/>
  <c r="L21" i="22" s="1"/>
  <c r="I76" i="22"/>
  <c r="J76" i="22" s="1"/>
  <c r="I60" i="22"/>
  <c r="I28" i="22"/>
  <c r="I5" i="22"/>
  <c r="J5" i="22" s="1"/>
  <c r="L5" i="22" s="1"/>
  <c r="I14" i="22"/>
  <c r="J14" i="22" s="1"/>
  <c r="L14" i="22" s="1"/>
  <c r="I80" i="22"/>
  <c r="I10" i="22"/>
  <c r="H60" i="22"/>
  <c r="H61" i="22"/>
  <c r="H63" i="22"/>
  <c r="H36" i="22"/>
  <c r="H65" i="22"/>
  <c r="H55" i="22"/>
  <c r="L6" i="22"/>
  <c r="L32" i="22"/>
  <c r="L40" i="22"/>
  <c r="H66" i="22"/>
  <c r="H69" i="22"/>
  <c r="L69" i="22" s="1"/>
  <c r="H71" i="22"/>
  <c r="H58" i="22"/>
  <c r="H73" i="22"/>
  <c r="H74" i="22"/>
  <c r="H59" i="22"/>
  <c r="L39" i="22"/>
  <c r="H76" i="22"/>
  <c r="L76" i="22" s="1"/>
  <c r="H77" i="22"/>
  <c r="H78" i="22"/>
  <c r="H64" i="22"/>
  <c r="H90" i="22"/>
  <c r="H86" i="22"/>
  <c r="L86" i="22" s="1"/>
  <c r="H68" i="22"/>
  <c r="L68" i="22" s="1"/>
  <c r="H147" i="25"/>
  <c r="E154" i="25"/>
  <c r="E140" i="25"/>
  <c r="H47" i="25"/>
  <c r="E148" i="25"/>
  <c r="D163" i="25"/>
  <c r="H163" i="25" s="1"/>
  <c r="H108" i="25"/>
  <c r="C155" i="25"/>
  <c r="E138" i="25"/>
  <c r="E139" i="25"/>
  <c r="G139" i="25" s="1"/>
  <c r="E159" i="25"/>
  <c r="H120" i="25"/>
  <c r="D159" i="25"/>
  <c r="H159" i="25" s="1"/>
  <c r="H93" i="25"/>
  <c r="E142" i="25"/>
  <c r="G142" i="25" s="1"/>
  <c r="C145" i="25"/>
  <c r="H145" i="25" s="1"/>
  <c r="D154" i="25"/>
  <c r="H154" i="25" s="1"/>
  <c r="H119" i="25"/>
  <c r="E146" i="25"/>
  <c r="J110" i="25"/>
  <c r="E153" i="25"/>
  <c r="E145" i="25"/>
  <c r="H55" i="25"/>
  <c r="C156" i="25"/>
  <c r="H139" i="25"/>
  <c r="D144" i="25"/>
  <c r="D147" i="25"/>
  <c r="H135" i="25"/>
  <c r="E158" i="25"/>
  <c r="H158" i="25" s="1"/>
  <c r="H161" i="25"/>
  <c r="H162" i="25"/>
  <c r="E156" i="25"/>
  <c r="E155" i="25"/>
  <c r="H155" i="25" s="1"/>
  <c r="E152" i="25"/>
  <c r="H80" i="25"/>
  <c r="H116" i="25"/>
  <c r="D138" i="25"/>
  <c r="H138" i="25" s="1"/>
  <c r="D139" i="25"/>
  <c r="H58" i="25"/>
  <c r="D149" i="25"/>
  <c r="H149" i="25" s="1"/>
  <c r="H114" i="25"/>
  <c r="D148" i="25"/>
  <c r="H148" i="25" s="1"/>
  <c r="H113" i="25"/>
  <c r="D140" i="25"/>
  <c r="H140" i="25" s="1"/>
  <c r="H22" i="25"/>
  <c r="E162" i="25"/>
  <c r="E150" i="25"/>
  <c r="H150" i="25" s="1"/>
  <c r="H125" i="25"/>
  <c r="C146" i="25"/>
  <c r="D162" i="25"/>
  <c r="H128" i="25"/>
  <c r="H66" i="25"/>
  <c r="D155" i="25"/>
  <c r="D152" i="25"/>
  <c r="H152" i="25" s="1"/>
  <c r="D156" i="25"/>
  <c r="H122" i="25"/>
  <c r="D146" i="25"/>
  <c r="D153" i="25"/>
  <c r="H153" i="25" s="1"/>
  <c r="D145" i="25"/>
  <c r="E161" i="25"/>
  <c r="E144" i="25"/>
  <c r="H144" i="25" s="1"/>
  <c r="J111" i="25"/>
  <c r="E147" i="25"/>
  <c r="H79" i="25"/>
  <c r="I53" i="4"/>
  <c r="G52" i="4"/>
  <c r="I52" i="4"/>
  <c r="C111" i="4"/>
  <c r="G110" i="4"/>
  <c r="F111" i="4"/>
  <c r="I110" i="4"/>
  <c r="L28" i="22" l="1"/>
  <c r="L57" i="22"/>
  <c r="L71" i="22"/>
  <c r="L36" i="22"/>
  <c r="J41" i="22"/>
  <c r="L41" i="22" s="1"/>
  <c r="N41" i="22"/>
  <c r="O80" i="22"/>
  <c r="J80" i="22"/>
  <c r="L80" i="22" s="1"/>
  <c r="N7" i="22"/>
  <c r="J7" i="22"/>
  <c r="L7" i="22" s="1"/>
  <c r="J65" i="22"/>
  <c r="J75" i="22"/>
  <c r="L75" i="22" s="1"/>
  <c r="J77" i="22"/>
  <c r="J62" i="22"/>
  <c r="L62" i="22" s="1"/>
  <c r="J63" i="22"/>
  <c r="L63" i="22" s="1"/>
  <c r="J45" i="22"/>
  <c r="L45" i="22" s="1"/>
  <c r="O45" i="22"/>
  <c r="J36" i="22"/>
  <c r="L56" i="22"/>
  <c r="J66" i="22"/>
  <c r="N9" i="22"/>
  <c r="J9" i="22"/>
  <c r="L9" i="22" s="1"/>
  <c r="J74" i="22"/>
  <c r="L74" i="22" s="1"/>
  <c r="J70" i="22"/>
  <c r="L70" i="22" s="1"/>
  <c r="J71" i="22"/>
  <c r="J58" i="22"/>
  <c r="L58" i="22" s="1"/>
  <c r="N58" i="22"/>
  <c r="J78" i="22"/>
  <c r="L78" i="22" s="1"/>
  <c r="J64" i="22"/>
  <c r="L64" i="22" s="1"/>
  <c r="J73" i="22"/>
  <c r="N10" i="22"/>
  <c r="J10" i="22"/>
  <c r="L10" i="22" s="1"/>
  <c r="J53" i="22"/>
  <c r="L53" i="22" s="1"/>
  <c r="N53" i="22"/>
  <c r="L90" i="22"/>
  <c r="L65" i="22"/>
  <c r="J13" i="22"/>
  <c r="L13" i="22" s="1"/>
  <c r="N34" i="22"/>
  <c r="J34" i="22"/>
  <c r="L34" i="22" s="1"/>
  <c r="J38" i="22"/>
  <c r="N38" i="22" s="1"/>
  <c r="O44" i="22"/>
  <c r="J44" i="22"/>
  <c r="L44" i="22" s="1"/>
  <c r="O92" i="22"/>
  <c r="J92" i="22"/>
  <c r="L92" i="22" s="1"/>
  <c r="J18" i="22"/>
  <c r="L18" i="22" s="1"/>
  <c r="O18" i="22"/>
  <c r="J89" i="22"/>
  <c r="L89" i="22" s="1"/>
  <c r="J67" i="22"/>
  <c r="L67" i="22" s="1"/>
  <c r="N67" i="22"/>
  <c r="J90" i="22"/>
  <c r="L54" i="22"/>
  <c r="N28" i="22"/>
  <c r="J28" i="22"/>
  <c r="J17" i="22"/>
  <c r="L17" i="22" s="1"/>
  <c r="N17" i="22"/>
  <c r="J60" i="22"/>
  <c r="L60" i="22" s="1"/>
  <c r="J51" i="22"/>
  <c r="L51" i="22" s="1"/>
  <c r="J23" i="22"/>
  <c r="L23" i="22" s="1"/>
  <c r="J24" i="22"/>
  <c r="L24" i="22" s="1"/>
  <c r="J25" i="22"/>
  <c r="L25" i="22" s="1"/>
  <c r="J72" i="22"/>
  <c r="L72" i="22" s="1"/>
  <c r="L77" i="22"/>
  <c r="L73" i="22"/>
  <c r="J4" i="22"/>
  <c r="L4" i="22" s="1"/>
  <c r="N4" i="22"/>
  <c r="J55" i="22"/>
  <c r="L55" i="22" s="1"/>
  <c r="J57" i="22"/>
  <c r="N57" i="22" s="1"/>
  <c r="J30" i="22"/>
  <c r="L30" i="22" s="1"/>
  <c r="J31" i="22"/>
  <c r="L31" i="22" s="1"/>
  <c r="N31" i="22"/>
  <c r="J79" i="22"/>
  <c r="O79" i="22" s="1"/>
  <c r="N79" i="22"/>
  <c r="L49" i="22"/>
  <c r="J49" i="22"/>
  <c r="J59" i="22"/>
  <c r="L59" i="22" s="1"/>
  <c r="J61" i="22"/>
  <c r="L61" i="22" s="1"/>
  <c r="J85" i="22"/>
  <c r="L85" i="22" s="1"/>
  <c r="G140" i="25"/>
  <c r="H146" i="25"/>
  <c r="H156" i="25"/>
  <c r="G138" i="25"/>
  <c r="G153" i="25"/>
  <c r="H142" i="25"/>
  <c r="G111" i="4"/>
  <c r="N13" i="22" l="1"/>
  <c r="L79" i="22"/>
  <c r="O66" i="22"/>
  <c r="L66" i="22"/>
  <c r="L38" i="22"/>
  <c r="N66" i="22"/>
</calcChain>
</file>

<file path=xl/sharedStrings.xml><?xml version="1.0" encoding="utf-8"?>
<sst xmlns="http://schemas.openxmlformats.org/spreadsheetml/2006/main" count="1104" uniqueCount="803">
  <si>
    <t>22无锡山水SCP001[012283707.IB] - 资产负债表 (单位 : 元 , CNY  )</t>
  </si>
  <si>
    <t>2023-06-30</t>
  </si>
  <si>
    <t>2022-12-31</t>
  </si>
  <si>
    <t>2021-12-31</t>
  </si>
  <si>
    <t>2020-12-31</t>
  </si>
  <si>
    <t>报告期</t>
  </si>
  <si>
    <t>中报</t>
  </si>
  <si>
    <t>年报</t>
  </si>
  <si>
    <t>报表类型</t>
  </si>
  <si>
    <t>合并报表</t>
  </si>
  <si>
    <t>流动资产：</t>
  </si>
  <si>
    <t xml:space="preserve">    货币资金</t>
  </si>
  <si>
    <t xml:space="preserve">    交易性金融资产</t>
  </si>
  <si>
    <t xml:space="preserve">    衍生金融资产</t>
  </si>
  <si>
    <t xml:space="preserve">        应收票据及应收账款</t>
  </si>
  <si>
    <t xml:space="preserve">                    应收票据</t>
  </si>
  <si>
    <t xml:space="preserve">                    应收账款</t>
  </si>
  <si>
    <t xml:space="preserve">    应收款项融资</t>
  </si>
  <si>
    <t xml:space="preserve">    预付款项</t>
  </si>
  <si>
    <t xml:space="preserve">        其他应收款(合计)</t>
  </si>
  <si>
    <t xml:space="preserve">    买入返售金融资产</t>
  </si>
  <si>
    <t xml:space="preserve">    存货</t>
  </si>
  <si>
    <t xml:space="preserve">    其中：消耗性生物资产</t>
  </si>
  <si>
    <t xml:space="preserve">    合同资产</t>
  </si>
  <si>
    <t xml:space="preserve">    划分为持有待售的资产</t>
  </si>
  <si>
    <t xml:space="preserve">    一年内到期的非流动资产</t>
  </si>
  <si>
    <t xml:space="preserve">    待摊费用</t>
  </si>
  <si>
    <t xml:space="preserve">    其他流动资产</t>
  </si>
  <si>
    <t xml:space="preserve">        其他金融类流动资产</t>
  </si>
  <si>
    <t xml:space="preserve">    流动资产差额(特殊报表科目)</t>
  </si>
  <si>
    <t xml:space="preserve">    流动资产差额(合计平衡项目)</t>
  </si>
  <si>
    <t xml:space="preserve">    流动资产合计</t>
  </si>
  <si>
    <t>非流动资产：</t>
  </si>
  <si>
    <t xml:space="preserve">    发放贷款及垫款</t>
  </si>
  <si>
    <t xml:space="preserve">    以公允价值且其变动计入其他综合收益的金融资产</t>
  </si>
  <si>
    <t xml:space="preserve">    以摊余成本计量的金融资产</t>
  </si>
  <si>
    <t xml:space="preserve">    债权投资</t>
  </si>
  <si>
    <t xml:space="preserve">    其他债权投资</t>
  </si>
  <si>
    <t xml:space="preserve">    可供出售金融资产</t>
  </si>
  <si>
    <t xml:space="preserve">    其他权益工具投资</t>
  </si>
  <si>
    <t xml:space="preserve">    持有至到期投资</t>
  </si>
  <si>
    <t xml:space="preserve">    其他非流动金融资产</t>
  </si>
  <si>
    <t xml:space="preserve">    长期应收款</t>
  </si>
  <si>
    <t xml:space="preserve">    长期股权投资</t>
  </si>
  <si>
    <t xml:space="preserve">    投资性房地产</t>
  </si>
  <si>
    <t xml:space="preserve">        固定资产(合计)</t>
  </si>
  <si>
    <t xml:space="preserve">                    固定资产</t>
  </si>
  <si>
    <t xml:space="preserve">                    固定资产清理</t>
  </si>
  <si>
    <t xml:space="preserve">        在建工程(合计)</t>
  </si>
  <si>
    <t xml:space="preserve">    生产性生物资产</t>
  </si>
  <si>
    <t xml:space="preserve">    油气资产</t>
  </si>
  <si>
    <t xml:space="preserve">    使用权资产</t>
  </si>
  <si>
    <t xml:space="preserve">    无形资产</t>
  </si>
  <si>
    <t xml:space="preserve">    开发支出</t>
  </si>
  <si>
    <t xml:space="preserve">    商誉</t>
  </si>
  <si>
    <t xml:space="preserve">    长期待摊费用</t>
  </si>
  <si>
    <t xml:space="preserve">    递延所得税资产</t>
  </si>
  <si>
    <t xml:space="preserve">    其他非流动资产</t>
  </si>
  <si>
    <t xml:space="preserve">    非流动资产差额(特殊报表科目)</t>
  </si>
  <si>
    <t xml:space="preserve">    非流动资产差额(合计平衡项目)</t>
  </si>
  <si>
    <t xml:space="preserve">    非流动资产合计</t>
  </si>
  <si>
    <t>资产差额(特殊报表科目)</t>
  </si>
  <si>
    <t>资产差额(合计平衡项目)</t>
  </si>
  <si>
    <t>资产总计</t>
  </si>
  <si>
    <t>流动负债：</t>
  </si>
  <si>
    <t xml:space="preserve">    短期借款</t>
  </si>
  <si>
    <t xml:space="preserve">    交易性金融负债</t>
  </si>
  <si>
    <t xml:space="preserve">    衍生金融负债</t>
  </si>
  <si>
    <t xml:space="preserve">        应付票据及应付账款</t>
  </si>
  <si>
    <t xml:space="preserve">    预收款项</t>
  </si>
  <si>
    <t xml:space="preserve">    合同负债</t>
  </si>
  <si>
    <t xml:space="preserve">    应付手续费及佣金</t>
  </si>
  <si>
    <t xml:space="preserve">    应付职工薪酬</t>
  </si>
  <si>
    <t xml:space="preserve">    应交税费</t>
  </si>
  <si>
    <t xml:space="preserve">        其他应付款(合计)</t>
  </si>
  <si>
    <t xml:space="preserve">    划分为持有待售的负债</t>
  </si>
  <si>
    <t xml:space="preserve">    一年内到期的非流动负债</t>
  </si>
  <si>
    <t xml:space="preserve">    预提费用</t>
  </si>
  <si>
    <t xml:space="preserve">    递延收益-流动负债</t>
  </si>
  <si>
    <t xml:space="preserve">    应付短期债券</t>
  </si>
  <si>
    <t xml:space="preserve">    其他流动负债</t>
  </si>
  <si>
    <t xml:space="preserve">        其他金融类流动负债</t>
  </si>
  <si>
    <t xml:space="preserve">    流动负债差额(特殊报表科目)</t>
  </si>
  <si>
    <t xml:space="preserve">    流动负债差额(合计平衡项目)</t>
  </si>
  <si>
    <t xml:space="preserve">    流动负债合计</t>
  </si>
  <si>
    <t>非流动负债：</t>
  </si>
  <si>
    <t xml:space="preserve">    长期借款</t>
  </si>
  <si>
    <t xml:space="preserve">    应付债券</t>
  </si>
  <si>
    <t xml:space="preserve">    租赁负债</t>
  </si>
  <si>
    <t xml:space="preserve">        长期应付款(合计)</t>
  </si>
  <si>
    <t xml:space="preserve">    长期应付职工薪酬</t>
  </si>
  <si>
    <t xml:space="preserve">    预计负债</t>
  </si>
  <si>
    <t xml:space="preserve">    递延所得税负债</t>
  </si>
  <si>
    <t xml:space="preserve">    递延收益-非流动负债</t>
  </si>
  <si>
    <t xml:space="preserve">    其他非流动负债</t>
  </si>
  <si>
    <t xml:space="preserve">    非流动负债差额(特殊报表科目)</t>
  </si>
  <si>
    <t xml:space="preserve">    非流动负债差额(合计平衡项目)</t>
  </si>
  <si>
    <t xml:space="preserve">    非流动负债合计</t>
  </si>
  <si>
    <t xml:space="preserve">    负债差额(特殊报表科目)</t>
  </si>
  <si>
    <t xml:space="preserve">    负债差额(合计平衡项目)</t>
  </si>
  <si>
    <t xml:space="preserve">    负债合计</t>
  </si>
  <si>
    <t>所有者权益(或股东权益)：</t>
  </si>
  <si>
    <t xml:space="preserve">    实收资本(或股本)</t>
  </si>
  <si>
    <t xml:space="preserve">    其它权益工具</t>
  </si>
  <si>
    <t xml:space="preserve">        其中：优先股</t>
  </si>
  <si>
    <t xml:space="preserve">                    永续债</t>
  </si>
  <si>
    <t xml:space="preserve">    资本公积金</t>
  </si>
  <si>
    <t xml:space="preserve">    减：库存股</t>
  </si>
  <si>
    <t xml:space="preserve">    其它综合收益</t>
  </si>
  <si>
    <t xml:space="preserve">    专项储备</t>
  </si>
  <si>
    <t xml:space="preserve">    盈余公积金</t>
  </si>
  <si>
    <t xml:space="preserve">    一般风险准备</t>
  </si>
  <si>
    <t xml:space="preserve">    未分配利润</t>
  </si>
  <si>
    <t xml:space="preserve">    外币报表折算差额</t>
  </si>
  <si>
    <t xml:space="preserve">    未确认的投资损失</t>
  </si>
  <si>
    <t xml:space="preserve">    股东权益差额(特殊报表科目)</t>
  </si>
  <si>
    <t xml:space="preserve">    股权权益差额(合计平衡项目)</t>
  </si>
  <si>
    <t xml:space="preserve">    归属于母公司所有者权益合计</t>
  </si>
  <si>
    <t xml:space="preserve">    少数股东权益</t>
  </si>
  <si>
    <t xml:space="preserve">    所有者权益合计</t>
  </si>
  <si>
    <t>负债及股东权益差额(特殊报表项目)</t>
  </si>
  <si>
    <t>负债及股东权益差额(合计平衡项目)</t>
  </si>
  <si>
    <t>负债和所有者权益总计</t>
  </si>
  <si>
    <t>显示币种</t>
  </si>
  <si>
    <t>CNY</t>
  </si>
  <si>
    <t>原始币种</t>
  </si>
  <si>
    <t>转换汇率</t>
  </si>
  <si>
    <t>汇率类型</t>
  </si>
  <si>
    <t>期末汇率</t>
  </si>
  <si>
    <t>税率</t>
  </si>
  <si>
    <t>税率说明</t>
  </si>
  <si>
    <t>审计意见(境内)</t>
  </si>
  <si>
    <t>标准无保留意见</t>
  </si>
  <si>
    <t>审计意见(境外)</t>
  </si>
  <si>
    <t>调整原因</t>
  </si>
  <si>
    <t>调整说明</t>
  </si>
  <si>
    <t>公告日期</t>
  </si>
  <si>
    <t>2023-08-31</t>
  </si>
  <si>
    <t>2023-04-28</t>
  </si>
  <si>
    <t>2022-04-29</t>
  </si>
  <si>
    <t>2021-04-30</t>
  </si>
  <si>
    <t>数据来源</t>
  </si>
  <si>
    <t>公司公告值</t>
  </si>
  <si>
    <t>数据来源：Wind</t>
  </si>
  <si>
    <t>22无锡山水SCP001[012283707.IB] - 利润表 (单位 : 元 , CNY  )</t>
  </si>
  <si>
    <t xml:space="preserve">    营业总收入</t>
  </si>
  <si>
    <t xml:space="preserve">    营业收入</t>
  </si>
  <si>
    <t xml:space="preserve">        其他类金融业务收入</t>
  </si>
  <si>
    <t>营业总成本</t>
  </si>
  <si>
    <t xml:space="preserve">        营业成本</t>
  </si>
  <si>
    <t xml:space="preserve">    税金及附加</t>
  </si>
  <si>
    <t xml:space="preserve">    销售费用</t>
  </si>
  <si>
    <t xml:space="preserve">    管理费用</t>
  </si>
  <si>
    <t xml:space="preserve">    研发费用</t>
  </si>
  <si>
    <t xml:space="preserve">    财务费用</t>
  </si>
  <si>
    <t xml:space="preserve">        其中：利息费用</t>
  </si>
  <si>
    <t xml:space="preserve">                    减：利息收入</t>
  </si>
  <si>
    <t xml:space="preserve">        其他业务成本(金融类)</t>
  </si>
  <si>
    <t xml:space="preserve">    加：其他收益</t>
  </si>
  <si>
    <t xml:space="preserve">    投资净收益</t>
  </si>
  <si>
    <t xml:space="preserve">        其中：对联营企业和合营企业的投资收益</t>
  </si>
  <si>
    <t xml:space="preserve">                    以摊余成本计量的金融资产终止确认收益</t>
  </si>
  <si>
    <t xml:space="preserve">    净敞口套期收益</t>
  </si>
  <si>
    <t xml:space="preserve">    公允价值变动净收益</t>
  </si>
  <si>
    <t xml:space="preserve">    资产减值损失</t>
  </si>
  <si>
    <t xml:space="preserve">    信用减值损失</t>
  </si>
  <si>
    <t xml:space="preserve">    资产处置收益</t>
  </si>
  <si>
    <t xml:space="preserve">    汇兑净收益</t>
  </si>
  <si>
    <t xml:space="preserve">    加：营业利润差额(特殊报表科目)</t>
  </si>
  <si>
    <t xml:space="preserve">            营业利润差额(合计平衡项目)</t>
  </si>
  <si>
    <t>营业利润</t>
  </si>
  <si>
    <t xml:space="preserve">    加：营业外收入</t>
  </si>
  <si>
    <t xml:space="preserve">    减：营业外支出</t>
  </si>
  <si>
    <t xml:space="preserve">            其中：非流动资产处置净损失</t>
  </si>
  <si>
    <t xml:space="preserve">    加：利润总额差额(特殊报表科目)</t>
  </si>
  <si>
    <t xml:space="preserve">            利润总额差额(合计平衡项目)</t>
  </si>
  <si>
    <t>利润总额</t>
  </si>
  <si>
    <t xml:space="preserve">    减：所得税</t>
  </si>
  <si>
    <t xml:space="preserve">    加：未确认的投资损失</t>
  </si>
  <si>
    <t xml:space="preserve">    加：净利润差额(特殊报表科目)</t>
  </si>
  <si>
    <t xml:space="preserve">            净利润差额(合计平衡项目)</t>
  </si>
  <si>
    <t>净利润</t>
  </si>
  <si>
    <t xml:space="preserve">    持续经营净利润</t>
  </si>
  <si>
    <t xml:space="preserve">    终止经营净利润</t>
  </si>
  <si>
    <t xml:space="preserve">    减：少数股东损益</t>
  </si>
  <si>
    <t xml:space="preserve">    归属于母公司所有者的净利润</t>
  </si>
  <si>
    <t xml:space="preserve">    加：其他综合收益</t>
  </si>
  <si>
    <t>综合收益总额</t>
  </si>
  <si>
    <t xml:space="preserve">    减：归属于少数股东的综合收益总额</t>
  </si>
  <si>
    <t xml:space="preserve">    归属于母公司普通股东综合收益总额</t>
  </si>
  <si>
    <t>每股收益：</t>
  </si>
  <si>
    <t xml:space="preserve">    基本每股收益</t>
  </si>
  <si>
    <t xml:space="preserve">    稀释每股收益</t>
  </si>
  <si>
    <t>利率类型</t>
  </si>
  <si>
    <t>22无锡山水SCP001[012283707.IB] - 现金流量表 (单位 : 元 , CNY  )</t>
  </si>
  <si>
    <t>经营活动产生的现金流量：</t>
  </si>
  <si>
    <t xml:space="preserve">    销售商品、提供劳务收到的现金</t>
  </si>
  <si>
    <t xml:space="preserve">    收到的税费返还</t>
  </si>
  <si>
    <t xml:space="preserve">    收到其他与经营活动有关的现金</t>
  </si>
  <si>
    <t xml:space="preserve">        经营活动现金流入(金融类)</t>
  </si>
  <si>
    <t xml:space="preserve">    经营活动现金流入差额(特殊报表科目)</t>
  </si>
  <si>
    <t xml:space="preserve">    经营活动现金流入差额(合计平衡项目)</t>
  </si>
  <si>
    <t xml:space="preserve">    经营活动现金流入小计</t>
  </si>
  <si>
    <t xml:space="preserve">    购买商品、接受劳务支付的现金</t>
  </si>
  <si>
    <t xml:space="preserve">    支付给职工以及为职工支付的现金</t>
  </si>
  <si>
    <t xml:space="preserve">    支付的各项税费</t>
  </si>
  <si>
    <t xml:space="preserve">    支付其他与经营活动有关的现金</t>
  </si>
  <si>
    <t xml:space="preserve">        经营活动现金流出(金融类)</t>
  </si>
  <si>
    <t xml:space="preserve">    经营活动现金流出差额(特殊报表科目)</t>
  </si>
  <si>
    <t xml:space="preserve">    经营活动现金流出差额(合计平衡项目)</t>
  </si>
  <si>
    <t xml:space="preserve">    经营活动现金流出小计</t>
  </si>
  <si>
    <t xml:space="preserve">    经营活动产生的现金流量净额差额(合计平衡项目)</t>
  </si>
  <si>
    <t xml:space="preserve">    经营活动产生的现金流量净额</t>
  </si>
  <si>
    <t>投资活动产生的现金流量：</t>
  </si>
  <si>
    <t xml:space="preserve">    收回投资收到的现金</t>
  </si>
  <si>
    <t xml:space="preserve">    取得投资收益收到的现金</t>
  </si>
  <si>
    <t xml:space="preserve">    处置固定资产、无形资产和其他长期资产收回的现金净额</t>
  </si>
  <si>
    <t xml:space="preserve">    处置子公司及其他营业单位收到的现金净额</t>
  </si>
  <si>
    <t xml:space="preserve">    收到其他与投资活动有关的现金</t>
  </si>
  <si>
    <t xml:space="preserve">    投资活动现金流入差额(特殊报表科目)</t>
  </si>
  <si>
    <t xml:space="preserve">    投资活动现金流入差额(合计平衡项目)</t>
  </si>
  <si>
    <t xml:space="preserve">    投资活动现金流入小计</t>
  </si>
  <si>
    <t xml:space="preserve">    购建固定资产、无形资产和其他长期资产支付的现金</t>
  </si>
  <si>
    <t xml:space="preserve">    投资支付的现金</t>
  </si>
  <si>
    <t xml:space="preserve">    取得子公司及其他营业单位支付的现金净额</t>
  </si>
  <si>
    <t xml:space="preserve">    支付其他与投资活动有关的现金</t>
  </si>
  <si>
    <t xml:space="preserve">    投资活动现金流出差额(特殊报表科目)</t>
  </si>
  <si>
    <t xml:space="preserve">    投资活动现金流出差额(合计平衡项目)</t>
  </si>
  <si>
    <t xml:space="preserve">    投资活动现金流出小计</t>
  </si>
  <si>
    <t xml:space="preserve">    投资活动产生的现金流量净额差额(合计平衡项目)</t>
  </si>
  <si>
    <t xml:space="preserve">    投资活动产生的现金流量净额</t>
  </si>
  <si>
    <t>筹资活动产生的现金流量：</t>
  </si>
  <si>
    <t xml:space="preserve">    吸收投资收到的现金</t>
  </si>
  <si>
    <t xml:space="preserve">    其中：子公司吸收少数股东投资收到的现金</t>
  </si>
  <si>
    <t xml:space="preserve">    取得借款收到的现金</t>
  </si>
  <si>
    <t xml:space="preserve">    收到其他与筹资活动有关的现金</t>
  </si>
  <si>
    <t xml:space="preserve">    发行债券收到的现金</t>
  </si>
  <si>
    <t xml:space="preserve">    筹资活动现金流入差额(特殊报表科目)</t>
  </si>
  <si>
    <t xml:space="preserve">    筹资活动现金流入差额(合计平衡项目)</t>
  </si>
  <si>
    <t xml:space="preserve">    筹资活动现金流入小计</t>
  </si>
  <si>
    <t xml:space="preserve">    偿还债务支付的现金</t>
  </si>
  <si>
    <t xml:space="preserve">    分配股利、利润或偿付利息支付的现金</t>
  </si>
  <si>
    <t xml:space="preserve">    其中：子公司支付给少数股东的股利、利润</t>
  </si>
  <si>
    <t xml:space="preserve">    支付其他与筹资活动有关的现金</t>
  </si>
  <si>
    <t xml:space="preserve">    筹资活动现金流出差额(特殊报表科目)</t>
  </si>
  <si>
    <t xml:space="preserve">    筹资活动现金流出差额(合计平衡项目)</t>
  </si>
  <si>
    <t xml:space="preserve">    筹资活动现金流出小计</t>
  </si>
  <si>
    <t xml:space="preserve">    筹资活动产生的现金流量净额差额(合计平衡项目)</t>
  </si>
  <si>
    <t xml:space="preserve">    筹资活动产生的现金流量净额</t>
  </si>
  <si>
    <t>汇率变动对现金的影响</t>
  </si>
  <si>
    <t xml:space="preserve">    直接法-现金及现金等价物净增加额差额(特殊报表科目)</t>
  </si>
  <si>
    <t xml:space="preserve">    直接法-现金及现金等价物净增加额差额(合计平衡项目)</t>
  </si>
  <si>
    <t>现金及现金等价物净增加额</t>
  </si>
  <si>
    <t xml:space="preserve">    期初现金及现金等价物余额</t>
  </si>
  <si>
    <t xml:space="preserve">    期末现金及现金等价物余额</t>
  </si>
  <si>
    <t>补充资料：</t>
  </si>
  <si>
    <t xml:space="preserve">    净利润</t>
  </si>
  <si>
    <t xml:space="preserve">    加：资产减值准备</t>
  </si>
  <si>
    <t xml:space="preserve">            信用减值损失</t>
  </si>
  <si>
    <t xml:space="preserve">            固定资产折旧、油气资产折耗、生产性生物资产折旧</t>
  </si>
  <si>
    <t xml:space="preserve">            无形资产摊销</t>
  </si>
  <si>
    <t xml:space="preserve">            使用权资产折旧</t>
  </si>
  <si>
    <t xml:space="preserve">            长期待摊费用摊销</t>
  </si>
  <si>
    <t xml:space="preserve">            待摊费用减少</t>
  </si>
  <si>
    <t xml:space="preserve">            预提费用增加</t>
  </si>
  <si>
    <t xml:space="preserve">            处置固定资产、无形资产和其他长期资产的损失</t>
  </si>
  <si>
    <t xml:space="preserve">            固定资产报废损失</t>
  </si>
  <si>
    <t xml:space="preserve">            公允价值变动损失</t>
  </si>
  <si>
    <t xml:space="preserve">            财务费用</t>
  </si>
  <si>
    <t xml:space="preserve">            投资损失</t>
  </si>
  <si>
    <t xml:space="preserve">            递延所得税资产减少</t>
  </si>
  <si>
    <t xml:space="preserve">            递延所得税负债增加</t>
  </si>
  <si>
    <t xml:space="preserve">            存货的减少</t>
  </si>
  <si>
    <t xml:space="preserve">            经营性应收项目的减少</t>
  </si>
  <si>
    <t xml:space="preserve">            经营性应付项目的增加</t>
  </si>
  <si>
    <t xml:space="preserve">            未确认的投资损失</t>
  </si>
  <si>
    <t xml:space="preserve">            其他</t>
  </si>
  <si>
    <t xml:space="preserve">            间接法-经营活动现金流量净额差额(特殊报表科目)</t>
  </si>
  <si>
    <t xml:space="preserve">            间接法-经营活动现金流量净额差额(合计平衡项目)</t>
  </si>
  <si>
    <t xml:space="preserve">    间接法-经营活动产生的现金流量净额</t>
  </si>
  <si>
    <t xml:space="preserve">    债务转为资本</t>
  </si>
  <si>
    <t xml:space="preserve">    一年内到期的可转换公司债券</t>
  </si>
  <si>
    <t xml:space="preserve">    融资租入固定资产</t>
  </si>
  <si>
    <t xml:space="preserve">    现金的期末余额</t>
  </si>
  <si>
    <t xml:space="preserve">    减：现金的期初余额</t>
  </si>
  <si>
    <t xml:space="preserve">    加：现金等价物的期末余额</t>
  </si>
  <si>
    <t xml:space="preserve">    减：现金等价物的期初余额</t>
  </si>
  <si>
    <t xml:space="preserve">    加：间接法-现金净增加额差额(特殊报表科目)</t>
  </si>
  <si>
    <t xml:space="preserve">            间接法-现金净增加额差额(合计平衡项目)</t>
  </si>
  <si>
    <t xml:space="preserve">    间接法-现金及现金等价物净增加额</t>
  </si>
  <si>
    <t>项目编号</t>
  </si>
  <si>
    <t>项目名称（元）</t>
  </si>
  <si>
    <t>筛选</t>
  </si>
  <si>
    <r>
      <rPr>
        <sz val="9"/>
        <color rgb="FF000000"/>
        <rFont val="宋体"/>
        <family val="3"/>
        <charset val="134"/>
      </rPr>
      <t>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</si>
  <si>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货币资金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</si>
  <si>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结算备付金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</si>
  <si>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拆出资金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</si>
  <si>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交易性金融资产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</si>
  <si>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衍生金融资产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</si>
  <si>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应收票据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</si>
  <si>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应收账款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</si>
  <si>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应收款项融资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</si>
  <si>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预付款项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</si>
  <si>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应收保费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</si>
  <si>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应收分保账款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</si>
  <si>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应收分保合同准备金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</si>
  <si>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</si>
  <si>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  </t>
    </r>
    <r>
      <rPr>
        <sz val="9"/>
        <color rgb="FF000000"/>
        <rFont val="宋体"/>
        <family val="3"/>
        <charset val="134"/>
      </rPr>
      <t>其中：应收利息</t>
    </r>
  </si>
  <si>
    <r>
      <rPr>
        <sz val="9"/>
        <color rgb="FF000000"/>
        <rFont val="Dialog.plain"/>
        <family val="1"/>
      </rPr>
      <t xml:space="preserve">             </t>
    </r>
    <r>
      <rPr>
        <sz val="9"/>
        <color rgb="FF000000"/>
        <rFont val="宋体"/>
        <family val="3"/>
        <charset val="134"/>
      </rPr>
      <t>应收股利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</si>
  <si>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买入返售金融资产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</si>
  <si>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存货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</si>
  <si>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合同资产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</si>
  <si>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持有待售资产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</si>
  <si>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一年内到期的非流动资产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</si>
  <si>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</si>
  <si>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</si>
  <si>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非流动资产：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</si>
  <si>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发放贷款和垫款</t>
    </r>
    <r>
      <rPr>
        <sz val="9"/>
        <color rgb="FF000000"/>
        <rFont val="Dialog.plain"/>
        <family val="1"/>
      </rPr>
      <t xml:space="preserve">*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</si>
  <si>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</si>
  <si>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其他债权投资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</si>
  <si>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长期应收款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</si>
  <si>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长期股权投资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</si>
  <si>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可供出售金融资产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</si>
  <si>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持有至到期投资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</si>
  <si>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其他权益工具投资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</si>
  <si>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其他非流动金融资产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</si>
  <si>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投资性房地产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</si>
  <si>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</si>
  <si>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累计折旧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</si>
  <si>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固定资产减值准备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</si>
  <si>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固定资产净额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</si>
  <si>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固定资产清理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</si>
  <si>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工程物资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</si>
  <si>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在建工程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</si>
  <si>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生产性生物资产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</si>
  <si>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油气资产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</si>
  <si>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使用权资产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</si>
  <si>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无形资产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</si>
  <si>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开发支出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</si>
  <si>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商誉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</si>
  <si>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长期待摊费用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</si>
  <si>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递延所得税资产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</si>
  <si>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rgb="FF000000"/>
        <rFont val="Dialog.plain"/>
        <family val="1"/>
      </rPr>
      <t xml:space="preserve">  </t>
    </r>
    <r>
      <rPr>
        <sz val="9"/>
        <color rgb="FF000000"/>
        <rFont val="宋体"/>
        <family val="3"/>
        <charset val="134"/>
      </rPr>
      <t>其他非流动资产</t>
    </r>
    <r>
      <rPr>
        <sz val="9"/>
        <color rgb="FF000000"/>
        <rFont val="Dialog.plain"/>
        <family val="1"/>
      </rPr>
      <t xml:space="preserve"> </t>
    </r>
  </si>
  <si>
    <r>
      <rPr>
        <b/>
        <sz val="9"/>
        <color indexed="8"/>
        <rFont val="宋体"/>
        <family val="3"/>
        <charset val="134"/>
      </rPr>
      <t>非流动资产合计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</si>
  <si>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资产总计</t>
    </r>
    <r>
      <rPr>
        <b/>
        <sz val="9"/>
        <color indexed="8"/>
        <rFont val="Dialog.plain"/>
        <family val="1"/>
      </rPr>
      <t xml:space="preserve"> </t>
    </r>
  </si>
  <si>
    <t>应付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</si>
  <si>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短期借款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</si>
  <si>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向中央银行借款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</si>
  <si>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拆入资金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</si>
  <si>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交易性金融负债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</si>
  <si>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衍生金融负债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</si>
  <si>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应付票据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</si>
  <si>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应付账款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</si>
  <si>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预收款项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</si>
  <si>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合同负债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</si>
  <si>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卖出回购金融资产款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</si>
  <si>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吸收存款及同业存放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</si>
  <si>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代理买卖证券款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</si>
  <si>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代理承销证券款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</si>
  <si>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应付职工薪酬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</si>
  <si>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应交税费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</si>
  <si>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</si>
  <si>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</t>
    </r>
    <r>
      <rPr>
        <sz val="9"/>
        <color indexed="8"/>
        <rFont val="宋体"/>
        <family val="3"/>
        <charset val="134"/>
      </rPr>
      <t>其中：应付利息</t>
    </r>
  </si>
  <si>
    <r>
      <rPr>
        <sz val="9"/>
        <color indexed="8"/>
        <rFont val="Dialog.plain"/>
        <family val="1"/>
      </rPr>
      <t xml:space="preserve">         </t>
    </r>
    <r>
      <rPr>
        <sz val="9"/>
        <color indexed="8"/>
        <rFont val="宋体"/>
        <family val="3"/>
        <charset val="134"/>
      </rPr>
      <t>应付股利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</si>
  <si>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应付手续费及佣金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</si>
  <si>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应付分保账款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</si>
  <si>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持有待售负债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</si>
  <si>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一年内到期的非流动负债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</si>
  <si>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</si>
  <si>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流动负债合计</t>
    </r>
    <r>
      <rPr>
        <b/>
        <sz val="9"/>
        <color indexed="8"/>
        <rFont val="Dialog.plain"/>
        <family val="1"/>
      </rPr>
      <t xml:space="preserve"> </t>
    </r>
  </si>
  <si>
    <t xml:space="preserve">非流动负债：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</si>
  <si>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保险合同准备金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</si>
  <si>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长期借款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</si>
  <si>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应付债券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</si>
  <si>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其中：优先股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</si>
  <si>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      </t>
    </r>
    <r>
      <rPr>
        <sz val="9"/>
        <color indexed="8"/>
        <rFont val="宋体"/>
        <family val="3"/>
        <charset val="134"/>
      </rPr>
      <t>永续债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</si>
  <si>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租赁负债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</si>
  <si>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</si>
  <si>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长期应付款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</si>
  <si>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长期应付职工薪酬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</si>
  <si>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预计负债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</si>
  <si>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</si>
  <si>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递延所得税负债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</si>
  <si>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其他非流动负债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</si>
  <si>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</t>
    </r>
    <r>
      <rPr>
        <b/>
        <sz val="9"/>
        <color indexed="8"/>
        <rFont val="宋体"/>
        <family val="3"/>
        <charset val="134"/>
      </rPr>
      <t>非流动负债合计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</si>
  <si>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    </t>
    </r>
    <r>
      <rPr>
        <b/>
        <sz val="9"/>
        <color indexed="8"/>
        <rFont val="宋体"/>
        <family val="3"/>
        <charset val="134"/>
      </rPr>
      <t>负债合计</t>
    </r>
  </si>
  <si>
    <t xml:space="preserve">所有者权益（或股东权益）：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</si>
  <si>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实收资本（或股本）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</si>
  <si>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其他权益工具</t>
    </r>
    <r>
      <rPr>
        <sz val="9"/>
        <color indexed="8"/>
        <rFont val="Dialog.plain"/>
        <family val="1"/>
      </rPr>
      <t xml:space="preserve"> </t>
    </r>
  </si>
  <si>
    <t xml:space="preserve">    其中：优先股 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</si>
  <si>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资本公积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</si>
  <si>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减：库存股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</si>
  <si>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其他综合收益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</si>
  <si>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专项储备</t>
    </r>
    <r>
      <rPr>
        <sz val="9"/>
        <color indexed="8"/>
        <rFont val="Dialog.plain"/>
        <family val="1"/>
      </rPr>
      <t xml:space="preserve"> 400561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</si>
  <si>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盈余公积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</si>
  <si>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一般风险准备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</si>
  <si>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未分配利润</t>
    </r>
    <r>
      <rPr>
        <sz val="9"/>
        <color indexed="8"/>
        <rFont val="Dialog.plain"/>
        <family val="1"/>
      </rPr>
      <t xml:space="preserve"> </t>
    </r>
  </si>
  <si>
    <t>归属于母公司所有者权益（或股东权益）合计</t>
  </si>
  <si>
    <r>
      <rPr>
        <sz val="9"/>
        <color indexed="8"/>
        <rFont val="Dialog.plain"/>
        <family val="1"/>
      </rPr>
      <t xml:space="preserve">  </t>
    </r>
    <r>
      <rPr>
        <sz val="9"/>
        <color indexed="8"/>
        <rFont val="宋体"/>
        <family val="3"/>
        <charset val="134"/>
      </rPr>
      <t>少数股东权益</t>
    </r>
    <r>
      <rPr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</si>
  <si>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 </t>
    </r>
    <r>
      <rPr>
        <b/>
        <sz val="9"/>
        <color indexed="8"/>
        <rFont val="宋体"/>
        <family val="3"/>
        <charset val="134"/>
      </rPr>
      <t>所有者权益（或股东权益）合计</t>
    </r>
    <r>
      <rPr>
        <b/>
        <sz val="9"/>
        <color indexed="8"/>
        <rFont val="Dialog.plain"/>
        <family val="1"/>
      </rPr>
      <t xml:space="preserve"> </t>
    </r>
  </si>
  <si>
    <r>
      <rPr>
        <b/>
        <sz val="9"/>
        <color indexed="8"/>
        <rFont val="Dialog.plain"/>
        <family val="1"/>
      </rPr>
      <t xml:space="preserve"> </t>
    </r>
    <r>
      <rPr>
        <b/>
        <sz val="9"/>
        <color indexed="8"/>
        <rFont val="宋体"/>
        <family val="3"/>
        <charset val="134"/>
      </rPr>
      <t>负债和所有者权益（或股东权益）总计</t>
    </r>
    <r>
      <rPr>
        <b/>
        <sz val="9"/>
        <color indexed="8"/>
        <rFont val="Dialog.plain"/>
        <family val="1"/>
      </rPr>
      <t xml:space="preserve"> </t>
    </r>
  </si>
  <si>
    <t xml:space="preserve">一、营业总收入 </t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</si>
  <si>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其中：营业收入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</si>
  <si>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</si>
  <si>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已赚保费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</si>
  <si>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</si>
  <si>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其他业务收入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</si>
  <si>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二、营业总成本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</si>
  <si>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其中：营业成本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</si>
  <si>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其中：主营业务成本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</si>
  <si>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其他业务成本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</si>
  <si>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</si>
  <si>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手续费及佣金支出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</si>
  <si>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退保金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</si>
  <si>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赔付支出净额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</si>
  <si>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提取保险责任准备金净额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</si>
  <si>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保单红利支出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</si>
  <si>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分保费用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</si>
  <si>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  税金及附加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</si>
  <si>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销售费用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</si>
  <si>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管理费用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</si>
  <si>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研发费用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</si>
  <si>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财务费用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</si>
  <si>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其中：利息费用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</si>
  <si>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  </t>
    </r>
    <r>
      <rPr>
        <sz val="9"/>
        <color indexed="8"/>
        <rFont val="宋体"/>
        <family val="3"/>
        <charset val="134"/>
      </rPr>
      <t>利息收入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</si>
  <si>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加：其他收益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</si>
  <si>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投资收益（损失以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</si>
  <si>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其中：对联营企业和合营企业投资收益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</si>
  <si>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以摊余成本计量的金融资产终止确认收益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</si>
  <si>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汇兑收益（损失以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</si>
  <si>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净敞口套期收益（损失以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</si>
  <si>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公允价值变动收益（损失以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</si>
  <si>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信用减值损失（损失以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</si>
  <si>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资产减值损失（损失以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</si>
  <si>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 </t>
    </r>
    <r>
      <rPr>
        <sz val="9"/>
        <color indexed="8"/>
        <rFont val="宋体"/>
        <family val="3"/>
        <charset val="134"/>
      </rPr>
      <t>资产处置收益（损失以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</si>
  <si>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三、营业利润（亏损以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</si>
  <si>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加：营业外收入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</si>
  <si>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减：营业外支出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</si>
  <si>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四、利润总额（亏损总额以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</si>
  <si>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减：所得税费用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</si>
  <si>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五、净利润（净亏损以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</si>
  <si>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（一）按经营持续性分类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</si>
  <si>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持续经营净利润（净亏损以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</si>
  <si>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9"/>
        <color indexed="8"/>
        <rFont val="宋体"/>
        <family val="3"/>
        <charset val="134"/>
      </rPr>
      <t>终止经营净利润（净亏损以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</si>
  <si>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9"/>
        <color indexed="8"/>
        <rFont val="宋体"/>
        <family val="3"/>
        <charset val="134"/>
      </rPr>
      <t>（二）按所有权归属分类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</si>
  <si>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1. </t>
    </r>
    <r>
      <rPr>
        <sz val="9"/>
        <color indexed="8"/>
        <rFont val="宋体"/>
        <family val="3"/>
        <charset val="134"/>
      </rPr>
      <t>归属于母公司股东的净利润（净亏损以</t>
    </r>
    <r>
      <rPr>
        <sz val="9"/>
        <color indexed="8"/>
        <rFont val="Dialog.plain"/>
        <family val="1"/>
      </rPr>
      <t>“-”</t>
    </r>
    <r>
      <rPr>
        <sz val="9"/>
        <color indexed="8"/>
        <rFont val="宋体"/>
        <family val="3"/>
        <charset val="134"/>
      </rPr>
      <t>号填列）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</si>
  <si>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2. </t>
    </r>
    <r>
      <rPr>
        <sz val="10"/>
        <rFont val="宋体"/>
        <family val="3"/>
        <charset val="134"/>
      </rPr>
      <t>少数股东损益（净亏损以</t>
    </r>
    <r>
      <rPr>
        <sz val="10"/>
        <rFont val="Arial"/>
        <family val="2"/>
      </rPr>
      <t>“-”</t>
    </r>
    <r>
      <rPr>
        <sz val="10"/>
        <rFont val="宋体"/>
        <family val="3"/>
        <charset val="134"/>
      </rPr>
      <t>号填列）</t>
    </r>
  </si>
  <si>
    <r>
      <rPr>
        <sz val="9"/>
        <color indexed="8"/>
        <rFont val="宋体"/>
        <family val="3"/>
        <charset val="134"/>
      </rPr>
      <t>六、其他综合收益的税后净额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</si>
  <si>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</si>
  <si>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1</t>
    </r>
    <r>
      <rPr>
        <sz val="10"/>
        <rFont val="宋体"/>
        <family val="3"/>
        <charset val="134"/>
      </rPr>
      <t>．不能重分类进损益的其他综合收益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</si>
  <si>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）重新计量设定受益计划变动额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</si>
  <si>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）权益法下不能转损益的其他综合收益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</si>
  <si>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）其他权益工具投资公允价值变动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</si>
  <si>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）企业自身信用风险公允价值变动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</si>
  <si>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）其他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</si>
  <si>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2</t>
    </r>
    <r>
      <rPr>
        <sz val="10"/>
        <rFont val="宋体"/>
        <family val="3"/>
        <charset val="134"/>
      </rPr>
      <t>．将重分类进损益的其他综合收益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</si>
  <si>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）权益法下可转损益的其他综合收益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</si>
  <si>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）其他债权投资公允价值变动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</si>
  <si>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（</t>
    </r>
    <r>
      <rPr>
        <sz val="10"/>
        <rFont val="Arial"/>
        <family val="2"/>
      </rPr>
      <t>3</t>
    </r>
    <r>
      <rPr>
        <sz val="10"/>
        <rFont val="宋体"/>
        <family val="3"/>
        <charset val="134"/>
      </rPr>
      <t>）金融资产重分类计入其他综合收益的金额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</si>
  <si>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）其他债权投资信用减值准备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</si>
  <si>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）现金流量套期储备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</si>
  <si>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6</t>
    </r>
    <r>
      <rPr>
        <sz val="10"/>
        <rFont val="宋体"/>
        <family val="3"/>
        <charset val="134"/>
      </rPr>
      <t>）外币财务报表折算差额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</si>
  <si>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   </t>
    </r>
    <r>
      <rPr>
        <sz val="10"/>
        <rFont val="宋体"/>
        <family val="3"/>
        <charset val="134"/>
      </rPr>
      <t>（</t>
    </r>
    <r>
      <rPr>
        <sz val="10"/>
        <rFont val="Arial"/>
        <family val="2"/>
      </rPr>
      <t>7</t>
    </r>
    <r>
      <rPr>
        <sz val="10"/>
        <rFont val="宋体"/>
        <family val="3"/>
        <charset val="134"/>
      </rPr>
      <t>）其他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</si>
  <si>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（二）归属于少数股东的其他综合收益的税后净额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</si>
  <si>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七、综合收益总额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</si>
  <si>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（一）归属于母公司所有者的综合收益总额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</si>
  <si>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（二）归属于少数股东的综合收益总额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</si>
  <si>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八、每股收益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</si>
  <si>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（一）基本每股收益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</si>
  <si>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 xml:space="preserve">  </t>
    </r>
    <r>
      <rPr>
        <sz val="10"/>
        <rFont val="宋体"/>
        <family val="3"/>
        <charset val="134"/>
      </rPr>
      <t>（二）稀释每股收益</t>
    </r>
    <r>
      <rPr>
        <sz val="10"/>
        <rFont val="Arial"/>
        <family val="2"/>
      </rPr>
      <t xml:space="preserve"> </t>
    </r>
  </si>
  <si>
    <r>
      <rPr>
        <sz val="9"/>
        <color indexed="8"/>
        <rFont val="宋体"/>
        <family val="3"/>
        <charset val="134"/>
      </rPr>
      <t>一、经营活动产生的现金流量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</si>
  <si>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销售商品、提供劳务收到的现金</t>
    </r>
    <r>
      <rPr>
        <sz val="9"/>
        <color rgb="FF000000"/>
        <rFont val="宋体"/>
        <family val="3"/>
        <charset val="134"/>
      </rPr>
      <t xml:space="preserve"> </t>
    </r>
  </si>
  <si>
    <r>
      <rPr>
        <sz val="9"/>
        <color indexed="8"/>
        <rFont val="宋体"/>
        <family val="3"/>
        <charset val="134"/>
      </rPr>
      <t>客户存款和同业存放款项净增加额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</si>
  <si>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向中央银行借款净增加额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</si>
  <si>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向其他金融机构拆入资金净增加额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</si>
  <si>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收到原保险合同保费取得的现金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</si>
  <si>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收到再保业务现金净额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</si>
  <si>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保户储金及投资款净增加额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</si>
  <si>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收取利息、手续费及佣金的现金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</si>
  <si>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拆入资金净增加额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</si>
  <si>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回购业务资金净增加额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</si>
  <si>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代理买卖证券收到的现金净额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</si>
  <si>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收到的税费返还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</si>
  <si>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</si>
  <si>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</si>
  <si>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Dialog.plain"/>
        <family val="1"/>
      </rPr>
      <t xml:space="preserve">    </t>
    </r>
    <r>
      <rPr>
        <sz val="9"/>
        <color indexed="8"/>
        <rFont val="宋体"/>
        <family val="3"/>
        <charset val="134"/>
      </rPr>
      <t>购买商品、接受劳务支付的现金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</si>
  <si>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客户贷款及垫款净增加额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</si>
  <si>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存放中央银行和同业款项净增加额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</si>
  <si>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支付原保险合同赔付款项的现金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</si>
  <si>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拆出资金净增加额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</si>
  <si>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支付利息、手续费及佣金的现金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</si>
  <si>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支付保单红利的现金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</si>
  <si>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支付给职工及为职工支付的现金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</si>
  <si>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支付的各项税费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</si>
  <si>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支付其他与经营活动有关的现金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</si>
  <si>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经营活动现金流出小计</t>
    </r>
    <r>
      <rPr>
        <sz val="9"/>
        <color indexed="8"/>
        <rFont val="Dialog.plain"/>
        <family val="1"/>
      </rPr>
      <t xml:space="preserve"> </t>
    </r>
  </si>
  <si>
    <t>经营活动产生的现金流量净额</t>
  </si>
  <si>
    <r>
      <rPr>
        <sz val="9"/>
        <color indexed="8"/>
        <rFont val="宋体"/>
        <family val="3"/>
        <charset val="134"/>
      </rPr>
      <t>二、投资活动产生的现金流量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</si>
  <si>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收回投资收到的现金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</si>
  <si>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取得投资收益收到的现金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</si>
  <si>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处置固定资产、无形资产和其他长期资产收回的现金净额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</si>
  <si>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处置子公司及其他营业单位收到的现金净额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</si>
  <si>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收到其他与投资活动有关的现金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</si>
  <si>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投资活动现金流入小计</t>
    </r>
    <r>
      <rPr>
        <sz val="9"/>
        <color indexed="8"/>
        <rFont val="Dialog.plain"/>
        <family val="1"/>
      </rPr>
      <t xml:space="preserve"> </t>
    </r>
  </si>
  <si>
    <r>
      <rPr>
        <sz val="9"/>
        <color rgb="FF000000"/>
        <rFont val="宋体"/>
        <family val="3"/>
        <charset val="134"/>
      </rPr>
      <t>购建固定资产、无形资产和其他长期资产支付的现金</t>
    </r>
    <r>
      <rPr>
        <sz val="9"/>
        <color rgb="FF000000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</si>
  <si>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投资支付的现金</t>
    </r>
    <r>
      <rPr>
        <sz val="9"/>
        <color indexed="8"/>
        <rFont val="Dialog.plain"/>
        <family val="1"/>
      </rPr>
      <t xml:space="preserve"> </t>
    </r>
  </si>
  <si>
    <r>
      <rPr>
        <sz val="9"/>
        <color indexed="8"/>
        <rFont val="宋体"/>
        <family val="3"/>
        <charset val="134"/>
      </rPr>
      <t>质押贷款净增加额</t>
    </r>
    <r>
      <rPr>
        <sz val="9"/>
        <color indexed="8"/>
        <rFont val="Dialog.plain"/>
        <family val="1"/>
      </rPr>
      <t xml:space="preserve">* </t>
    </r>
  </si>
  <si>
    <r>
      <rPr>
        <sz val="9"/>
        <color indexed="8"/>
        <rFont val="宋体"/>
        <family val="3"/>
        <charset val="134"/>
      </rPr>
      <t>取得子公司及其他营业单位支付的现金净额</t>
    </r>
    <r>
      <rPr>
        <sz val="9"/>
        <color indexed="8"/>
        <rFont val="Dialog.plain"/>
        <family val="1"/>
      </rPr>
      <t xml:space="preserve"> </t>
    </r>
  </si>
  <si>
    <r>
      <rPr>
        <sz val="10"/>
        <rFont val="宋体"/>
        <family val="3"/>
        <charset val="134"/>
      </rPr>
      <t>支付其他与投资活动有关的现金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</si>
  <si>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投资活动现金流出小计</t>
    </r>
    <r>
      <rPr>
        <sz val="10"/>
        <rFont val="Arial"/>
        <family val="2"/>
      </rPr>
      <t xml:space="preserve"> </t>
    </r>
  </si>
  <si>
    <t>投资活动产生的现金流量净额</t>
  </si>
  <si>
    <r>
      <rPr>
        <sz val="10"/>
        <rFont val="宋体"/>
        <family val="3"/>
        <charset val="134"/>
      </rPr>
      <t>三、筹资活动产生的现金流量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</si>
  <si>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吸收投资收到的现金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</si>
  <si>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取得借款收到的现金</t>
    </r>
    <r>
      <rPr>
        <sz val="10"/>
        <rFont val="Arial"/>
        <family val="2"/>
      </rPr>
      <t xml:space="preserve"> </t>
    </r>
  </si>
  <si>
    <t>发行债券收到的现金</t>
  </si>
  <si>
    <r>
      <rPr>
        <sz val="10"/>
        <rFont val="宋体"/>
        <family val="3"/>
        <charset val="134"/>
      </rPr>
      <t>收到其他与筹资活动有关的现金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</si>
  <si>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筹资活动现金流入小计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</si>
  <si>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偿还债务支付的现金</t>
    </r>
    <r>
      <rPr>
        <sz val="10"/>
        <rFont val="Arial"/>
        <family val="2"/>
      </rPr>
      <t xml:space="preserve"> </t>
    </r>
  </si>
  <si>
    <t>分配股利、利润或偿付利息支付的现金</t>
  </si>
  <si>
    <r>
      <rPr>
        <sz val="10"/>
        <rFont val="宋体"/>
        <family val="3"/>
        <charset val="134"/>
      </rPr>
      <t>支付其他与筹资活动有关的现金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</si>
  <si>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筹资活动现金流出小计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</si>
  <si>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筹资活动产生的现金流量净额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</si>
  <si>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四、汇率变动对现金及现金等价物的影响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</si>
  <si>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五、现金及现金等价物净增加额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</si>
  <si>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加：期初现金及现金等价物余额</t>
    </r>
    <r>
      <rPr>
        <sz val="10"/>
        <rFont val="Arial"/>
        <family val="2"/>
      </rPr>
      <t xml:space="preserve"> </t>
    </r>
  </si>
  <si>
    <r>
      <rPr>
        <sz val="10"/>
        <rFont val="宋体"/>
        <family val="3"/>
        <charset val="134"/>
      </rPr>
      <t>六、期末现金及现金等价物余额</t>
    </r>
    <r>
      <rPr>
        <sz val="10"/>
        <rFont val="Arial"/>
        <family val="2"/>
      </rPr>
      <t xml:space="preserve"> </t>
    </r>
  </si>
  <si>
    <t>财务分析</t>
  </si>
  <si>
    <t>　人民币：万元</t>
  </si>
  <si>
    <t>（合并）</t>
  </si>
  <si>
    <t>资产负债表</t>
  </si>
  <si>
    <t>筛选列，4个报表全都不为0</t>
  </si>
  <si>
    <t xml:space="preserve">  货币资金 </t>
  </si>
  <si>
    <t>单位：万元</t>
  </si>
  <si>
    <t xml:space="preserve">  结算备付金* </t>
  </si>
  <si>
    <t xml:space="preserve">  拆出资金* </t>
  </si>
  <si>
    <t xml:space="preserve">  交易性金融资产 </t>
  </si>
  <si>
    <t xml:space="preserve">  衍生金融资产 </t>
  </si>
  <si>
    <t xml:space="preserve">  应收票据 </t>
  </si>
  <si>
    <t xml:space="preserve">  应收账款 </t>
  </si>
  <si>
    <t xml:space="preserve">  应收款项融资 </t>
  </si>
  <si>
    <t xml:space="preserve">  预付款项 </t>
  </si>
  <si>
    <t xml:space="preserve">  应收保费* </t>
  </si>
  <si>
    <t xml:space="preserve">  应收分保账款* </t>
  </si>
  <si>
    <t xml:space="preserve">  应收分保合同准备金* </t>
  </si>
  <si>
    <t xml:space="preserve">  其他应收款 </t>
  </si>
  <si>
    <t xml:space="preserve">    其中：应收利息</t>
  </si>
  <si>
    <t xml:space="preserve">  应收股利</t>
  </si>
  <si>
    <t xml:space="preserve">  买入返售金融资产* </t>
  </si>
  <si>
    <t xml:space="preserve">  存货 </t>
  </si>
  <si>
    <t xml:space="preserve">  合同资产 </t>
  </si>
  <si>
    <t xml:space="preserve">  持有待售资产 </t>
  </si>
  <si>
    <t xml:space="preserve">  一年内到期的非流动资产 </t>
  </si>
  <si>
    <t xml:space="preserve">  其他流动资产 </t>
  </si>
  <si>
    <t>流动资产合计</t>
  </si>
  <si>
    <t xml:space="preserve">  发放贷款和垫款* </t>
  </si>
  <si>
    <t xml:space="preserve">  债权投资 </t>
  </si>
  <si>
    <t xml:space="preserve">  其他债权投资 </t>
  </si>
  <si>
    <t xml:space="preserve">  长期应收款 </t>
  </si>
  <si>
    <t xml:space="preserve">  长期股权投资 </t>
  </si>
  <si>
    <t xml:space="preserve">  可供出售金融资产 </t>
  </si>
  <si>
    <t xml:space="preserve">  持有至到期投资 </t>
  </si>
  <si>
    <t xml:space="preserve">  其他权益工具投资 </t>
  </si>
  <si>
    <t xml:space="preserve">  其他非流动金融资产 </t>
  </si>
  <si>
    <t xml:space="preserve">  投资性房地产 </t>
  </si>
  <si>
    <t xml:space="preserve">  固定资产 </t>
  </si>
  <si>
    <t xml:space="preserve">  累计折旧</t>
  </si>
  <si>
    <t xml:space="preserve">  固定资产减值准备 </t>
  </si>
  <si>
    <t xml:space="preserve">  固定资产净额</t>
  </si>
  <si>
    <t xml:space="preserve">  固定资产清理</t>
  </si>
  <si>
    <t xml:space="preserve">  工程物资</t>
  </si>
  <si>
    <t xml:space="preserve">  在建工程 </t>
  </si>
  <si>
    <t xml:space="preserve">  生产性生物资产 </t>
  </si>
  <si>
    <t xml:space="preserve">  油气资产 </t>
  </si>
  <si>
    <t xml:space="preserve">  使用权资产 </t>
  </si>
  <si>
    <t xml:space="preserve">  无形资产 </t>
  </si>
  <si>
    <t xml:space="preserve">  开发支出 </t>
  </si>
  <si>
    <t xml:space="preserve">  商誉 </t>
  </si>
  <si>
    <t xml:space="preserve">  长期待摊费用 </t>
  </si>
  <si>
    <t xml:space="preserve">  递延所得税资产 </t>
  </si>
  <si>
    <t xml:space="preserve">  其他非流动资产 </t>
  </si>
  <si>
    <t>非流动资产合计</t>
  </si>
  <si>
    <t xml:space="preserve">  短期借款 </t>
  </si>
  <si>
    <t xml:space="preserve">  向中央银行借款* </t>
  </si>
  <si>
    <t xml:space="preserve">  拆入资金* </t>
  </si>
  <si>
    <t xml:space="preserve">  交易性金融负债 </t>
  </si>
  <si>
    <t xml:space="preserve">  衍生金融负债 </t>
  </si>
  <si>
    <t xml:space="preserve">  应付票据 </t>
  </si>
  <si>
    <t xml:space="preserve">  应付账款 </t>
  </si>
  <si>
    <t xml:space="preserve">  预收款项 </t>
  </si>
  <si>
    <t xml:space="preserve">  合同负债 </t>
  </si>
  <si>
    <t xml:space="preserve">  卖出回购金融资产款* </t>
  </si>
  <si>
    <t xml:space="preserve">  吸收存款及同业存放* </t>
  </si>
  <si>
    <t xml:space="preserve">  代理买卖证券款* </t>
  </si>
  <si>
    <t xml:space="preserve">  代理承销证券款* </t>
  </si>
  <si>
    <t xml:space="preserve">  应付职工薪酬 </t>
  </si>
  <si>
    <t xml:space="preserve">  应交税费 </t>
  </si>
  <si>
    <t xml:space="preserve">  其他应付款 </t>
  </si>
  <si>
    <t xml:space="preserve">   其中：应付利息</t>
  </si>
  <si>
    <t xml:space="preserve">         应付股利</t>
  </si>
  <si>
    <t xml:space="preserve">  应付手续费及佣金* </t>
  </si>
  <si>
    <t xml:space="preserve">  应付分保账款* </t>
  </si>
  <si>
    <t xml:space="preserve">  持有待售负债 </t>
  </si>
  <si>
    <t xml:space="preserve">  一年内到期的非流动负债 </t>
  </si>
  <si>
    <t xml:space="preserve">  其他流动负债 </t>
  </si>
  <si>
    <t>流动负债合计</t>
  </si>
  <si>
    <t xml:space="preserve">  保险合同准备金* </t>
  </si>
  <si>
    <t xml:space="preserve">  长期借款 </t>
  </si>
  <si>
    <t xml:space="preserve">  应付债券 </t>
  </si>
  <si>
    <t xml:space="preserve">          永续债 </t>
  </si>
  <si>
    <t xml:space="preserve">  租赁负债 </t>
  </si>
  <si>
    <t xml:space="preserve">  专项应付款 </t>
  </si>
  <si>
    <t xml:space="preserve">  长期应付款 </t>
  </si>
  <si>
    <t xml:space="preserve">  长期应付职工薪酬</t>
  </si>
  <si>
    <t xml:space="preserve">  预计负债 </t>
  </si>
  <si>
    <t xml:space="preserve">  递延收益 </t>
  </si>
  <si>
    <t xml:space="preserve">  递延所得税负债 </t>
  </si>
  <si>
    <t xml:space="preserve">  其他非流动负债 </t>
  </si>
  <si>
    <t>非流动负债合计</t>
  </si>
  <si>
    <t>负债合计</t>
  </si>
  <si>
    <t>公式和其他不一致，主要是筛选问题</t>
  </si>
  <si>
    <t xml:space="preserve">  实收资本（或股本） </t>
  </si>
  <si>
    <t xml:space="preserve">  其他权益工具 </t>
  </si>
  <si>
    <t xml:space="preserve">  资本公积 </t>
  </si>
  <si>
    <t xml:space="preserve">  减：库存股 </t>
  </si>
  <si>
    <t xml:space="preserve">  其他综合收益 </t>
  </si>
  <si>
    <t xml:space="preserve">  专项储备 400561</t>
  </si>
  <si>
    <t xml:space="preserve">  盈余公积 </t>
  </si>
  <si>
    <t xml:space="preserve">  一般风险准备* </t>
  </si>
  <si>
    <t xml:space="preserve">  未分配利润 </t>
  </si>
  <si>
    <t xml:space="preserve">  少数股东权益 </t>
  </si>
  <si>
    <t xml:space="preserve"> 所有者权益（或股东权益）合计 </t>
  </si>
  <si>
    <t>利润表</t>
  </si>
  <si>
    <t>营业收入</t>
  </si>
  <si>
    <t>营业成本</t>
  </si>
  <si>
    <t>税金及附加</t>
  </si>
  <si>
    <t>销售费用</t>
  </si>
  <si>
    <t>管理费用</t>
  </si>
  <si>
    <t>研发费用</t>
  </si>
  <si>
    <t>财务费用</t>
  </si>
  <si>
    <t>其他收益</t>
  </si>
  <si>
    <t>投资收益</t>
  </si>
  <si>
    <t>所得税费用</t>
  </si>
  <si>
    <t>盈利情况简要分析</t>
  </si>
  <si>
    <t>现金流量表</t>
  </si>
  <si>
    <t>销售商品、提供劳务收到的现金</t>
  </si>
  <si>
    <t>经营活动现金流入小计</t>
  </si>
  <si>
    <t>经营活动现金流出小计</t>
  </si>
  <si>
    <t>投资活动现金流入小计</t>
  </si>
  <si>
    <t>投资活动现金流出小计</t>
  </si>
  <si>
    <t>筹资活动现金流入小计</t>
  </si>
  <si>
    <t>筹资活动现金流出小计</t>
  </si>
  <si>
    <t>筹资活动产生的现金流量净额</t>
  </si>
  <si>
    <t>现金流情况简要分析</t>
  </si>
  <si>
    <t>偿债能力分析</t>
  </si>
  <si>
    <t>流动比率</t>
  </si>
  <si>
    <t>速动比率</t>
  </si>
  <si>
    <t>资产负债率(%)</t>
  </si>
  <si>
    <t>调整后的资产负债率（%）</t>
  </si>
  <si>
    <t>流动负债率(%)</t>
  </si>
  <si>
    <t>经营效率分析</t>
  </si>
  <si>
    <t>存货周转率(倍)</t>
  </si>
  <si>
    <t>总资产周转率(倍)</t>
  </si>
  <si>
    <t>应收账款周转率(倍)</t>
  </si>
  <si>
    <t>主营成本比例(%)</t>
  </si>
  <si>
    <t>营业费用比例(%)</t>
  </si>
  <si>
    <t>管理费用比例(%)</t>
  </si>
  <si>
    <t>财务费用比例(%)</t>
  </si>
  <si>
    <t>盈利能力分析</t>
  </si>
  <si>
    <t>净利润率(%)</t>
  </si>
  <si>
    <t>营业毛利率(%)</t>
  </si>
  <si>
    <t>资产利润率(%)</t>
  </si>
  <si>
    <t>资产净利润率(%)</t>
  </si>
  <si>
    <t>净资产收益率(%)</t>
  </si>
  <si>
    <t>财务结构分析</t>
  </si>
  <si>
    <t>股东权益比(%)</t>
  </si>
  <si>
    <t>长期负债资产比(%)</t>
  </si>
  <si>
    <t>现金流量分析</t>
  </si>
  <si>
    <t>经营活动现金流量与总利润比例(%)</t>
  </si>
  <si>
    <t>现金净流量与总利润比(%)</t>
  </si>
  <si>
    <t>项目</t>
  </si>
  <si>
    <t>存货净额</t>
  </si>
  <si>
    <t>应收账款净额</t>
  </si>
  <si>
    <t>流动资产</t>
  </si>
  <si>
    <t>固定资产</t>
  </si>
  <si>
    <t>在建工程</t>
  </si>
  <si>
    <t>总资产</t>
  </si>
  <si>
    <t>短期借款</t>
  </si>
  <si>
    <t>其他应付款</t>
  </si>
  <si>
    <t>流动负债</t>
  </si>
  <si>
    <t>长期借款</t>
  </si>
  <si>
    <t>长期应付款</t>
  </si>
  <si>
    <t>长期负债</t>
  </si>
  <si>
    <t>总负债</t>
  </si>
  <si>
    <t>股东权益</t>
  </si>
  <si>
    <t>主营业务收入</t>
  </si>
  <si>
    <t>主营业务成本</t>
  </si>
  <si>
    <t>营业费用</t>
  </si>
  <si>
    <t>筹资性现金流净流量</t>
  </si>
  <si>
    <t>经营性现金流净流量</t>
  </si>
  <si>
    <t>EBITDA利息倍数</t>
  </si>
  <si>
    <t>应收帐款周转率(倍)</t>
  </si>
  <si>
    <t>经营毛利率(%)</t>
  </si>
  <si>
    <t>成长能力分析</t>
  </si>
  <si>
    <t>主营收入增长率(%)</t>
  </si>
  <si>
    <t>净利润增长率(%)</t>
  </si>
  <si>
    <t>总资产增长率(%)</t>
  </si>
  <si>
    <t>股东权益增长率(%)</t>
  </si>
  <si>
    <t>营业利润增长率(%)</t>
  </si>
  <si>
    <t>利润总额增长率(%)</t>
  </si>
  <si>
    <t>经营活动现金流量与净利润比例</t>
  </si>
  <si>
    <t>筛选辅助列</t>
  </si>
  <si>
    <t>金额</t>
  </si>
  <si>
    <t>占比</t>
  </si>
  <si>
    <t>占比筛选</t>
  </si>
  <si>
    <t>科目</t>
  </si>
  <si>
    <t>货币资金</t>
  </si>
  <si>
    <t>交易性金融资产</t>
  </si>
  <si>
    <t>应收票据</t>
  </si>
  <si>
    <t>应收账款</t>
  </si>
  <si>
    <t>预付款项</t>
  </si>
  <si>
    <t>其他应收款</t>
  </si>
  <si>
    <r>
      <rPr>
        <sz val="9"/>
        <color indexed="8"/>
        <rFont val="仿宋"/>
        <family val="3"/>
        <charset val="134"/>
      </rPr>
      <t xml:space="preserve">        </t>
    </r>
    <r>
      <rPr>
        <sz val="9"/>
        <color rgb="FF000000"/>
        <rFont val="仿宋"/>
        <family val="3"/>
        <charset val="134"/>
      </rPr>
      <t>应收股利</t>
    </r>
  </si>
  <si>
    <t>存货</t>
  </si>
  <si>
    <t>合同资产</t>
  </si>
  <si>
    <t>持有待售资产</t>
  </si>
  <si>
    <t>一年内到期的非流动资产</t>
  </si>
  <si>
    <t>其他流动资产</t>
  </si>
  <si>
    <t>债权投资</t>
  </si>
  <si>
    <t>其他债权投资</t>
  </si>
  <si>
    <t>长期应收款</t>
  </si>
  <si>
    <t>长期股权投资</t>
  </si>
  <si>
    <t>可供出售金融资产</t>
  </si>
  <si>
    <t>持有至到期投资</t>
  </si>
  <si>
    <t>其他权益工具投资</t>
  </si>
  <si>
    <t>其他非流动金融资产</t>
  </si>
  <si>
    <t>投资性房地产</t>
  </si>
  <si>
    <t>交易性金融负债</t>
  </si>
  <si>
    <t>实收资本（或股本）</t>
  </si>
  <si>
    <t>其他权益工具</t>
  </si>
  <si>
    <t>资本公积</t>
  </si>
  <si>
    <t>盈余公积</t>
  </si>
  <si>
    <t>未分配利润</t>
  </si>
  <si>
    <t>少数股东权益</t>
  </si>
  <si>
    <t>经营活动现金流量净额</t>
  </si>
  <si>
    <t>经营活动现金流入</t>
  </si>
  <si>
    <t>经营活动现金流出</t>
  </si>
  <si>
    <t>投资活动现金流量净额</t>
  </si>
  <si>
    <t>投资活动现金流入</t>
  </si>
  <si>
    <t>投资活动现金流出</t>
  </si>
  <si>
    <t>筹资活动现金流量净额</t>
  </si>
  <si>
    <t>筹资活动现金流入</t>
  </si>
  <si>
    <t>筹资活动现金流出</t>
  </si>
  <si>
    <t>购买商品、接受劳务支付的现金</t>
  </si>
  <si>
    <t>盈利现金比</t>
  </si>
  <si>
    <t>销售商品收到的现金</t>
  </si>
  <si>
    <t>合计</t>
  </si>
  <si>
    <t>合计备注</t>
  </si>
  <si>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</si>
  <si>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r>
      <rPr>
        <sz val="10"/>
        <rFont val="宋体"/>
        <family val="3"/>
        <charset val="134"/>
      </rPr>
      <t>应收票据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应收账款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销售商品、提供劳务收到的现金</t>
    </r>
  </si>
  <si>
    <t>取得借款所收到的现金</t>
  </si>
  <si>
    <t>偿还债务所支付的现金</t>
  </si>
  <si>
    <t>支付的其他与筹资活动有关的现金</t>
  </si>
  <si>
    <t>净资产</t>
  </si>
  <si>
    <t>资产负债率</t>
  </si>
  <si>
    <t>经营性现金净流量</t>
  </si>
  <si>
    <t>筹资性现金净流量</t>
  </si>
  <si>
    <t>刚性债务总额</t>
  </si>
  <si>
    <t>按类型分</t>
  </si>
  <si>
    <t>银行借款</t>
  </si>
  <si>
    <t>非标借款</t>
  </si>
  <si>
    <r>
      <rPr>
        <b/>
        <sz val="12"/>
        <rFont val="仿宋"/>
        <family val="3"/>
        <charset val="134"/>
      </rPr>
      <t xml:space="preserve">  </t>
    </r>
    <r>
      <rPr>
        <b/>
        <sz val="12"/>
        <rFont val="仿宋"/>
        <family val="3"/>
        <charset val="134"/>
      </rPr>
      <t>其中：信托</t>
    </r>
  </si>
  <si>
    <t>-</t>
  </si>
  <si>
    <t>其中：租赁</t>
  </si>
  <si>
    <t>债券融资</t>
  </si>
  <si>
    <t>按期限分</t>
  </si>
  <si>
    <t>一年内到期</t>
  </si>
  <si>
    <t>一年以上</t>
  </si>
  <si>
    <t>租赁期内每年到期债务情况</t>
  </si>
  <si>
    <r>
      <rPr>
        <sz val="10"/>
        <rFont val="宋体"/>
        <family val="3"/>
        <charset val="134"/>
      </rPr>
      <t>刚性债务=短期借款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应付票据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一年内到期的长期借款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应付短期融资券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长期借款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应付债券</t>
    </r>
    <r>
      <rPr>
        <sz val="10"/>
        <rFont val="宋体"/>
        <family val="3"/>
        <charset val="134"/>
      </rPr>
      <t>+</t>
    </r>
    <r>
      <rPr>
        <sz val="10"/>
        <rFont val="宋体"/>
        <family val="3"/>
        <charset val="134"/>
      </rPr>
      <t>其他具期债务</t>
    </r>
  </si>
  <si>
    <t>“刚性负债”=短期借款 应付票据（敞口） 应交税金 一年内到期的长期负债 应付债券 长期借款。短期刚性负债=短期借款 应付票据（敞口） 应交税金 一年内到期的长期负债</t>
  </si>
  <si>
    <t xml:space="preserve"> </t>
  </si>
  <si>
    <t>银行借款为报表中长期借款与短期借款之和</t>
  </si>
  <si>
    <t>非标借款为长期应付款科目</t>
  </si>
  <si>
    <t>一年内到期为：一年内到期非流动负债科目</t>
  </si>
  <si>
    <t>单位：元</t>
  </si>
  <si>
    <t>应付票据</t>
  </si>
  <si>
    <t>应交税费</t>
  </si>
  <si>
    <t>应付债券</t>
  </si>
  <si>
    <t>刚性债务</t>
  </si>
  <si>
    <t>更新报表可以制作动态报表</t>
  </si>
  <si>
    <t>2022.1.19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</si>
  <si>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、与可行格式一致</t>
    </r>
  </si>
  <si>
    <t>2023.09.18</t>
  </si>
  <si>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、按照新的报表格式进行了更改</t>
    </r>
  </si>
  <si>
    <t>最新一期报表的时间</t>
  </si>
  <si>
    <t>年</t>
  </si>
  <si>
    <t>月</t>
  </si>
  <si>
    <t>日期</t>
  </si>
  <si>
    <t>2023.6</t>
  </si>
  <si>
    <t>/12/31</t>
  </si>
  <si>
    <t>bug</t>
  </si>
  <si>
    <t>现金流量表7501计算，没加上7401的错误</t>
  </si>
  <si>
    <t>销售商品收到的现金与主营业务比</t>
    <phoneticPr fontId="4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</si>
</sst>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#,##0.00_ "/>
    <numFmt numFmtId="179" formatCode="yyyy/m/d;@"/>
    <numFmt numFmtId="180" formatCode="0.00_);[Red]\(0.00\)"/>
    <numFmt numFmtId="181" formatCode="yyyy&quot;年&quot;mm&quot;月&quot;;@"/>
    <numFmt numFmtId="182" formatCode="yyyy&quot;年&quot;;@"/>
    <numFmt numFmtId="183" formatCode="0&quot;.&quot;00,,&quot;亿&quot;"/>
    <numFmt numFmtId="184" formatCode="0.00_ "/>
    <numFmt numFmtId="185" formatCode="yyyy&quot;年&quot;m&quot;月&quot;;@"/>
    <numFmt numFmtId="186" formatCode="#,##0_ "/>
    <numFmt numFmtId="187" formatCode="#,##0.00_);[Red]\(#,##0.00\)"/>
    <numFmt numFmtId="188" formatCode="###,##0.00"/>
    <numFmt numFmtId="189" formatCode="###,##0"/>
  </numFmts>
  <fonts count="48">
    <font>
      <sz val="10"/>
      <name val="Arial"/>
      <charset val="134"/>
    </font>
    <font>
      <b/>
      <sz val="10.5"/>
      <color rgb="FFFFFFFF"/>
      <name val="微软雅黑"/>
      <family val="2"/>
      <charset val="134"/>
    </font>
    <font>
      <sz val="10.5"/>
      <name val="微软雅黑"/>
      <family val="2"/>
      <charset val="134"/>
    </font>
    <font>
      <sz val="10"/>
      <name val="宋体"/>
      <family val="3"/>
      <charset val="134"/>
    </font>
    <font>
      <sz val="10"/>
      <name val="Arial"/>
      <family val="2"/>
    </font>
    <font>
      <sz val="10"/>
      <name val="微软雅黑"/>
      <family val="2"/>
      <charset val="134"/>
    </font>
    <font>
      <b/>
      <sz val="12"/>
      <name val="仿宋"/>
      <family val="3"/>
      <charset val="134"/>
    </font>
    <font>
      <sz val="12"/>
      <name val="仿宋"/>
      <family val="3"/>
      <charset val="134"/>
    </font>
    <font>
      <sz val="9"/>
      <color indexed="8"/>
      <name val="Dialog.plain"/>
      <family val="1"/>
    </font>
    <font>
      <b/>
      <sz val="12"/>
      <name val="仿宋_GB2312"/>
      <family val="3"/>
      <charset val="134"/>
    </font>
    <font>
      <b/>
      <sz val="12"/>
      <name val="Times New Roman"/>
      <family val="1"/>
    </font>
    <font>
      <sz val="12"/>
      <name val="仿宋_GB2312"/>
      <family val="3"/>
      <charset val="134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1"/>
      <color theme="1"/>
      <name val="仿宋_GB2312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仿宋_GB2312"/>
      <family val="3"/>
      <charset val="134"/>
    </font>
    <font>
      <sz val="11"/>
      <color theme="1"/>
      <name val="Times New Roman"/>
      <family val="1"/>
    </font>
    <font>
      <b/>
      <sz val="11"/>
      <color theme="1"/>
      <name val="宋体"/>
      <family val="3"/>
      <charset val="134"/>
      <scheme val="minor"/>
    </font>
    <font>
      <b/>
      <sz val="12"/>
      <color theme="1"/>
      <name val="仿宋_GB2312"/>
      <family val="3"/>
      <charset val="134"/>
    </font>
    <font>
      <sz val="10"/>
      <name val="仿宋_GB2312"/>
      <family val="3"/>
      <charset val="134"/>
    </font>
    <font>
      <sz val="10"/>
      <color rgb="FFFF0000"/>
      <name val="宋体"/>
      <family val="3"/>
      <charset val="134"/>
    </font>
    <font>
      <b/>
      <sz val="9"/>
      <name val="仿宋"/>
      <family val="3"/>
      <charset val="134"/>
    </font>
    <font>
      <sz val="9"/>
      <name val="仿宋"/>
      <family val="3"/>
      <charset val="134"/>
    </font>
    <font>
      <sz val="9"/>
      <color indexed="8"/>
      <name val="仿宋"/>
      <family val="3"/>
      <charset val="134"/>
    </font>
    <font>
      <b/>
      <sz val="9"/>
      <color indexed="8"/>
      <name val="仿宋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0.5"/>
      <name val="仿宋_GB2312"/>
      <family val="3"/>
      <charset val="134"/>
    </font>
    <font>
      <b/>
      <sz val="10"/>
      <name val="仿宋"/>
      <family val="3"/>
      <charset val="134"/>
    </font>
    <font>
      <sz val="10"/>
      <color indexed="8"/>
      <name val="仿宋"/>
      <family val="3"/>
      <charset val="134"/>
    </font>
    <font>
      <sz val="12"/>
      <color rgb="FFFF0000"/>
      <name val="宋体"/>
      <family val="3"/>
      <charset val="134"/>
    </font>
    <font>
      <sz val="10.5"/>
      <color indexed="8"/>
      <name val="仿宋_GB2312"/>
      <family val="3"/>
      <charset val="134"/>
    </font>
    <font>
      <sz val="10.5"/>
      <name val="仿宋_GB2312"/>
      <family val="3"/>
      <charset val="134"/>
    </font>
    <font>
      <b/>
      <sz val="12"/>
      <color rgb="FF000000"/>
      <name val="仿宋"/>
      <family val="3"/>
      <charset val="134"/>
    </font>
    <font>
      <sz val="9"/>
      <color rgb="FF000000"/>
      <name val="Dialog.plai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sz val="9"/>
      <color rgb="FF000000"/>
      <name val="宋体"/>
      <family val="3"/>
      <charset val="134"/>
    </font>
    <font>
      <b/>
      <sz val="10"/>
      <name val="Arial"/>
      <family val="2"/>
    </font>
    <font>
      <sz val="10"/>
      <name val="宋体"/>
      <family val="3"/>
      <charset val="134"/>
    </font>
    <font>
      <b/>
      <sz val="9"/>
      <color indexed="8"/>
      <name val="Dialog.plain"/>
      <family val="1"/>
    </font>
    <font>
      <b/>
      <sz val="10"/>
      <name val="Arial"/>
      <family val="2"/>
    </font>
    <font>
      <b/>
      <sz val="9"/>
      <color indexed="8"/>
      <name val="宋体"/>
      <family val="3"/>
      <charset val="134"/>
    </font>
    <font>
      <sz val="11"/>
      <name val="宋体"/>
      <family val="3"/>
      <charset val="134"/>
    </font>
    <font>
      <b/>
      <sz val="11"/>
      <name val="宋体"/>
      <family val="3"/>
      <charset val="134"/>
    </font>
    <font>
      <sz val="9"/>
      <color rgb="FF000000"/>
      <name val="仿宋"/>
      <family val="3"/>
      <charset val="134"/>
    </font>
    <font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81536301767021"/>
        <bgColor indexed="64"/>
      </patternFill>
    </fill>
    <fill>
      <patternFill patternType="solid">
        <fgColor indexed="31"/>
        <bgColor indexed="8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indexed="26"/>
        <bgColor indexed="8"/>
      </patternFill>
    </fill>
    <fill>
      <patternFill patternType="solid">
        <fgColor rgb="FFFFFF00"/>
        <bgColor indexed="8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auto="1"/>
      </bottom>
      <diagonal/>
    </border>
    <border>
      <left/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rgb="FF000000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00"/>
      </left>
      <right/>
      <top style="medium">
        <color auto="1"/>
      </top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auto="1"/>
      </right>
      <top/>
      <bottom/>
      <diagonal/>
    </border>
  </borders>
  <cellStyleXfs count="4">
    <xf numFmtId="0" fontId="0" fillId="0" borderId="0"/>
    <xf numFmtId="176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7" fillId="0" borderId="0">
      <alignment vertical="center"/>
    </xf>
  </cellStyleXfs>
  <cellXfs count="179">
    <xf numFmtId="0" fontId="0" fillId="0" borderId="0" xfId="0"/>
    <xf numFmtId="0" fontId="1" fillId="2" borderId="1" xfId="0" applyFont="1" applyFill="1" applyBorder="1" applyAlignment="1">
      <alignment horizontal="justify" wrapText="1"/>
    </xf>
    <xf numFmtId="0" fontId="1" fillId="2" borderId="1" xfId="0" applyFont="1" applyFill="1" applyBorder="1" applyAlignment="1">
      <alignment horizontal="right" wrapText="1"/>
    </xf>
    <xf numFmtId="0" fontId="2" fillId="0" borderId="1" xfId="0" applyFont="1" applyBorder="1" applyAlignment="1">
      <alignment horizontal="justify" wrapText="1"/>
    </xf>
    <xf numFmtId="14" fontId="2" fillId="0" borderId="1" xfId="0" applyNumberFormat="1" applyFont="1" applyBorder="1" applyAlignment="1">
      <alignment horizontal="justify" wrapText="1"/>
    </xf>
    <xf numFmtId="177" fontId="2" fillId="0" borderId="1" xfId="0" applyNumberFormat="1" applyFont="1" applyBorder="1" applyAlignment="1">
      <alignment horizontal="center" vertical="center"/>
    </xf>
    <xf numFmtId="178" fontId="2" fillId="0" borderId="1" xfId="0" applyNumberFormat="1" applyFont="1" applyBorder="1" applyAlignment="1">
      <alignment horizontal="right" wrapText="1"/>
    </xf>
    <xf numFmtId="177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/>
    <xf numFmtId="0" fontId="0" fillId="0" borderId="1" xfId="0" applyBorder="1"/>
    <xf numFmtId="178" fontId="0" fillId="0" borderId="1" xfId="0" applyNumberFormat="1" applyBorder="1"/>
    <xf numFmtId="0" fontId="4" fillId="0" borderId="0" xfId="0" applyFont="1"/>
    <xf numFmtId="0" fontId="3" fillId="0" borderId="0" xfId="0" applyFont="1"/>
    <xf numFmtId="0" fontId="5" fillId="3" borderId="0" xfId="0" applyFont="1" applyFill="1"/>
    <xf numFmtId="49" fontId="5" fillId="0" borderId="0" xfId="0" applyNumberFormat="1" applyFont="1"/>
    <xf numFmtId="0" fontId="0" fillId="3" borderId="0" xfId="0" applyFill="1"/>
    <xf numFmtId="14" fontId="0" fillId="3" borderId="0" xfId="0" applyNumberFormat="1" applyFill="1"/>
    <xf numFmtId="14" fontId="0" fillId="0" borderId="0" xfId="0" applyNumberFormat="1"/>
    <xf numFmtId="0" fontId="0" fillId="0" borderId="2" xfId="0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181" fontId="6" fillId="0" borderId="4" xfId="0" applyNumberFormat="1" applyFont="1" applyBorder="1" applyAlignment="1">
      <alignment horizontal="center" vertical="center" wrapText="1"/>
    </xf>
    <xf numFmtId="182" fontId="6" fillId="0" borderId="4" xfId="0" applyNumberFormat="1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83" fontId="7" fillId="0" borderId="7" xfId="0" applyNumberFormat="1" applyFont="1" applyBorder="1" applyAlignment="1">
      <alignment horizontal="center" vertical="center" wrapText="1"/>
    </xf>
    <xf numFmtId="183" fontId="7" fillId="0" borderId="8" xfId="0" applyNumberFormat="1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83" fontId="7" fillId="0" borderId="10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181" fontId="0" fillId="0" borderId="0" xfId="0" applyNumberFormat="1"/>
    <xf numFmtId="176" fontId="0" fillId="0" borderId="0" xfId="1" applyFont="1"/>
    <xf numFmtId="0" fontId="8" fillId="0" borderId="0" xfId="0" applyFont="1" applyAlignment="1">
      <alignment horizontal="left" vertical="center"/>
    </xf>
    <xf numFmtId="180" fontId="0" fillId="0" borderId="0" xfId="0" applyNumberFormat="1"/>
    <xf numFmtId="0" fontId="9" fillId="0" borderId="7" xfId="0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 wrapText="1"/>
    </xf>
    <xf numFmtId="10" fontId="13" fillId="0" borderId="13" xfId="0" applyNumberFormat="1" applyFont="1" applyBorder="1" applyAlignment="1">
      <alignment horizontal="center" vertical="center" wrapText="1"/>
    </xf>
    <xf numFmtId="57" fontId="0" fillId="0" borderId="0" xfId="0" applyNumberFormat="1" applyAlignment="1">
      <alignment horizontal="center"/>
    </xf>
    <xf numFmtId="57" fontId="0" fillId="4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57" fontId="14" fillId="5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14" fillId="5" borderId="1" xfId="0" applyFont="1" applyFill="1" applyBorder="1" applyAlignment="1">
      <alignment horizontal="center"/>
    </xf>
    <xf numFmtId="0" fontId="15" fillId="0" borderId="0" xfId="0" applyFont="1" applyAlignment="1">
      <alignment horizontal="left" vertical="center"/>
    </xf>
    <xf numFmtId="176" fontId="0" fillId="0" borderId="0" xfId="1" applyFont="1" applyAlignment="1">
      <alignment horizontal="center"/>
    </xf>
    <xf numFmtId="0" fontId="16" fillId="0" borderId="1" xfId="0" applyFont="1" applyBorder="1" applyAlignment="1">
      <alignment horizontal="center" wrapText="1"/>
    </xf>
    <xf numFmtId="178" fontId="17" fillId="0" borderId="1" xfId="1" applyNumberFormat="1" applyFont="1" applyBorder="1" applyAlignment="1">
      <alignment horizontal="right"/>
    </xf>
    <xf numFmtId="0" fontId="5" fillId="0" borderId="0" xfId="0" applyFont="1" applyAlignment="1">
      <alignment horizontal="center" wrapText="1"/>
    </xf>
    <xf numFmtId="176" fontId="0" fillId="0" borderId="0" xfId="1" applyFont="1" applyAlignment="1">
      <alignment horizontal="center" vertical="center"/>
    </xf>
    <xf numFmtId="0" fontId="0" fillId="0" borderId="0" xfId="0" applyAlignment="1">
      <alignment horizontal="center" wrapText="1"/>
    </xf>
    <xf numFmtId="14" fontId="8" fillId="6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4" fontId="8" fillId="0" borderId="1" xfId="0" applyNumberFormat="1" applyFont="1" applyBorder="1" applyAlignment="1" applyProtection="1">
      <alignment horizontal="center" vertical="center"/>
      <protection locked="0"/>
    </xf>
    <xf numFmtId="178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78" fontId="8" fillId="0" borderId="1" xfId="0" applyNumberFormat="1" applyFont="1" applyBorder="1" applyAlignment="1">
      <alignment horizontal="left" vertical="center"/>
    </xf>
    <xf numFmtId="178" fontId="8" fillId="0" borderId="1" xfId="0" applyNumberFormat="1" applyFont="1" applyBorder="1" applyAlignment="1" applyProtection="1">
      <alignment horizontal="center" vertical="center"/>
      <protection locked="0"/>
    </xf>
    <xf numFmtId="178" fontId="8" fillId="0" borderId="1" xfId="0" applyNumberFormat="1" applyFont="1" applyBorder="1" applyAlignment="1" applyProtection="1">
      <alignment horizontal="right" vertical="center"/>
      <protection locked="0"/>
    </xf>
    <xf numFmtId="179" fontId="8" fillId="6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57" fontId="0" fillId="0" borderId="1" xfId="0" applyNumberFormat="1" applyBorder="1"/>
    <xf numFmtId="185" fontId="0" fillId="0" borderId="1" xfId="0" applyNumberFormat="1" applyBorder="1"/>
    <xf numFmtId="0" fontId="19" fillId="7" borderId="1" xfId="0" applyFont="1" applyFill="1" applyBorder="1" applyAlignment="1">
      <alignment horizontal="center" vertical="center"/>
    </xf>
    <xf numFmtId="57" fontId="11" fillId="7" borderId="1" xfId="0" applyNumberFormat="1" applyFont="1" applyFill="1" applyBorder="1" applyAlignment="1">
      <alignment horizontal="center" vertical="center"/>
    </xf>
    <xf numFmtId="176" fontId="0" fillId="8" borderId="1" xfId="1" applyFont="1" applyFill="1" applyBorder="1" applyAlignment="1"/>
    <xf numFmtId="0" fontId="19" fillId="0" borderId="1" xfId="0" applyFont="1" applyBorder="1" applyAlignment="1">
      <alignment horizontal="center" vertical="center"/>
    </xf>
    <xf numFmtId="186" fontId="10" fillId="0" borderId="1" xfId="1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76" fontId="0" fillId="0" borderId="1" xfId="1" applyFont="1" applyBorder="1" applyAlignment="1"/>
    <xf numFmtId="0" fontId="11" fillId="0" borderId="1" xfId="0" applyFont="1" applyBorder="1" applyAlignment="1">
      <alignment horizontal="center" vertical="center"/>
    </xf>
    <xf numFmtId="186" fontId="13" fillId="0" borderId="1" xfId="1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1" fillId="0" borderId="1" xfId="0" applyFont="1" applyBorder="1" applyAlignment="1">
      <alignment horizontal="center" vertical="center" wrapText="1"/>
    </xf>
    <xf numFmtId="185" fontId="11" fillId="7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3" fontId="23" fillId="0" borderId="1" xfId="0" applyNumberFormat="1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186" fontId="23" fillId="0" borderId="1" xfId="0" applyNumberFormat="1" applyFont="1" applyBorder="1" applyAlignment="1">
      <alignment horizontal="center" vertical="center"/>
    </xf>
    <xf numFmtId="10" fontId="23" fillId="0" borderId="1" xfId="2" applyNumberFormat="1" applyFont="1" applyBorder="1" applyAlignment="1">
      <alignment horizontal="center" vertical="center"/>
    </xf>
    <xf numFmtId="186" fontId="23" fillId="0" borderId="1" xfId="1" applyNumberFormat="1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10" fontId="22" fillId="0" borderId="1" xfId="2" applyNumberFormat="1" applyFont="1" applyBorder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3" fontId="23" fillId="0" borderId="0" xfId="0" applyNumberFormat="1" applyFont="1" applyAlignment="1">
      <alignment horizontal="center" vertical="center"/>
    </xf>
    <xf numFmtId="10" fontId="23" fillId="0" borderId="0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9" fontId="0" fillId="0" borderId="0" xfId="2" applyFont="1"/>
    <xf numFmtId="0" fontId="26" fillId="0" borderId="0" xfId="0" applyFont="1"/>
    <xf numFmtId="178" fontId="23" fillId="0" borderId="1" xfId="1" applyNumberFormat="1" applyFont="1" applyBorder="1" applyAlignment="1">
      <alignment horizontal="center" vertical="center"/>
    </xf>
    <xf numFmtId="0" fontId="27" fillId="0" borderId="0" xfId="3">
      <alignment vertical="center"/>
    </xf>
    <xf numFmtId="0" fontId="27" fillId="0" borderId="0" xfId="3" applyAlignment="1">
      <alignment horizontal="center" vertical="center"/>
    </xf>
    <xf numFmtId="0" fontId="28" fillId="7" borderId="1" xfId="3" applyFont="1" applyFill="1" applyBorder="1" applyAlignment="1">
      <alignment horizontal="center" wrapText="1"/>
    </xf>
    <xf numFmtId="14" fontId="29" fillId="9" borderId="1" xfId="3" applyNumberFormat="1" applyFont="1" applyFill="1" applyBorder="1" applyAlignment="1">
      <alignment horizontal="center" wrapText="1"/>
    </xf>
    <xf numFmtId="14" fontId="29" fillId="9" borderId="1" xfId="3" applyNumberFormat="1" applyFont="1" applyFill="1" applyBorder="1" applyAlignment="1">
      <alignment horizontal="center"/>
    </xf>
    <xf numFmtId="0" fontId="28" fillId="0" borderId="1" xfId="3" applyFont="1" applyBorder="1" applyAlignment="1">
      <alignment horizontal="center" wrapText="1"/>
    </xf>
    <xf numFmtId="3" fontId="30" fillId="0" borderId="1" xfId="3" applyNumberFormat="1" applyFont="1" applyBorder="1" applyAlignment="1">
      <alignment horizontal="center" wrapText="1"/>
    </xf>
    <xf numFmtId="0" fontId="31" fillId="10" borderId="0" xfId="3" applyFont="1" applyFill="1">
      <alignment vertical="center"/>
    </xf>
    <xf numFmtId="0" fontId="32" fillId="0" borderId="0" xfId="3" applyFont="1" applyAlignment="1">
      <alignment horizontal="center" wrapText="1"/>
    </xf>
    <xf numFmtId="184" fontId="33" fillId="0" borderId="1" xfId="3" applyNumberFormat="1" applyFont="1" applyBorder="1" applyAlignment="1">
      <alignment horizontal="center" wrapText="1"/>
    </xf>
    <xf numFmtId="10" fontId="33" fillId="0" borderId="1" xfId="2" applyNumberFormat="1" applyFont="1" applyBorder="1" applyAlignment="1">
      <alignment horizontal="center" wrapText="1"/>
    </xf>
    <xf numFmtId="10" fontId="33" fillId="0" borderId="1" xfId="2" applyNumberFormat="1" applyFont="1" applyFill="1" applyBorder="1" applyAlignment="1">
      <alignment horizontal="center" wrapText="1"/>
    </xf>
    <xf numFmtId="10" fontId="33" fillId="0" borderId="1" xfId="3" applyNumberFormat="1" applyFont="1" applyBorder="1" applyAlignment="1">
      <alignment horizontal="center" wrapText="1"/>
    </xf>
    <xf numFmtId="0" fontId="28" fillId="7" borderId="19" xfId="3" applyFont="1" applyFill="1" applyBorder="1" applyAlignment="1">
      <alignment horizontal="center" wrapText="1"/>
    </xf>
    <xf numFmtId="14" fontId="29" fillId="9" borderId="19" xfId="3" applyNumberFormat="1" applyFont="1" applyFill="1" applyBorder="1" applyAlignment="1">
      <alignment horizontal="center" wrapText="1"/>
    </xf>
    <xf numFmtId="179" fontId="34" fillId="0" borderId="22" xfId="0" applyNumberFormat="1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left" vertical="center" wrapText="1"/>
    </xf>
    <xf numFmtId="178" fontId="7" fillId="0" borderId="13" xfId="0" applyNumberFormat="1" applyFont="1" applyBorder="1" applyAlignment="1">
      <alignment horizontal="right" vertical="center"/>
    </xf>
    <xf numFmtId="178" fontId="0" fillId="0" borderId="0" xfId="0" applyNumberFormat="1"/>
    <xf numFmtId="0" fontId="6" fillId="0" borderId="12" xfId="0" applyFont="1" applyBorder="1" applyAlignment="1">
      <alignment horizontal="left" vertical="center" wrapText="1"/>
    </xf>
    <xf numFmtId="0" fontId="35" fillId="0" borderId="0" xfId="0" applyFont="1" applyAlignment="1">
      <alignment horizontal="left" vertical="center"/>
    </xf>
    <xf numFmtId="0" fontId="34" fillId="0" borderId="12" xfId="0" applyFont="1" applyBorder="1" applyAlignment="1">
      <alignment horizontal="left" vertical="center"/>
    </xf>
    <xf numFmtId="178" fontId="7" fillId="0" borderId="13" xfId="2" applyNumberFormat="1" applyFont="1" applyBorder="1" applyAlignment="1">
      <alignment horizontal="right" vertical="center"/>
    </xf>
    <xf numFmtId="178" fontId="7" fillId="8" borderId="13" xfId="0" applyNumberFormat="1" applyFont="1" applyFill="1" applyBorder="1" applyAlignment="1">
      <alignment horizontal="right" vertical="center"/>
    </xf>
    <xf numFmtId="10" fontId="7" fillId="0" borderId="13" xfId="2" applyNumberFormat="1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178" fontId="7" fillId="8" borderId="6" xfId="0" applyNumberFormat="1" applyFont="1" applyFill="1" applyBorder="1" applyAlignment="1">
      <alignment horizontal="right" vertical="center"/>
    </xf>
    <xf numFmtId="0" fontId="34" fillId="0" borderId="1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0" applyNumberFormat="1"/>
    <xf numFmtId="0" fontId="8" fillId="6" borderId="0" xfId="0" applyFont="1" applyFill="1" applyAlignment="1">
      <alignment horizontal="left" vertical="center"/>
    </xf>
    <xf numFmtId="0" fontId="8" fillId="6" borderId="0" xfId="0" applyFont="1" applyFill="1" applyAlignment="1">
      <alignment horizontal="center" vertical="center"/>
    </xf>
    <xf numFmtId="14" fontId="8" fillId="6" borderId="0" xfId="0" applyNumberFormat="1" applyFont="1" applyFill="1" applyAlignment="1">
      <alignment horizontal="center" vertical="center"/>
    </xf>
    <xf numFmtId="179" fontId="8" fillId="6" borderId="0" xfId="0" applyNumberFormat="1" applyFont="1" applyFill="1" applyAlignment="1">
      <alignment horizontal="center" vertical="center"/>
    </xf>
    <xf numFmtId="43" fontId="8" fillId="0" borderId="0" xfId="0" applyNumberFormat="1" applyFont="1" applyAlignment="1">
      <alignment horizontal="right" vertical="center"/>
    </xf>
    <xf numFmtId="4" fontId="8" fillId="0" borderId="0" xfId="0" applyNumberFormat="1" applyFont="1" applyAlignment="1" applyProtection="1">
      <alignment horizontal="right" vertical="center"/>
      <protection locked="0"/>
    </xf>
    <xf numFmtId="43" fontId="36" fillId="0" borderId="0" xfId="0" applyNumberFormat="1" applyFont="1" applyAlignment="1" applyProtection="1">
      <alignment horizontal="right" vertical="center"/>
      <protection locked="0"/>
    </xf>
    <xf numFmtId="43" fontId="37" fillId="0" borderId="0" xfId="0" applyNumberFormat="1" applyFont="1"/>
    <xf numFmtId="4" fontId="8" fillId="8" borderId="0" xfId="0" applyNumberFormat="1" applyFont="1" applyFill="1" applyAlignment="1" applyProtection="1">
      <alignment horizontal="right" vertical="center"/>
      <protection locked="0"/>
    </xf>
    <xf numFmtId="43" fontId="8" fillId="8" borderId="0" xfId="0" applyNumberFormat="1" applyFont="1" applyFill="1" applyAlignment="1" applyProtection="1">
      <alignment horizontal="right" vertical="center"/>
      <protection locked="0"/>
    </xf>
    <xf numFmtId="0" fontId="38" fillId="0" borderId="0" xfId="0" applyFont="1" applyAlignment="1">
      <alignment horizontal="left" vertical="center"/>
    </xf>
    <xf numFmtId="187" fontId="8" fillId="8" borderId="0" xfId="0" applyNumberFormat="1" applyFont="1" applyFill="1" applyAlignment="1" applyProtection="1">
      <alignment horizontal="right" vertical="center"/>
      <protection locked="0"/>
    </xf>
    <xf numFmtId="43" fontId="36" fillId="8" borderId="0" xfId="0" applyNumberFormat="1" applyFont="1" applyFill="1" applyAlignment="1" applyProtection="1">
      <alignment horizontal="right" vertical="center"/>
      <protection locked="0"/>
    </xf>
    <xf numFmtId="187" fontId="8" fillId="0" borderId="0" xfId="0" applyNumberFormat="1" applyFont="1" applyAlignment="1" applyProtection="1">
      <alignment horizontal="right" vertical="center"/>
      <protection locked="0"/>
    </xf>
    <xf numFmtId="187" fontId="36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/>
    <xf numFmtId="187" fontId="0" fillId="12" borderId="0" xfId="0" applyNumberFormat="1" applyFill="1"/>
    <xf numFmtId="43" fontId="0" fillId="12" borderId="0" xfId="0" applyNumberFormat="1" applyFill="1"/>
    <xf numFmtId="0" fontId="39" fillId="0" borderId="0" xfId="0" applyFont="1"/>
    <xf numFmtId="0" fontId="0" fillId="0" borderId="0" xfId="0" applyAlignment="1">
      <alignment vertical="center"/>
    </xf>
    <xf numFmtId="0" fontId="40" fillId="0" borderId="0" xfId="0" applyFont="1"/>
    <xf numFmtId="4" fontId="8" fillId="13" borderId="0" xfId="0" applyNumberFormat="1" applyFont="1" applyFill="1" applyAlignment="1" applyProtection="1">
      <alignment horizontal="right" vertical="center"/>
      <protection locked="0"/>
    </xf>
    <xf numFmtId="0" fontId="41" fillId="0" borderId="0" xfId="0" applyFont="1" applyAlignment="1">
      <alignment horizontal="left" vertical="center"/>
    </xf>
    <xf numFmtId="4" fontId="41" fillId="14" borderId="0" xfId="0" applyNumberFormat="1" applyFont="1" applyFill="1" applyAlignment="1" applyProtection="1">
      <alignment horizontal="right" vertical="center"/>
      <protection locked="0"/>
    </xf>
    <xf numFmtId="0" fontId="42" fillId="0" borderId="0" xfId="0" applyFont="1"/>
    <xf numFmtId="4" fontId="8" fillId="14" borderId="0" xfId="0" applyNumberFormat="1" applyFont="1" applyFill="1" applyAlignment="1" applyProtection="1">
      <alignment horizontal="right" vertical="center"/>
      <protection locked="0"/>
    </xf>
    <xf numFmtId="0" fontId="43" fillId="0" borderId="0" xfId="0" applyFont="1" applyAlignment="1">
      <alignment horizontal="left" vertical="center"/>
    </xf>
    <xf numFmtId="0" fontId="44" fillId="0" borderId="0" xfId="0" applyFont="1"/>
    <xf numFmtId="0" fontId="45" fillId="0" borderId="0" xfId="0" applyFont="1"/>
    <xf numFmtId="188" fontId="44" fillId="0" borderId="0" xfId="0" applyNumberFormat="1" applyFont="1"/>
    <xf numFmtId="189" fontId="44" fillId="0" borderId="0" xfId="0" applyNumberFormat="1" applyFont="1"/>
    <xf numFmtId="0" fontId="34" fillId="11" borderId="12" xfId="0" applyFont="1" applyFill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34" fillId="11" borderId="20" xfId="0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left" vertical="center"/>
    </xf>
    <xf numFmtId="0" fontId="34" fillId="11" borderId="8" xfId="0" applyFont="1" applyFill="1" applyBorder="1" applyAlignment="1">
      <alignment horizontal="center" vertical="center"/>
    </xf>
    <xf numFmtId="0" fontId="34" fillId="0" borderId="20" xfId="0" applyFont="1" applyBorder="1" applyAlignment="1">
      <alignment horizontal="right" vertical="center"/>
    </xf>
    <xf numFmtId="0" fontId="7" fillId="0" borderId="13" xfId="0" applyFont="1" applyBorder="1" applyAlignment="1">
      <alignment horizontal="justify" vertical="center"/>
    </xf>
    <xf numFmtId="0" fontId="28" fillId="0" borderId="14" xfId="3" applyFont="1" applyBorder="1" applyAlignment="1">
      <alignment horizontal="center" wrapText="1"/>
    </xf>
    <xf numFmtId="0" fontId="28" fillId="0" borderId="18" xfId="3" applyFont="1" applyBorder="1" applyAlignment="1">
      <alignment horizontal="center" wrapText="1"/>
    </xf>
    <xf numFmtId="0" fontId="28" fillId="0" borderId="17" xfId="3" applyFont="1" applyBorder="1" applyAlignment="1">
      <alignment horizontal="center" wrapText="1"/>
    </xf>
    <xf numFmtId="0" fontId="28" fillId="0" borderId="16" xfId="3" applyFont="1" applyBorder="1" applyAlignment="1">
      <alignment horizontal="center"/>
    </xf>
    <xf numFmtId="0" fontId="28" fillId="0" borderId="17" xfId="3" applyFont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14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14" fontId="23" fillId="0" borderId="14" xfId="0" applyNumberFormat="1" applyFont="1" applyBorder="1" applyAlignment="1">
      <alignment horizontal="center" vertical="center"/>
    </xf>
    <xf numFmtId="14" fontId="23" fillId="0" borderId="15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</cellXfs>
  <cellStyles count="4">
    <cellStyle name="百分比" xfId="2" builtinId="5"/>
    <cellStyle name="常规" xfId="0" builtinId="0"/>
    <cellStyle name="常规_可行报告财务计算表-yingkougang" xfId="3" xr:uid="{00000000-0005-0000-0000-000031000000}"/>
    <cellStyle name="千位分隔" xfId="1" builtinId="3"/>
  </cellStyles>
  <dxfs count="0"/>
  <tableStyles count="0" defaultTableStyle="TableStyleMedium9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5947;&#22825;&#32511;&#33394;&#33021;&#28304;&#21457;&#23637;&#65288;&#21830;&#27700;&#21439;&#65289;&#26377;&#38480;&#20844;&#21496;_&#35947;&#22825;&#38598;&#22242;&#25253;&#34920;&#20219;&#21153;_2024&#20250;&#35745;&#26399;&#38388;_05&#20250;&#35745;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资产负债表（重分类）"/>
      <sheetName val="利润表"/>
      <sheetName val="现金流量表"/>
    </sheetNames>
    <sheetDataSet>
      <sheetData sheetId="0">
        <row r="6">
          <cell r="D6">
            <v>1214174.25</v>
          </cell>
        </row>
        <row r="10">
          <cell r="D10">
            <v>462426.22</v>
          </cell>
          <cell r="H10">
            <v>393195466.06</v>
          </cell>
        </row>
        <row r="11">
          <cell r="D11">
            <v>372438016.93000001</v>
          </cell>
          <cell r="H11">
            <v>56289.14</v>
          </cell>
        </row>
        <row r="12">
          <cell r="H12">
            <v>1640.75</v>
          </cell>
        </row>
        <row r="13">
          <cell r="H13">
            <v>-10216765.119999999</v>
          </cell>
        </row>
        <row r="14">
          <cell r="D14">
            <v>17521315.260000002</v>
          </cell>
        </row>
        <row r="15">
          <cell r="D15">
            <v>11925832.99</v>
          </cell>
        </row>
        <row r="16">
          <cell r="H16">
            <v>205744098.34</v>
          </cell>
        </row>
        <row r="22">
          <cell r="H22">
            <v>250249366.99000001</v>
          </cell>
        </row>
        <row r="27">
          <cell r="D27">
            <v>502429625.56999999</v>
          </cell>
        </row>
        <row r="28">
          <cell r="D28">
            <v>598226.82999999996</v>
          </cell>
        </row>
        <row r="33">
          <cell r="D33">
            <v>32527388.050000001</v>
          </cell>
        </row>
        <row r="35">
          <cell r="H35">
            <v>100000000</v>
          </cell>
        </row>
        <row r="36">
          <cell r="D36">
            <v>2348851.63</v>
          </cell>
        </row>
        <row r="43">
          <cell r="H43">
            <v>2435761.5699999998</v>
          </cell>
        </row>
      </sheetData>
      <sheetData sheetId="1">
        <row r="5">
          <cell r="D5">
            <v>2707738.89</v>
          </cell>
        </row>
        <row r="6">
          <cell r="D6">
            <v>8042192.75</v>
          </cell>
        </row>
        <row r="7">
          <cell r="D7">
            <v>2278.15</v>
          </cell>
        </row>
        <row r="8">
          <cell r="D8">
            <v>15875.76</v>
          </cell>
        </row>
        <row r="9">
          <cell r="D9">
            <v>418370.89</v>
          </cell>
        </row>
        <row r="10">
          <cell r="D10">
            <v>438</v>
          </cell>
        </row>
        <row r="18">
          <cell r="D18">
            <v>150</v>
          </cell>
        </row>
        <row r="19">
          <cell r="D19">
            <v>0.19</v>
          </cell>
        </row>
      </sheetData>
      <sheetData sheetId="2">
        <row r="6">
          <cell r="D6">
            <v>2740000</v>
          </cell>
        </row>
        <row r="8">
          <cell r="D8">
            <v>5286767.24</v>
          </cell>
        </row>
        <row r="10">
          <cell r="D10">
            <v>5531088.9199999999</v>
          </cell>
        </row>
        <row r="11">
          <cell r="D11">
            <v>272416.07</v>
          </cell>
        </row>
        <row r="12">
          <cell r="D12">
            <v>1603.67</v>
          </cell>
        </row>
        <row r="13">
          <cell r="D13">
            <v>2447900.7200000002</v>
          </cell>
        </row>
        <row r="23">
          <cell r="D23">
            <v>10000</v>
          </cell>
        </row>
        <row r="41">
          <cell r="D41">
            <v>1450416.39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E131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52"/>
    <col min="2" max="5" width="20.5703125" style="152"/>
    <col min="6" max="16384" width="9.140625" style="152"/>
  </cols>
  <sheetData>
    <row r="1" spans="1:5">
      <c r="A1" s="152" t="s">
        <v>0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10</v>
      </c>
    </row>
    <row r="5" spans="1:5">
      <c r="A5" s="152" t="s">
        <v>11</v>
      </c>
      <c r="B5" s="154">
        <v>1971684695.2</v>
      </c>
      <c r="C5" s="154">
        <v>1644387091.55</v>
      </c>
      <c r="D5" s="154">
        <v>3525239782.4099998</v>
      </c>
      <c r="E5" s="154">
        <v>3274422624.23</v>
      </c>
    </row>
    <row r="6" spans="1:5">
      <c r="A6" s="152" t="s">
        <v>12</v>
      </c>
      <c r="B6" s="154">
        <v>1867700</v>
      </c>
      <c r="C6" s="154">
        <v>1561800</v>
      </c>
      <c r="D6" s="154">
        <v>1637800</v>
      </c>
      <c r="E6" s="154">
        <v>1749900</v>
      </c>
    </row>
    <row r="7" spans="1:5">
      <c r="A7" s="152" t="s">
        <v>13</v>
      </c>
    </row>
    <row r="8" spans="1:5">
      <c r="A8" s="152" t="s">
        <v>14</v>
      </c>
      <c r="B8" s="154">
        <v>5248071278.21</v>
      </c>
      <c r="C8" s="154">
        <v>4066756248.5900002</v>
      </c>
      <c r="D8" s="154">
        <v>4368732482.1899996</v>
      </c>
      <c r="E8" s="154">
        <v>4747565171.6999998</v>
      </c>
    </row>
    <row r="9" spans="1:5">
      <c r="A9" s="152" t="s">
        <v>15</v>
      </c>
      <c r="B9" s="154">
        <v>212944184.36000001</v>
      </c>
      <c r="C9" s="154">
        <v>24833328</v>
      </c>
      <c r="D9" s="154">
        <v>94344643.689999998</v>
      </c>
      <c r="E9" s="154">
        <v>145595025.19</v>
      </c>
    </row>
    <row r="10" spans="1:5">
      <c r="A10" s="152" t="s">
        <v>16</v>
      </c>
      <c r="B10" s="154">
        <v>5035127093.8500004</v>
      </c>
      <c r="C10" s="154">
        <v>4041922920.5900002</v>
      </c>
      <c r="D10" s="154">
        <v>4274387838.5</v>
      </c>
      <c r="E10" s="154">
        <v>4601970146.5100002</v>
      </c>
    </row>
    <row r="11" spans="1:5">
      <c r="A11" s="152" t="s">
        <v>17</v>
      </c>
    </row>
    <row r="12" spans="1:5">
      <c r="A12" s="152" t="s">
        <v>18</v>
      </c>
      <c r="B12" s="154">
        <v>5399158.4400000004</v>
      </c>
      <c r="C12" s="154">
        <v>11704460.939999999</v>
      </c>
      <c r="D12" s="154">
        <v>30927129.649999999</v>
      </c>
      <c r="E12" s="154">
        <v>34867756.869999997</v>
      </c>
    </row>
    <row r="13" spans="1:5">
      <c r="A13" s="152" t="s">
        <v>19</v>
      </c>
      <c r="B13" s="154">
        <v>6775908117.7399998</v>
      </c>
      <c r="C13" s="154">
        <v>8322665310.6899996</v>
      </c>
      <c r="D13" s="154">
        <v>8314524146.4899998</v>
      </c>
      <c r="E13" s="154">
        <v>8501476634.0900002</v>
      </c>
    </row>
    <row r="14" spans="1:5">
      <c r="A14" s="152" t="s">
        <v>20</v>
      </c>
    </row>
    <row r="15" spans="1:5">
      <c r="A15" s="152" t="s">
        <v>21</v>
      </c>
      <c r="B15" s="154">
        <v>13303064369.440001</v>
      </c>
      <c r="C15" s="154">
        <v>11540673632.16</v>
      </c>
      <c r="D15" s="154">
        <v>9612453155.3899994</v>
      </c>
      <c r="E15" s="154">
        <v>8839419968.1900005</v>
      </c>
    </row>
    <row r="16" spans="1:5">
      <c r="A16" s="152" t="s">
        <v>22</v>
      </c>
    </row>
    <row r="17" spans="1:5">
      <c r="A17" s="152" t="s">
        <v>23</v>
      </c>
    </row>
    <row r="18" spans="1:5">
      <c r="A18" s="152" t="s">
        <v>24</v>
      </c>
      <c r="B18" s="154">
        <v>2590545.15</v>
      </c>
      <c r="C18" s="154">
        <v>2590545.15</v>
      </c>
      <c r="D18" s="154">
        <v>3242409.77</v>
      </c>
      <c r="E18" s="154">
        <v>762788.56</v>
      </c>
    </row>
    <row r="19" spans="1:5">
      <c r="A19" s="152" t="s">
        <v>25</v>
      </c>
    </row>
    <row r="20" spans="1:5">
      <c r="A20" s="152" t="s">
        <v>26</v>
      </c>
    </row>
    <row r="21" spans="1:5">
      <c r="A21" s="152" t="s">
        <v>27</v>
      </c>
    </row>
    <row r="22" spans="1:5">
      <c r="A22" s="152" t="s">
        <v>28</v>
      </c>
    </row>
    <row r="23" spans="1:5">
      <c r="A23" s="152" t="s">
        <v>29</v>
      </c>
    </row>
    <row r="24" spans="1:5">
      <c r="A24" s="152" t="s">
        <v>30</v>
      </c>
    </row>
    <row r="25" spans="1:5">
      <c r="A25" s="153" t="s">
        <v>31</v>
      </c>
      <c r="B25" s="154">
        <v>27308585864.18</v>
      </c>
      <c r="C25" s="154">
        <v>25590339089.080002</v>
      </c>
      <c r="D25" s="154">
        <v>25856756905.900002</v>
      </c>
      <c r="E25" s="154">
        <v>25400264843.639999</v>
      </c>
    </row>
    <row r="26" spans="1:5">
      <c r="A26" s="153" t="s">
        <v>32</v>
      </c>
    </row>
    <row r="27" spans="1:5">
      <c r="A27" s="152" t="s">
        <v>33</v>
      </c>
    </row>
    <row r="28" spans="1:5">
      <c r="A28" s="152" t="s">
        <v>34</v>
      </c>
    </row>
    <row r="29" spans="1:5">
      <c r="A29" s="152" t="s">
        <v>35</v>
      </c>
    </row>
    <row r="30" spans="1:5">
      <c r="A30" s="152" t="s">
        <v>36</v>
      </c>
    </row>
    <row r="31" spans="1:5">
      <c r="A31" s="152" t="s">
        <v>37</v>
      </c>
    </row>
    <row r="32" spans="1:5">
      <c r="A32" s="152" t="s">
        <v>38</v>
      </c>
      <c r="E32" s="154">
        <v>161072380</v>
      </c>
    </row>
    <row r="33" spans="1:5">
      <c r="A33" s="152" t="s">
        <v>39</v>
      </c>
      <c r="B33" s="154">
        <v>455301273.83999997</v>
      </c>
      <c r="C33" s="154">
        <v>455301273.83999997</v>
      </c>
      <c r="D33" s="154">
        <v>204177380</v>
      </c>
    </row>
    <row r="34" spans="1:5">
      <c r="A34" s="152" t="s">
        <v>40</v>
      </c>
    </row>
    <row r="35" spans="1:5">
      <c r="A35" s="152" t="s">
        <v>41</v>
      </c>
      <c r="B35" s="154">
        <v>30295000</v>
      </c>
      <c r="C35" s="154">
        <v>30295000</v>
      </c>
      <c r="D35" s="154">
        <v>23550001</v>
      </c>
    </row>
    <row r="36" spans="1:5">
      <c r="A36" s="152" t="s">
        <v>42</v>
      </c>
    </row>
    <row r="37" spans="1:5">
      <c r="A37" s="152" t="s">
        <v>43</v>
      </c>
      <c r="B37" s="154">
        <v>549367902.63</v>
      </c>
      <c r="C37" s="154">
        <v>549657918.88</v>
      </c>
      <c r="D37" s="154">
        <v>80923934</v>
      </c>
      <c r="E37" s="154">
        <v>80678934</v>
      </c>
    </row>
    <row r="38" spans="1:5">
      <c r="A38" s="152" t="s">
        <v>44</v>
      </c>
      <c r="B38" s="154">
        <v>4358247750</v>
      </c>
      <c r="C38" s="154">
        <v>4358247750</v>
      </c>
      <c r="D38" s="154">
        <v>4255722350</v>
      </c>
      <c r="E38" s="154">
        <v>3962784824</v>
      </c>
    </row>
    <row r="39" spans="1:5">
      <c r="A39" s="152" t="s">
        <v>45</v>
      </c>
      <c r="B39" s="154">
        <v>343623844.00999999</v>
      </c>
      <c r="C39" s="154">
        <v>335414818.14999998</v>
      </c>
      <c r="D39" s="154">
        <v>442342099.70999998</v>
      </c>
      <c r="E39" s="154">
        <v>461241350.10000002</v>
      </c>
    </row>
    <row r="40" spans="1:5">
      <c r="A40" s="152" t="s">
        <v>46</v>
      </c>
      <c r="B40" s="154">
        <v>343623844.00999999</v>
      </c>
      <c r="C40" s="154">
        <v>335414818.14999998</v>
      </c>
      <c r="D40" s="154">
        <v>442342099.70999998</v>
      </c>
      <c r="E40" s="154">
        <v>461241350.10000002</v>
      </c>
    </row>
    <row r="41" spans="1:5">
      <c r="A41" s="152" t="s">
        <v>47</v>
      </c>
    </row>
    <row r="42" spans="1:5">
      <c r="A42" s="152" t="s">
        <v>48</v>
      </c>
      <c r="B42" s="154">
        <v>1058689932.91</v>
      </c>
      <c r="C42" s="154">
        <v>995990059.13999999</v>
      </c>
      <c r="D42" s="154">
        <v>898885960.53999996</v>
      </c>
      <c r="E42" s="154">
        <v>831507926.99000001</v>
      </c>
    </row>
    <row r="43" spans="1:5">
      <c r="A43" s="152" t="s">
        <v>49</v>
      </c>
    </row>
    <row r="44" spans="1:5">
      <c r="A44" s="152" t="s">
        <v>50</v>
      </c>
    </row>
    <row r="45" spans="1:5">
      <c r="A45" s="152" t="s">
        <v>51</v>
      </c>
    </row>
    <row r="46" spans="1:5">
      <c r="A46" s="152" t="s">
        <v>52</v>
      </c>
      <c r="B46" s="154">
        <v>284163494.89999998</v>
      </c>
      <c r="C46" s="154">
        <v>21897889.93</v>
      </c>
      <c r="D46" s="154">
        <v>22492761.420000002</v>
      </c>
      <c r="E46" s="154">
        <v>23071277.280000001</v>
      </c>
    </row>
    <row r="47" spans="1:5">
      <c r="A47" s="152" t="s">
        <v>53</v>
      </c>
    </row>
    <row r="48" spans="1:5">
      <c r="A48" s="152" t="s">
        <v>54</v>
      </c>
    </row>
    <row r="49" spans="1:5">
      <c r="A49" s="152" t="s">
        <v>55</v>
      </c>
      <c r="B49" s="154">
        <v>2839903.92</v>
      </c>
      <c r="C49" s="154">
        <v>3062157.03</v>
      </c>
      <c r="D49" s="154">
        <v>1970481.55</v>
      </c>
      <c r="E49" s="154">
        <v>2132211.46</v>
      </c>
    </row>
    <row r="50" spans="1:5">
      <c r="A50" s="152" t="s">
        <v>56</v>
      </c>
      <c r="B50" s="154">
        <v>917652.1</v>
      </c>
      <c r="C50" s="154">
        <v>735501.53</v>
      </c>
      <c r="D50" s="154">
        <v>706564.53</v>
      </c>
      <c r="E50" s="154">
        <v>1211348.67</v>
      </c>
    </row>
    <row r="51" spans="1:5">
      <c r="A51" s="152" t="s">
        <v>57</v>
      </c>
    </row>
    <row r="52" spans="1:5">
      <c r="A52" s="152" t="s">
        <v>58</v>
      </c>
    </row>
    <row r="53" spans="1:5">
      <c r="A53" s="152" t="s">
        <v>59</v>
      </c>
    </row>
    <row r="54" spans="1:5">
      <c r="A54" s="153" t="s">
        <v>60</v>
      </c>
      <c r="B54" s="154">
        <v>7083446754.3100004</v>
      </c>
      <c r="C54" s="154">
        <v>6750602368.5</v>
      </c>
      <c r="D54" s="154">
        <v>5930771532.75</v>
      </c>
      <c r="E54" s="154">
        <v>5523700252.5</v>
      </c>
    </row>
    <row r="55" spans="1:5">
      <c r="A55" s="152" t="s">
        <v>61</v>
      </c>
    </row>
    <row r="56" spans="1:5">
      <c r="A56" s="152" t="s">
        <v>62</v>
      </c>
    </row>
    <row r="57" spans="1:5">
      <c r="A57" s="153" t="s">
        <v>63</v>
      </c>
      <c r="B57" s="154">
        <v>34392032618.489998</v>
      </c>
      <c r="C57" s="154">
        <v>32340941457.580002</v>
      </c>
      <c r="D57" s="154">
        <v>31787528438.650002</v>
      </c>
      <c r="E57" s="154">
        <v>30923965096.139999</v>
      </c>
    </row>
    <row r="58" spans="1:5">
      <c r="A58" s="153" t="s">
        <v>64</v>
      </c>
    </row>
    <row r="59" spans="1:5">
      <c r="A59" s="152" t="s">
        <v>65</v>
      </c>
      <c r="B59" s="154">
        <v>1855000000</v>
      </c>
      <c r="C59" s="154">
        <v>1136900000</v>
      </c>
      <c r="D59" s="154">
        <v>1061500000</v>
      </c>
      <c r="E59" s="154">
        <v>863000000</v>
      </c>
    </row>
    <row r="60" spans="1:5">
      <c r="A60" s="152" t="s">
        <v>66</v>
      </c>
    </row>
    <row r="61" spans="1:5">
      <c r="A61" s="152" t="s">
        <v>67</v>
      </c>
    </row>
    <row r="62" spans="1:5">
      <c r="A62" s="152" t="s">
        <v>68</v>
      </c>
      <c r="B62" s="154">
        <v>674143373.15999997</v>
      </c>
      <c r="C62" s="154">
        <v>745011335.40999997</v>
      </c>
      <c r="D62" s="154">
        <v>982811067.04999995</v>
      </c>
      <c r="E62" s="154">
        <v>1072093443.8</v>
      </c>
    </row>
    <row r="63" spans="1:5">
      <c r="A63" s="152" t="s">
        <v>69</v>
      </c>
      <c r="B63" s="154">
        <v>23880393.780000001</v>
      </c>
      <c r="C63" s="154">
        <v>17451125.289999999</v>
      </c>
      <c r="D63" s="154">
        <v>5181717.6500000004</v>
      </c>
      <c r="E63" s="154">
        <v>49509857.18</v>
      </c>
    </row>
    <row r="64" spans="1:5">
      <c r="A64" s="152" t="s">
        <v>70</v>
      </c>
      <c r="B64" s="154">
        <v>1111107.5900000001</v>
      </c>
      <c r="C64" s="154">
        <v>3274922.39</v>
      </c>
      <c r="D64" s="154">
        <v>29674290.289999999</v>
      </c>
    </row>
    <row r="65" spans="1:5">
      <c r="A65" s="152" t="s">
        <v>71</v>
      </c>
    </row>
    <row r="66" spans="1:5">
      <c r="A66" s="152" t="s">
        <v>72</v>
      </c>
      <c r="B66" s="154">
        <v>170284.11</v>
      </c>
      <c r="C66" s="154">
        <v>2443278.5299999998</v>
      </c>
      <c r="D66" s="154">
        <v>1978314.29</v>
      </c>
      <c r="E66" s="154">
        <v>14430</v>
      </c>
    </row>
    <row r="67" spans="1:5">
      <c r="A67" s="152" t="s">
        <v>73</v>
      </c>
      <c r="B67" s="154">
        <v>467158140.51999998</v>
      </c>
      <c r="C67" s="154">
        <v>451671818.11000001</v>
      </c>
      <c r="D67" s="154">
        <v>426918988.92000002</v>
      </c>
      <c r="E67" s="154">
        <v>411794944.43000001</v>
      </c>
    </row>
    <row r="68" spans="1:5">
      <c r="A68" s="152" t="s">
        <v>74</v>
      </c>
      <c r="B68" s="154">
        <v>73305187.810000002</v>
      </c>
      <c r="C68" s="154">
        <v>100254744.68000001</v>
      </c>
      <c r="D68" s="154">
        <v>61084509.439999998</v>
      </c>
      <c r="E68" s="154">
        <v>179912689.63</v>
      </c>
    </row>
    <row r="69" spans="1:5">
      <c r="A69" s="152" t="s">
        <v>75</v>
      </c>
    </row>
    <row r="70" spans="1:5">
      <c r="A70" s="152" t="s">
        <v>76</v>
      </c>
      <c r="B70" s="154">
        <v>3405846696.8099999</v>
      </c>
      <c r="C70" s="154">
        <v>2365430991.5500002</v>
      </c>
      <c r="D70" s="154">
        <v>1735451140.4200001</v>
      </c>
      <c r="E70" s="154">
        <v>3570289200</v>
      </c>
    </row>
    <row r="71" spans="1:5">
      <c r="A71" s="152" t="s">
        <v>77</v>
      </c>
    </row>
    <row r="72" spans="1:5">
      <c r="A72" s="152" t="s">
        <v>78</v>
      </c>
    </row>
    <row r="73" spans="1:5">
      <c r="A73" s="152" t="s">
        <v>79</v>
      </c>
    </row>
    <row r="74" spans="1:5">
      <c r="A74" s="152" t="s">
        <v>80</v>
      </c>
      <c r="B74" s="154">
        <v>500052818.48000002</v>
      </c>
      <c r="C74" s="154">
        <v>500163624.80000001</v>
      </c>
      <c r="D74" s="154">
        <v>502194006.69999999</v>
      </c>
    </row>
    <row r="75" spans="1:5">
      <c r="A75" s="152" t="s">
        <v>81</v>
      </c>
    </row>
    <row r="76" spans="1:5">
      <c r="A76" s="152" t="s">
        <v>82</v>
      </c>
    </row>
    <row r="77" spans="1:5">
      <c r="A77" s="152" t="s">
        <v>83</v>
      </c>
    </row>
    <row r="78" spans="1:5">
      <c r="A78" s="153" t="s">
        <v>84</v>
      </c>
      <c r="B78" s="154">
        <v>7000668002.2600002</v>
      </c>
      <c r="C78" s="154">
        <v>5322601840.7600002</v>
      </c>
      <c r="D78" s="154">
        <v>4806794034.7600002</v>
      </c>
      <c r="E78" s="154">
        <v>6146614565.04</v>
      </c>
    </row>
    <row r="79" spans="1:5">
      <c r="A79" s="153" t="s">
        <v>85</v>
      </c>
    </row>
    <row r="80" spans="1:5">
      <c r="A80" s="152" t="s">
        <v>86</v>
      </c>
      <c r="B80" s="154">
        <v>11711339500</v>
      </c>
      <c r="C80" s="154">
        <v>10619019100</v>
      </c>
      <c r="D80" s="154">
        <v>10820969300</v>
      </c>
      <c r="E80" s="154">
        <v>11324293265</v>
      </c>
    </row>
    <row r="81" spans="1:5">
      <c r="A81" s="152" t="s">
        <v>87</v>
      </c>
      <c r="B81" s="154">
        <v>1629235030.28</v>
      </c>
      <c r="C81" s="154">
        <v>2529125115.1300001</v>
      </c>
      <c r="D81" s="154">
        <v>2690000000</v>
      </c>
      <c r="E81" s="154">
        <v>1290000000</v>
      </c>
    </row>
    <row r="82" spans="1:5">
      <c r="A82" s="152" t="s">
        <v>88</v>
      </c>
    </row>
    <row r="83" spans="1:5">
      <c r="A83" s="152" t="s">
        <v>89</v>
      </c>
    </row>
    <row r="84" spans="1:5">
      <c r="A84" s="152" t="s">
        <v>90</v>
      </c>
    </row>
    <row r="85" spans="1:5">
      <c r="A85" s="152" t="s">
        <v>91</v>
      </c>
    </row>
    <row r="86" spans="1:5">
      <c r="A86" s="152" t="s">
        <v>92</v>
      </c>
      <c r="B86" s="154">
        <v>309884594.05000001</v>
      </c>
      <c r="C86" s="154">
        <v>309907869.05000001</v>
      </c>
      <c r="D86" s="154">
        <v>303410975.49000001</v>
      </c>
      <c r="E86" s="154">
        <v>299089463.99000001</v>
      </c>
    </row>
    <row r="87" spans="1:5">
      <c r="A87" s="152" t="s">
        <v>93</v>
      </c>
    </row>
    <row r="88" spans="1:5">
      <c r="A88" s="152" t="s">
        <v>94</v>
      </c>
    </row>
    <row r="89" spans="1:5">
      <c r="A89" s="152" t="s">
        <v>95</v>
      </c>
    </row>
    <row r="90" spans="1:5">
      <c r="A90" s="152" t="s">
        <v>96</v>
      </c>
    </row>
    <row r="91" spans="1:5">
      <c r="A91" s="153" t="s">
        <v>97</v>
      </c>
      <c r="B91" s="154">
        <v>13650459124.33</v>
      </c>
      <c r="C91" s="154">
        <v>13458052084.18</v>
      </c>
      <c r="D91" s="154">
        <v>13814380275.49</v>
      </c>
      <c r="E91" s="154">
        <v>12913382728.99</v>
      </c>
    </row>
    <row r="92" spans="1:5">
      <c r="A92" s="152" t="s">
        <v>98</v>
      </c>
    </row>
    <row r="93" spans="1:5">
      <c r="A93" s="152" t="s">
        <v>99</v>
      </c>
    </row>
    <row r="94" spans="1:5">
      <c r="A94" s="153" t="s">
        <v>100</v>
      </c>
      <c r="B94" s="154">
        <v>20651127126.59</v>
      </c>
      <c r="C94" s="154">
        <v>18780653924.939999</v>
      </c>
      <c r="D94" s="154">
        <v>18621174310.25</v>
      </c>
      <c r="E94" s="154">
        <v>19059997294.029999</v>
      </c>
    </row>
    <row r="95" spans="1:5">
      <c r="A95" s="153" t="s">
        <v>101</v>
      </c>
    </row>
    <row r="96" spans="1:5">
      <c r="A96" s="152" t="s">
        <v>102</v>
      </c>
      <c r="B96" s="154">
        <v>5000000000</v>
      </c>
      <c r="C96" s="154">
        <v>5000000000</v>
      </c>
      <c r="D96" s="154">
        <v>5000000000</v>
      </c>
      <c r="E96" s="154">
        <v>5000000000</v>
      </c>
    </row>
    <row r="97" spans="1:5">
      <c r="A97" s="152" t="s">
        <v>103</v>
      </c>
    </row>
    <row r="98" spans="1:5">
      <c r="A98" s="152" t="s">
        <v>104</v>
      </c>
    </row>
    <row r="99" spans="1:5">
      <c r="A99" s="152" t="s">
        <v>105</v>
      </c>
    </row>
    <row r="100" spans="1:5">
      <c r="A100" s="152" t="s">
        <v>106</v>
      </c>
      <c r="B100" s="154">
        <v>5112102959.0200005</v>
      </c>
      <c r="C100" s="154">
        <v>5112102959.0200005</v>
      </c>
      <c r="D100" s="154">
        <v>5112975470.1999998</v>
      </c>
      <c r="E100" s="154">
        <v>4206123659.8800001</v>
      </c>
    </row>
    <row r="101" spans="1:5">
      <c r="A101" s="152" t="s">
        <v>107</v>
      </c>
    </row>
    <row r="102" spans="1:5">
      <c r="A102" s="152" t="s">
        <v>108</v>
      </c>
      <c r="B102" s="154">
        <v>1121080.68</v>
      </c>
      <c r="C102" s="154">
        <v>1121080.68</v>
      </c>
    </row>
    <row r="103" spans="1:5">
      <c r="A103" s="152" t="s">
        <v>109</v>
      </c>
    </row>
    <row r="104" spans="1:5">
      <c r="A104" s="152" t="s">
        <v>110</v>
      </c>
      <c r="B104" s="154">
        <v>73594417.200000003</v>
      </c>
      <c r="C104" s="154">
        <v>73594417.200000003</v>
      </c>
      <c r="D104" s="154">
        <v>63625119.780000001</v>
      </c>
      <c r="E104" s="154">
        <v>53461949.119999997</v>
      </c>
    </row>
    <row r="105" spans="1:5">
      <c r="A105" s="152" t="s">
        <v>111</v>
      </c>
    </row>
    <row r="106" spans="1:5">
      <c r="A106" s="152" t="s">
        <v>112</v>
      </c>
      <c r="B106" s="154">
        <v>2914776287.8000002</v>
      </c>
      <c r="C106" s="154">
        <v>2737926005.0700002</v>
      </c>
      <c r="D106" s="154">
        <v>2393279836.21</v>
      </c>
      <c r="E106" s="154">
        <v>2051239103.95</v>
      </c>
    </row>
    <row r="107" spans="1:5">
      <c r="A107" s="152" t="s">
        <v>113</v>
      </c>
    </row>
    <row r="108" spans="1:5">
      <c r="A108" s="152" t="s">
        <v>114</v>
      </c>
    </row>
    <row r="109" spans="1:5">
      <c r="A109" s="152" t="s">
        <v>115</v>
      </c>
    </row>
    <row r="110" spans="1:5">
      <c r="A110" s="152" t="s">
        <v>116</v>
      </c>
    </row>
    <row r="111" spans="1:5">
      <c r="A111" s="153" t="s">
        <v>117</v>
      </c>
      <c r="B111" s="154">
        <v>13101594744.700001</v>
      </c>
      <c r="C111" s="154">
        <v>12924744461.969999</v>
      </c>
      <c r="D111" s="154">
        <v>12569880426.190001</v>
      </c>
      <c r="E111" s="154">
        <v>11310824712.950001</v>
      </c>
    </row>
    <row r="112" spans="1:5">
      <c r="A112" s="152" t="s">
        <v>118</v>
      </c>
      <c r="B112" s="154">
        <v>639310747.20000005</v>
      </c>
      <c r="C112" s="154">
        <v>635543070.66999996</v>
      </c>
      <c r="D112" s="154">
        <v>596473702.21000004</v>
      </c>
      <c r="E112" s="154">
        <v>553143089.15999997</v>
      </c>
    </row>
    <row r="113" spans="1:5">
      <c r="A113" s="153" t="s">
        <v>119</v>
      </c>
      <c r="B113" s="154">
        <v>13740905491.9</v>
      </c>
      <c r="C113" s="154">
        <v>13560287532.639999</v>
      </c>
      <c r="D113" s="154">
        <v>13166354128.4</v>
      </c>
      <c r="E113" s="154">
        <v>11863967802.110001</v>
      </c>
    </row>
    <row r="114" spans="1:5">
      <c r="A114" s="152" t="s">
        <v>120</v>
      </c>
    </row>
    <row r="115" spans="1:5">
      <c r="A115" s="152" t="s">
        <v>121</v>
      </c>
    </row>
    <row r="116" spans="1:5">
      <c r="A116" s="152" t="s">
        <v>122</v>
      </c>
      <c r="B116" s="154">
        <v>34392032618.489998</v>
      </c>
      <c r="C116" s="154">
        <v>32340941457.580002</v>
      </c>
      <c r="D116" s="154">
        <v>31787528438.650002</v>
      </c>
      <c r="E116" s="154">
        <v>30923965096.139999</v>
      </c>
    </row>
    <row r="117" spans="1:5">
      <c r="A117" s="152" t="s">
        <v>123</v>
      </c>
      <c r="B117" s="152" t="s">
        <v>124</v>
      </c>
      <c r="C117" s="152" t="s">
        <v>124</v>
      </c>
      <c r="D117" s="152" t="s">
        <v>124</v>
      </c>
      <c r="E117" s="152" t="s">
        <v>124</v>
      </c>
    </row>
    <row r="118" spans="1:5">
      <c r="A118" s="152" t="s">
        <v>125</v>
      </c>
      <c r="B118" s="152" t="s">
        <v>124</v>
      </c>
      <c r="C118" s="152" t="s">
        <v>124</v>
      </c>
      <c r="D118" s="152" t="s">
        <v>124</v>
      </c>
      <c r="E118" s="152" t="s">
        <v>124</v>
      </c>
    </row>
    <row r="119" spans="1:5">
      <c r="A119" s="152" t="s">
        <v>126</v>
      </c>
      <c r="B119" s="155">
        <v>1</v>
      </c>
      <c r="C119" s="155">
        <v>1</v>
      </c>
      <c r="D119" s="155">
        <v>1</v>
      </c>
      <c r="E119" s="155">
        <v>1</v>
      </c>
    </row>
    <row r="120" spans="1:5">
      <c r="A120" s="152" t="s">
        <v>127</v>
      </c>
      <c r="B120" s="152" t="s">
        <v>128</v>
      </c>
      <c r="C120" s="152" t="s">
        <v>128</v>
      </c>
      <c r="D120" s="152" t="s">
        <v>128</v>
      </c>
      <c r="E120" s="152" t="s">
        <v>128</v>
      </c>
    </row>
    <row r="121" spans="1:5">
      <c r="A121" s="152" t="s">
        <v>129</v>
      </c>
      <c r="D121" s="154">
        <v>25</v>
      </c>
    </row>
    <row r="122" spans="1:5">
      <c r="A122" s="152" t="s">
        <v>130</v>
      </c>
    </row>
    <row r="123" spans="1:5">
      <c r="A123" s="152" t="s">
        <v>131</v>
      </c>
      <c r="C123" s="152" t="s">
        <v>132</v>
      </c>
      <c r="D123" s="152" t="s">
        <v>132</v>
      </c>
      <c r="E123" s="152" t="s">
        <v>132</v>
      </c>
    </row>
    <row r="124" spans="1:5">
      <c r="A124" s="152" t="s">
        <v>133</v>
      </c>
    </row>
    <row r="125" spans="1:5">
      <c r="A125" s="152" t="s">
        <v>134</v>
      </c>
    </row>
    <row r="126" spans="1:5">
      <c r="A126" s="152" t="s">
        <v>135</v>
      </c>
    </row>
    <row r="127" spans="1:5">
      <c r="A127" s="152" t="s">
        <v>136</v>
      </c>
      <c r="B127" s="152" t="s">
        <v>137</v>
      </c>
      <c r="C127" s="152" t="s">
        <v>138</v>
      </c>
      <c r="D127" s="152" t="s">
        <v>139</v>
      </c>
      <c r="E127" s="152" t="s">
        <v>140</v>
      </c>
    </row>
    <row r="128" spans="1:5">
      <c r="A128" s="152" t="s">
        <v>141</v>
      </c>
      <c r="B128" s="152" t="s">
        <v>142</v>
      </c>
      <c r="C128" s="152" t="s">
        <v>142</v>
      </c>
      <c r="D128" s="152" t="s">
        <v>142</v>
      </c>
      <c r="E128" s="152" t="s">
        <v>142</v>
      </c>
    </row>
    <row r="131" spans="1:1">
      <c r="A131" s="152" t="s">
        <v>143</v>
      </c>
    </row>
  </sheetData>
  <phoneticPr fontId="47" type="noConversion"/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66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67.140625" style="152"/>
    <col min="2" max="5" width="19.42578125" style="152"/>
    <col min="6" max="16384" width="9.140625" style="152"/>
  </cols>
  <sheetData>
    <row r="1" spans="1:5">
      <c r="A1" s="152" t="s">
        <v>144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145</v>
      </c>
      <c r="B4" s="154">
        <v>1152767947.3900001</v>
      </c>
      <c r="C4" s="154">
        <v>2311679078.3000002</v>
      </c>
      <c r="D4" s="154">
        <v>2314271461.3000002</v>
      </c>
      <c r="E4" s="154">
        <v>2221450533.8200002</v>
      </c>
    </row>
    <row r="5" spans="1:5">
      <c r="A5" s="152" t="s">
        <v>146</v>
      </c>
      <c r="B5" s="154">
        <v>1152767947.3900001</v>
      </c>
      <c r="C5" s="154">
        <v>2311679078.3000002</v>
      </c>
      <c r="D5" s="154">
        <v>2314271461.3000002</v>
      </c>
      <c r="E5" s="154">
        <v>2221450533.8200002</v>
      </c>
    </row>
    <row r="6" spans="1:5">
      <c r="A6" s="152" t="s">
        <v>147</v>
      </c>
    </row>
    <row r="7" spans="1:5">
      <c r="A7" s="153" t="s">
        <v>148</v>
      </c>
      <c r="B7" s="154">
        <v>1058375385.26</v>
      </c>
      <c r="C7" s="154">
        <v>2123514528.0999999</v>
      </c>
      <c r="D7" s="154">
        <v>2089439650.1199999</v>
      </c>
      <c r="E7" s="154">
        <v>2047348948.6300001</v>
      </c>
    </row>
    <row r="8" spans="1:5">
      <c r="A8" s="152" t="s">
        <v>149</v>
      </c>
      <c r="B8" s="154">
        <v>997805867.38</v>
      </c>
      <c r="C8" s="154">
        <v>1993923949.24</v>
      </c>
      <c r="D8" s="154">
        <v>1938238326.27</v>
      </c>
      <c r="E8" s="154">
        <v>1916787101.6500001</v>
      </c>
    </row>
    <row r="9" spans="1:5">
      <c r="A9" s="152" t="s">
        <v>150</v>
      </c>
      <c r="B9" s="154">
        <v>8892612.5600000005</v>
      </c>
      <c r="C9" s="154">
        <v>21775337.57</v>
      </c>
      <c r="D9" s="154">
        <v>25224846.260000002</v>
      </c>
      <c r="E9" s="154">
        <v>21428259.449999999</v>
      </c>
    </row>
    <row r="10" spans="1:5">
      <c r="A10" s="152" t="s">
        <v>151</v>
      </c>
      <c r="B10" s="154">
        <v>1469863.33</v>
      </c>
      <c r="C10" s="154">
        <v>1937914.65</v>
      </c>
      <c r="D10" s="154">
        <v>1713769</v>
      </c>
      <c r="E10" s="154">
        <v>1224615.1599999999</v>
      </c>
    </row>
    <row r="11" spans="1:5">
      <c r="A11" s="152" t="s">
        <v>152</v>
      </c>
      <c r="B11" s="154">
        <v>56081912.210000001</v>
      </c>
      <c r="C11" s="154">
        <v>114770889.41</v>
      </c>
      <c r="D11" s="154">
        <v>129373343.88</v>
      </c>
      <c r="E11" s="154">
        <v>115760906.81999999</v>
      </c>
    </row>
    <row r="12" spans="1:5">
      <c r="A12" s="152" t="s">
        <v>153</v>
      </c>
    </row>
    <row r="13" spans="1:5">
      <c r="A13" s="152" t="s">
        <v>154</v>
      </c>
      <c r="B13" s="154">
        <v>-5874870.2199999997</v>
      </c>
      <c r="C13" s="154">
        <v>-8893562.7699999996</v>
      </c>
      <c r="D13" s="154">
        <v>-5110635.29</v>
      </c>
      <c r="E13" s="154">
        <v>-7851934.4500000002</v>
      </c>
    </row>
    <row r="14" spans="1:5">
      <c r="A14" s="152" t="s">
        <v>155</v>
      </c>
      <c r="B14" s="154">
        <v>7920541.3499999996</v>
      </c>
      <c r="C14" s="154">
        <v>17656979.57</v>
      </c>
      <c r="D14" s="154">
        <v>6803683.6500000004</v>
      </c>
      <c r="E14" s="154">
        <v>6714085.2699999996</v>
      </c>
    </row>
    <row r="15" spans="1:5">
      <c r="A15" s="152" t="s">
        <v>156</v>
      </c>
      <c r="B15" s="154">
        <v>14914657.52</v>
      </c>
      <c r="C15" s="154">
        <v>36979824.759999998</v>
      </c>
      <c r="D15" s="154">
        <v>17400177.75</v>
      </c>
      <c r="E15" s="154">
        <v>19201696.719999999</v>
      </c>
    </row>
    <row r="16" spans="1:5">
      <c r="A16" s="152" t="s">
        <v>157</v>
      </c>
    </row>
    <row r="17" spans="1:5">
      <c r="A17" s="152" t="s">
        <v>158</v>
      </c>
      <c r="B17" s="154">
        <v>84500000</v>
      </c>
      <c r="C17" s="154">
        <v>181237224.34999999</v>
      </c>
      <c r="D17" s="154">
        <v>179032787.63999999</v>
      </c>
      <c r="E17" s="154">
        <v>179064093</v>
      </c>
    </row>
    <row r="18" spans="1:5">
      <c r="A18" s="152" t="s">
        <v>159</v>
      </c>
      <c r="B18" s="154">
        <v>1203278.29</v>
      </c>
      <c r="C18" s="154">
        <v>1515042.18</v>
      </c>
      <c r="D18" s="154">
        <v>330357.83</v>
      </c>
      <c r="E18" s="154">
        <v>55609044.960000001</v>
      </c>
    </row>
    <row r="19" spans="1:5">
      <c r="A19" s="152" t="s">
        <v>160</v>
      </c>
    </row>
    <row r="20" spans="1:5">
      <c r="A20" s="152" t="s">
        <v>161</v>
      </c>
    </row>
    <row r="21" spans="1:5">
      <c r="A21" s="152" t="s">
        <v>162</v>
      </c>
    </row>
    <row r="22" spans="1:5">
      <c r="A22" s="152" t="s">
        <v>163</v>
      </c>
      <c r="B22" s="154">
        <v>305900</v>
      </c>
      <c r="C22" s="154">
        <v>24340800</v>
      </c>
      <c r="D22" s="154">
        <v>17156846</v>
      </c>
      <c r="E22" s="154">
        <v>6542299</v>
      </c>
    </row>
    <row r="23" spans="1:5">
      <c r="A23" s="152" t="s">
        <v>164</v>
      </c>
      <c r="E23" s="154">
        <v>-720657.94</v>
      </c>
    </row>
    <row r="24" spans="1:5">
      <c r="A24" s="152" t="s">
        <v>165</v>
      </c>
      <c r="B24" s="154">
        <v>-515802.27</v>
      </c>
      <c r="C24" s="154">
        <v>-115747.94</v>
      </c>
      <c r="D24" s="154">
        <v>1924136.48</v>
      </c>
    </row>
    <row r="25" spans="1:5">
      <c r="A25" s="152" t="s">
        <v>166</v>
      </c>
      <c r="C25" s="154">
        <v>925366.15</v>
      </c>
      <c r="D25" s="154">
        <v>-1424081.07</v>
      </c>
    </row>
    <row r="26" spans="1:5">
      <c r="A26" s="152" t="s">
        <v>167</v>
      </c>
    </row>
    <row r="27" spans="1:5">
      <c r="A27" s="152" t="s">
        <v>168</v>
      </c>
    </row>
    <row r="28" spans="1:5">
      <c r="A28" s="152" t="s">
        <v>169</v>
      </c>
    </row>
    <row r="29" spans="1:5">
      <c r="A29" s="153" t="s">
        <v>170</v>
      </c>
      <c r="B29" s="154">
        <v>179885938.15000001</v>
      </c>
      <c r="C29" s="154">
        <v>396067234.94</v>
      </c>
      <c r="D29" s="154">
        <v>421851858.06</v>
      </c>
      <c r="E29" s="154">
        <v>414596364.20999998</v>
      </c>
    </row>
    <row r="30" spans="1:5">
      <c r="A30" s="152" t="s">
        <v>171</v>
      </c>
      <c r="B30" s="154">
        <v>3159408.51</v>
      </c>
      <c r="C30" s="154">
        <v>24891248.920000002</v>
      </c>
      <c r="D30" s="154">
        <v>10368861.98</v>
      </c>
      <c r="E30" s="154">
        <v>3214830.28</v>
      </c>
    </row>
    <row r="31" spans="1:5">
      <c r="A31" s="152" t="s">
        <v>172</v>
      </c>
      <c r="B31" s="154">
        <v>939695.16</v>
      </c>
      <c r="C31" s="154">
        <v>9085871.4600000009</v>
      </c>
      <c r="D31" s="154">
        <v>2963708.82</v>
      </c>
      <c r="E31" s="154">
        <v>524551.9</v>
      </c>
    </row>
    <row r="32" spans="1:5">
      <c r="A32" s="152" t="s">
        <v>173</v>
      </c>
    </row>
    <row r="33" spans="1:5">
      <c r="A33" s="152" t="s">
        <v>174</v>
      </c>
    </row>
    <row r="34" spans="1:5">
      <c r="A34" s="152" t="s">
        <v>175</v>
      </c>
    </row>
    <row r="35" spans="1:5">
      <c r="A35" s="153" t="s">
        <v>176</v>
      </c>
      <c r="B35" s="154">
        <v>182105651.5</v>
      </c>
      <c r="C35" s="154">
        <v>411872612.39999998</v>
      </c>
      <c r="D35" s="154">
        <v>429257011.22000003</v>
      </c>
      <c r="E35" s="154">
        <v>417286642.58999997</v>
      </c>
    </row>
    <row r="36" spans="1:5">
      <c r="A36" s="152" t="s">
        <v>177</v>
      </c>
      <c r="B36" s="154">
        <v>1487692.24</v>
      </c>
      <c r="C36" s="154">
        <v>18387777.68</v>
      </c>
      <c r="D36" s="154">
        <v>34457495.25</v>
      </c>
      <c r="E36" s="154">
        <v>33984825.780000001</v>
      </c>
    </row>
    <row r="37" spans="1:5">
      <c r="A37" s="152" t="s">
        <v>178</v>
      </c>
    </row>
    <row r="38" spans="1:5">
      <c r="A38" s="152" t="s">
        <v>179</v>
      </c>
    </row>
    <row r="39" spans="1:5">
      <c r="A39" s="152" t="s">
        <v>180</v>
      </c>
    </row>
    <row r="40" spans="1:5">
      <c r="A40" s="153" t="s">
        <v>181</v>
      </c>
      <c r="B40" s="154">
        <v>180617959.25999999</v>
      </c>
      <c r="C40" s="154">
        <v>393484834.72000003</v>
      </c>
      <c r="D40" s="154">
        <v>394799515.97000003</v>
      </c>
      <c r="E40" s="154">
        <v>383301816.81</v>
      </c>
    </row>
    <row r="41" spans="1:5">
      <c r="A41" s="152" t="s">
        <v>182</v>
      </c>
      <c r="B41" s="154">
        <v>180617959.25999999</v>
      </c>
      <c r="C41" s="154">
        <v>393484834.72000003</v>
      </c>
      <c r="D41" s="154">
        <v>394799515.97000003</v>
      </c>
      <c r="E41" s="154">
        <v>383301816.81</v>
      </c>
    </row>
    <row r="42" spans="1:5">
      <c r="A42" s="152" t="s">
        <v>183</v>
      </c>
    </row>
    <row r="43" spans="1:5">
      <c r="A43" s="152" t="s">
        <v>184</v>
      </c>
      <c r="B43" s="154">
        <v>3767676.53</v>
      </c>
      <c r="C43" s="154">
        <v>38869368.439999998</v>
      </c>
      <c r="D43" s="154">
        <v>42595613.049999997</v>
      </c>
      <c r="E43" s="154">
        <v>24613295.780000001</v>
      </c>
    </row>
    <row r="44" spans="1:5">
      <c r="A44" s="152" t="s">
        <v>185</v>
      </c>
      <c r="B44" s="154">
        <v>176850282.72999999</v>
      </c>
      <c r="C44" s="154">
        <v>354615466.27999997</v>
      </c>
      <c r="D44" s="154">
        <v>352203902.92000002</v>
      </c>
      <c r="E44" s="154">
        <v>358688521.02999997</v>
      </c>
    </row>
    <row r="45" spans="1:5">
      <c r="A45" s="152" t="s">
        <v>186</v>
      </c>
      <c r="C45" s="154">
        <v>1121080.68</v>
      </c>
    </row>
    <row r="46" spans="1:5">
      <c r="A46" s="153" t="s">
        <v>187</v>
      </c>
      <c r="B46" s="154">
        <v>180617959.25999999</v>
      </c>
      <c r="C46" s="154">
        <v>394605915.39999998</v>
      </c>
      <c r="D46" s="154">
        <v>394799515.97000003</v>
      </c>
      <c r="E46" s="154">
        <v>383301816.81</v>
      </c>
    </row>
    <row r="47" spans="1:5">
      <c r="A47" s="152" t="s">
        <v>188</v>
      </c>
      <c r="B47" s="154">
        <v>3767676.53</v>
      </c>
      <c r="C47" s="154">
        <v>38869368.439999998</v>
      </c>
      <c r="D47" s="154">
        <v>42595613.049999997</v>
      </c>
      <c r="E47" s="154">
        <v>24613295.780000001</v>
      </c>
    </row>
    <row r="48" spans="1:5">
      <c r="A48" s="152" t="s">
        <v>189</v>
      </c>
      <c r="B48" s="154">
        <v>176850282.72999999</v>
      </c>
      <c r="C48" s="154">
        <v>355736546.95999998</v>
      </c>
      <c r="D48" s="154">
        <v>352203902.92000002</v>
      </c>
      <c r="E48" s="154">
        <v>358688521.02999997</v>
      </c>
    </row>
    <row r="49" spans="1:5">
      <c r="A49" s="153" t="s">
        <v>190</v>
      </c>
    </row>
    <row r="50" spans="1:5">
      <c r="A50" s="152" t="s">
        <v>191</v>
      </c>
    </row>
    <row r="51" spans="1:5">
      <c r="A51" s="152" t="s">
        <v>192</v>
      </c>
    </row>
    <row r="52" spans="1:5">
      <c r="A52" s="152" t="s">
        <v>123</v>
      </c>
      <c r="B52" s="152" t="s">
        <v>124</v>
      </c>
      <c r="C52" s="152" t="s">
        <v>124</v>
      </c>
      <c r="D52" s="152" t="s">
        <v>124</v>
      </c>
      <c r="E52" s="152" t="s">
        <v>124</v>
      </c>
    </row>
    <row r="53" spans="1:5">
      <c r="A53" s="152" t="s">
        <v>125</v>
      </c>
      <c r="B53" s="152" t="s">
        <v>124</v>
      </c>
      <c r="C53" s="152" t="s">
        <v>124</v>
      </c>
      <c r="D53" s="152" t="s">
        <v>124</v>
      </c>
      <c r="E53" s="152" t="s">
        <v>124</v>
      </c>
    </row>
    <row r="54" spans="1:5">
      <c r="A54" s="152" t="s">
        <v>126</v>
      </c>
      <c r="B54" s="155">
        <v>1</v>
      </c>
      <c r="C54" s="155">
        <v>1</v>
      </c>
      <c r="D54" s="155">
        <v>1</v>
      </c>
      <c r="E54" s="155">
        <v>1</v>
      </c>
    </row>
    <row r="55" spans="1:5">
      <c r="A55" s="152" t="s">
        <v>193</v>
      </c>
      <c r="B55" s="152" t="s">
        <v>128</v>
      </c>
      <c r="C55" s="152" t="s">
        <v>128</v>
      </c>
      <c r="D55" s="152" t="s">
        <v>128</v>
      </c>
      <c r="E55" s="152" t="s">
        <v>128</v>
      </c>
    </row>
    <row r="56" spans="1:5">
      <c r="A56" s="152" t="s">
        <v>129</v>
      </c>
      <c r="D56" s="154">
        <v>25</v>
      </c>
    </row>
    <row r="57" spans="1:5">
      <c r="A57" s="152" t="s">
        <v>130</v>
      </c>
    </row>
    <row r="58" spans="1:5">
      <c r="A58" s="152" t="s">
        <v>131</v>
      </c>
      <c r="C58" s="152" t="s">
        <v>132</v>
      </c>
      <c r="D58" s="152" t="s">
        <v>132</v>
      </c>
      <c r="E58" s="152" t="s">
        <v>132</v>
      </c>
    </row>
    <row r="59" spans="1:5">
      <c r="A59" s="152" t="s">
        <v>133</v>
      </c>
    </row>
    <row r="60" spans="1:5">
      <c r="A60" s="152" t="s">
        <v>134</v>
      </c>
    </row>
    <row r="61" spans="1:5">
      <c r="A61" s="152" t="s">
        <v>135</v>
      </c>
    </row>
    <row r="62" spans="1:5">
      <c r="A62" s="152" t="s">
        <v>136</v>
      </c>
      <c r="B62" s="152" t="s">
        <v>137</v>
      </c>
      <c r="C62" s="152" t="s">
        <v>138</v>
      </c>
      <c r="D62" s="152" t="s">
        <v>139</v>
      </c>
      <c r="E62" s="152" t="s">
        <v>140</v>
      </c>
    </row>
    <row r="63" spans="1:5">
      <c r="A63" s="152" t="s">
        <v>141</v>
      </c>
      <c r="B63" s="152" t="s">
        <v>142</v>
      </c>
      <c r="C63" s="152" t="s">
        <v>142</v>
      </c>
      <c r="D63" s="152" t="s">
        <v>142</v>
      </c>
      <c r="E63" s="152" t="s">
        <v>142</v>
      </c>
    </row>
    <row r="66" spans="1:1">
      <c r="A66" s="152" t="s">
        <v>143</v>
      </c>
    </row>
  </sheetData>
  <phoneticPr fontId="47" type="noConversion"/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E113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defaultColWidth="9.140625" defaultRowHeight="13.5"/>
  <cols>
    <col min="1" max="1" width="71.42578125" style="152"/>
    <col min="2" max="2" width="19.42578125" style="152"/>
    <col min="3" max="3" width="20.5703125" style="152"/>
    <col min="4" max="4" width="19.42578125" style="152"/>
    <col min="5" max="5" width="20.5703125" style="152"/>
    <col min="6" max="16384" width="9.140625" style="152"/>
  </cols>
  <sheetData>
    <row r="1" spans="1:5">
      <c r="A1" s="152" t="s">
        <v>194</v>
      </c>
      <c r="B1" s="152" t="s">
        <v>1</v>
      </c>
      <c r="C1" s="152" t="s">
        <v>2</v>
      </c>
      <c r="D1" s="152" t="s">
        <v>3</v>
      </c>
      <c r="E1" s="152" t="s">
        <v>4</v>
      </c>
    </row>
    <row r="2" spans="1:5">
      <c r="A2" s="152" t="s">
        <v>5</v>
      </c>
      <c r="B2" s="152" t="s">
        <v>6</v>
      </c>
      <c r="C2" s="152" t="s">
        <v>7</v>
      </c>
      <c r="D2" s="152" t="s">
        <v>7</v>
      </c>
      <c r="E2" s="152" t="s">
        <v>7</v>
      </c>
    </row>
    <row r="3" spans="1:5">
      <c r="A3" s="152" t="s">
        <v>8</v>
      </c>
      <c r="B3" s="152" t="s">
        <v>9</v>
      </c>
      <c r="C3" s="152" t="s">
        <v>9</v>
      </c>
      <c r="D3" s="152" t="s">
        <v>9</v>
      </c>
      <c r="E3" s="152" t="s">
        <v>9</v>
      </c>
    </row>
    <row r="4" spans="1:5">
      <c r="A4" s="153" t="s">
        <v>195</v>
      </c>
    </row>
    <row r="5" spans="1:5">
      <c r="A5" s="152" t="s">
        <v>196</v>
      </c>
      <c r="B5" s="154">
        <v>209283230.56</v>
      </c>
      <c r="C5" s="154">
        <v>2591296967.1399999</v>
      </c>
      <c r="D5" s="154">
        <v>2666403082.6799998</v>
      </c>
      <c r="E5" s="154">
        <v>2337723417</v>
      </c>
    </row>
    <row r="6" spans="1:5">
      <c r="A6" s="152" t="s">
        <v>197</v>
      </c>
    </row>
    <row r="7" spans="1:5">
      <c r="A7" s="152" t="s">
        <v>198</v>
      </c>
      <c r="B7" s="154">
        <v>2390954855.3000002</v>
      </c>
      <c r="C7" s="154">
        <v>2391173241.6700001</v>
      </c>
      <c r="D7" s="154">
        <v>3052027818.7399998</v>
      </c>
      <c r="E7" s="154">
        <v>3474307180.2199998</v>
      </c>
    </row>
    <row r="8" spans="1:5">
      <c r="A8" s="152" t="s">
        <v>199</v>
      </c>
    </row>
    <row r="9" spans="1:5">
      <c r="A9" s="152" t="s">
        <v>200</v>
      </c>
    </row>
    <row r="10" spans="1:5">
      <c r="A10" s="152" t="s">
        <v>201</v>
      </c>
    </row>
    <row r="11" spans="1:5">
      <c r="A11" s="153" t="s">
        <v>202</v>
      </c>
      <c r="B11" s="154">
        <v>2600238085.8600001</v>
      </c>
      <c r="C11" s="154">
        <v>4982470208.8100004</v>
      </c>
      <c r="D11" s="154">
        <v>5718430901.4200001</v>
      </c>
      <c r="E11" s="154">
        <v>5812030597.2200003</v>
      </c>
    </row>
    <row r="12" spans="1:5">
      <c r="A12" s="152" t="s">
        <v>203</v>
      </c>
      <c r="B12" s="154">
        <v>2251069384.4099998</v>
      </c>
      <c r="C12" s="154">
        <v>3314480942.4099998</v>
      </c>
      <c r="D12" s="154">
        <v>2557123417.25</v>
      </c>
      <c r="E12" s="154">
        <v>1797457196.1900001</v>
      </c>
    </row>
    <row r="13" spans="1:5">
      <c r="A13" s="152" t="s">
        <v>204</v>
      </c>
      <c r="B13" s="154">
        <v>49160299.420000002</v>
      </c>
      <c r="C13" s="154">
        <v>61671721.329999998</v>
      </c>
      <c r="D13" s="154">
        <v>59971708.579999998</v>
      </c>
      <c r="E13" s="154">
        <v>50607045.149999999</v>
      </c>
    </row>
    <row r="14" spans="1:5">
      <c r="A14" s="152" t="s">
        <v>205</v>
      </c>
      <c r="B14" s="154">
        <v>18603494.859999999</v>
      </c>
      <c r="C14" s="154">
        <v>36008762.560000002</v>
      </c>
      <c r="D14" s="154">
        <v>66121492.229999997</v>
      </c>
      <c r="E14" s="154">
        <v>29484711.02</v>
      </c>
    </row>
    <row r="15" spans="1:5">
      <c r="A15" s="152" t="s">
        <v>206</v>
      </c>
      <c r="B15" s="154">
        <v>1186430666.79</v>
      </c>
      <c r="C15" s="154">
        <v>2022145561.01</v>
      </c>
      <c r="D15" s="154">
        <v>2028986437.4100001</v>
      </c>
      <c r="E15" s="154">
        <v>2724437131.4400001</v>
      </c>
    </row>
    <row r="16" spans="1:5">
      <c r="A16" s="152" t="s">
        <v>207</v>
      </c>
    </row>
    <row r="17" spans="1:5">
      <c r="A17" s="152" t="s">
        <v>208</v>
      </c>
    </row>
    <row r="18" spans="1:5">
      <c r="A18" s="152" t="s">
        <v>209</v>
      </c>
    </row>
    <row r="19" spans="1:5">
      <c r="A19" s="153" t="s">
        <v>210</v>
      </c>
      <c r="B19" s="154">
        <v>3505263845.48</v>
      </c>
      <c r="C19" s="154">
        <v>5434306987.3100004</v>
      </c>
      <c r="D19" s="154">
        <v>4712203055.4700003</v>
      </c>
      <c r="E19" s="154">
        <v>4601986083.8000002</v>
      </c>
    </row>
    <row r="20" spans="1:5">
      <c r="A20" s="152" t="s">
        <v>211</v>
      </c>
      <c r="B20" s="154">
        <v>-0.01</v>
      </c>
      <c r="C20" s="154">
        <v>0.01</v>
      </c>
    </row>
    <row r="21" spans="1:5">
      <c r="A21" s="153" t="s">
        <v>212</v>
      </c>
      <c r="B21" s="154">
        <v>-905025759.63</v>
      </c>
      <c r="C21" s="154">
        <v>-451836778.49000001</v>
      </c>
      <c r="D21" s="154">
        <v>1006227845.95</v>
      </c>
      <c r="E21" s="154">
        <v>1210044513.4200001</v>
      </c>
    </row>
    <row r="22" spans="1:5">
      <c r="A22" s="153" t="s">
        <v>213</v>
      </c>
    </row>
    <row r="23" spans="1:5">
      <c r="A23" s="152" t="s">
        <v>214</v>
      </c>
      <c r="C23" s="154">
        <v>27682501</v>
      </c>
    </row>
    <row r="24" spans="1:5">
      <c r="A24" s="152" t="s">
        <v>215</v>
      </c>
      <c r="C24" s="154">
        <v>1857123.3</v>
      </c>
      <c r="D24" s="154">
        <v>330357.83</v>
      </c>
      <c r="E24" s="154">
        <v>32547844.239999998</v>
      </c>
    </row>
    <row r="25" spans="1:5">
      <c r="A25" s="152" t="s">
        <v>216</v>
      </c>
      <c r="E25" s="154">
        <v>1000</v>
      </c>
    </row>
    <row r="26" spans="1:5">
      <c r="A26" s="152" t="s">
        <v>217</v>
      </c>
    </row>
    <row r="27" spans="1:5">
      <c r="A27" s="152" t="s">
        <v>218</v>
      </c>
      <c r="C27" s="154">
        <v>55158.86</v>
      </c>
      <c r="D27" s="154">
        <v>1051665.78</v>
      </c>
    </row>
    <row r="28" spans="1:5">
      <c r="A28" s="152" t="s">
        <v>219</v>
      </c>
    </row>
    <row r="29" spans="1:5">
      <c r="A29" s="152" t="s">
        <v>220</v>
      </c>
    </row>
    <row r="30" spans="1:5">
      <c r="A30" s="153" t="s">
        <v>221</v>
      </c>
      <c r="C30" s="154">
        <v>29594783.16</v>
      </c>
      <c r="D30" s="154">
        <v>1382023.61</v>
      </c>
      <c r="E30" s="154">
        <v>32548844.239999998</v>
      </c>
    </row>
    <row r="31" spans="1:5">
      <c r="A31" s="152" t="s">
        <v>222</v>
      </c>
      <c r="B31" s="154">
        <v>321308819.49000001</v>
      </c>
      <c r="C31" s="154">
        <v>155585168.38</v>
      </c>
      <c r="D31" s="154">
        <v>88134053.799999997</v>
      </c>
      <c r="E31" s="154">
        <v>118923092.09</v>
      </c>
    </row>
    <row r="32" spans="1:5">
      <c r="A32" s="152" t="s">
        <v>223</v>
      </c>
      <c r="C32" s="154">
        <v>763127459.84000003</v>
      </c>
      <c r="D32" s="154">
        <v>66900001</v>
      </c>
      <c r="E32" s="154">
        <v>95149980</v>
      </c>
    </row>
    <row r="33" spans="1:5">
      <c r="A33" s="152" t="s">
        <v>224</v>
      </c>
    </row>
    <row r="34" spans="1:5">
      <c r="A34" s="152" t="s">
        <v>225</v>
      </c>
      <c r="E34" s="154">
        <v>115772503.03</v>
      </c>
    </row>
    <row r="35" spans="1:5">
      <c r="A35" s="152" t="s">
        <v>226</v>
      </c>
    </row>
    <row r="36" spans="1:5">
      <c r="A36" s="152" t="s">
        <v>227</v>
      </c>
    </row>
    <row r="37" spans="1:5">
      <c r="A37" s="153" t="s">
        <v>228</v>
      </c>
      <c r="B37" s="154">
        <v>321308819.49000001</v>
      </c>
      <c r="C37" s="154">
        <v>918712628.22000003</v>
      </c>
      <c r="D37" s="154">
        <v>155034054.80000001</v>
      </c>
      <c r="E37" s="154">
        <v>329845575.12</v>
      </c>
    </row>
    <row r="38" spans="1:5">
      <c r="A38" s="152" t="s">
        <v>229</v>
      </c>
    </row>
    <row r="39" spans="1:5">
      <c r="A39" s="153" t="s">
        <v>230</v>
      </c>
      <c r="B39" s="154">
        <v>-321308819.49000001</v>
      </c>
      <c r="C39" s="154">
        <v>-889117845.05999994</v>
      </c>
      <c r="D39" s="154">
        <v>-153652031.19</v>
      </c>
      <c r="E39" s="154">
        <v>-297296730.88</v>
      </c>
    </row>
    <row r="40" spans="1:5">
      <c r="A40" s="153" t="s">
        <v>231</v>
      </c>
    </row>
    <row r="41" spans="1:5">
      <c r="A41" s="152" t="s">
        <v>232</v>
      </c>
      <c r="C41" s="154">
        <v>200000</v>
      </c>
      <c r="D41" s="154">
        <v>632225100</v>
      </c>
      <c r="E41" s="154">
        <v>200000000</v>
      </c>
    </row>
    <row r="42" spans="1:5">
      <c r="A42" s="152" t="s">
        <v>233</v>
      </c>
    </row>
    <row r="43" spans="1:5">
      <c r="A43" s="152" t="s">
        <v>234</v>
      </c>
      <c r="B43" s="154">
        <v>3775660000</v>
      </c>
      <c r="C43" s="154">
        <v>4089239500</v>
      </c>
      <c r="D43" s="154">
        <v>2799520000</v>
      </c>
      <c r="E43" s="154">
        <v>4795994300</v>
      </c>
    </row>
    <row r="44" spans="1:5">
      <c r="A44" s="152" t="s">
        <v>235</v>
      </c>
      <c r="B44" s="154">
        <v>335969864.79000002</v>
      </c>
      <c r="C44" s="154">
        <v>1040911973.99</v>
      </c>
      <c r="D44" s="154">
        <v>1493778472.03</v>
      </c>
      <c r="E44" s="154">
        <v>1998000000</v>
      </c>
    </row>
    <row r="45" spans="1:5">
      <c r="A45" s="152" t="s">
        <v>236</v>
      </c>
      <c r="C45" s="154">
        <v>500000000</v>
      </c>
      <c r="D45" s="154">
        <v>2390000000</v>
      </c>
      <c r="E45" s="154">
        <v>800000000</v>
      </c>
    </row>
    <row r="46" spans="1:5">
      <c r="A46" s="152" t="s">
        <v>237</v>
      </c>
    </row>
    <row r="47" spans="1:5">
      <c r="A47" s="152" t="s">
        <v>238</v>
      </c>
    </row>
    <row r="48" spans="1:5">
      <c r="A48" s="153" t="s">
        <v>239</v>
      </c>
      <c r="B48" s="154">
        <v>4111629864.79</v>
      </c>
      <c r="C48" s="154">
        <v>5630351473.9899998</v>
      </c>
      <c r="D48" s="154">
        <v>7315523572.0299997</v>
      </c>
      <c r="E48" s="154">
        <v>7793994300</v>
      </c>
    </row>
    <row r="49" spans="1:5">
      <c r="A49" s="152" t="s">
        <v>240</v>
      </c>
      <c r="B49" s="154">
        <v>1824850100</v>
      </c>
      <c r="C49" s="154">
        <v>4242319700</v>
      </c>
      <c r="D49" s="154">
        <v>5485033465</v>
      </c>
      <c r="E49" s="154">
        <v>6408938351.9099998</v>
      </c>
    </row>
    <row r="50" spans="1:5">
      <c r="A50" s="152" t="s">
        <v>241</v>
      </c>
      <c r="B50" s="154">
        <v>397177717.23000002</v>
      </c>
      <c r="C50" s="154">
        <v>887017867.30999994</v>
      </c>
      <c r="D50" s="154">
        <v>938470291.58000004</v>
      </c>
      <c r="E50" s="154">
        <v>938652465.60000002</v>
      </c>
    </row>
    <row r="51" spans="1:5">
      <c r="A51" s="152" t="s">
        <v>242</v>
      </c>
    </row>
    <row r="52" spans="1:5">
      <c r="A52" s="152" t="s">
        <v>243</v>
      </c>
      <c r="B52" s="154">
        <v>41763172.700000003</v>
      </c>
      <c r="C52" s="154">
        <v>482835574.17000002</v>
      </c>
      <c r="D52" s="154">
        <v>1142522692.1600001</v>
      </c>
      <c r="E52" s="154">
        <v>1475534172.0999999</v>
      </c>
    </row>
    <row r="53" spans="1:5">
      <c r="A53" s="152" t="s">
        <v>244</v>
      </c>
    </row>
    <row r="54" spans="1:5">
      <c r="A54" s="152" t="s">
        <v>245</v>
      </c>
    </row>
    <row r="55" spans="1:5">
      <c r="A55" s="153" t="s">
        <v>246</v>
      </c>
      <c r="B55" s="154">
        <v>2263790989.9299998</v>
      </c>
      <c r="C55" s="154">
        <v>5612173141.4799995</v>
      </c>
      <c r="D55" s="154">
        <v>7566026448.7399998</v>
      </c>
      <c r="E55" s="154">
        <v>8823124989.6100006</v>
      </c>
    </row>
    <row r="56" spans="1:5">
      <c r="A56" s="152" t="s">
        <v>247</v>
      </c>
    </row>
    <row r="57" spans="1:5">
      <c r="A57" s="153" t="s">
        <v>248</v>
      </c>
      <c r="B57" s="154">
        <v>1847838874.8599999</v>
      </c>
      <c r="C57" s="154">
        <v>18178332.510000002</v>
      </c>
      <c r="D57" s="154">
        <v>-250502876.71000001</v>
      </c>
      <c r="E57" s="154">
        <v>-1029130689.61</v>
      </c>
    </row>
    <row r="58" spans="1:5">
      <c r="A58" s="153" t="s">
        <v>249</v>
      </c>
    </row>
    <row r="59" spans="1:5">
      <c r="A59" s="152" t="s">
        <v>250</v>
      </c>
    </row>
    <row r="60" spans="1:5">
      <c r="A60" s="152" t="s">
        <v>251</v>
      </c>
    </row>
    <row r="61" spans="1:5">
      <c r="A61" s="153" t="s">
        <v>252</v>
      </c>
      <c r="B61" s="154">
        <v>621504295.74000001</v>
      </c>
      <c r="C61" s="154">
        <v>-1322776291.04</v>
      </c>
      <c r="D61" s="154">
        <v>602072938.04999995</v>
      </c>
      <c r="E61" s="154">
        <v>-116382907.06999999</v>
      </c>
    </row>
    <row r="62" spans="1:5">
      <c r="A62" s="152" t="s">
        <v>253</v>
      </c>
      <c r="B62" s="154">
        <v>1185185099.1400001</v>
      </c>
      <c r="C62" s="154">
        <v>2507961390.1799998</v>
      </c>
      <c r="D62" s="154">
        <v>1905888452.1300001</v>
      </c>
      <c r="E62" s="154">
        <v>2022271359.2</v>
      </c>
    </row>
    <row r="63" spans="1:5">
      <c r="A63" s="152" t="s">
        <v>254</v>
      </c>
      <c r="B63" s="154">
        <v>1806689394.8800001</v>
      </c>
      <c r="C63" s="154">
        <v>1185185099.1400001</v>
      </c>
      <c r="D63" s="154">
        <v>2507961390.1799998</v>
      </c>
      <c r="E63" s="154">
        <v>1905888452.1300001</v>
      </c>
    </row>
    <row r="64" spans="1:5">
      <c r="A64" s="153" t="s">
        <v>255</v>
      </c>
    </row>
    <row r="65" spans="1:5">
      <c r="A65" s="152" t="s">
        <v>256</v>
      </c>
      <c r="C65" s="154">
        <v>393484834.72000003</v>
      </c>
      <c r="D65" s="154">
        <v>394799515.97000003</v>
      </c>
      <c r="E65" s="154">
        <v>383301816.81</v>
      </c>
    </row>
    <row r="66" spans="1:5">
      <c r="A66" s="152" t="s">
        <v>257</v>
      </c>
      <c r="C66" s="154">
        <v>115747.94</v>
      </c>
      <c r="E66" s="154">
        <v>720657.94</v>
      </c>
    </row>
    <row r="67" spans="1:5">
      <c r="A67" s="152" t="s">
        <v>258</v>
      </c>
      <c r="D67" s="154">
        <v>-1924136.48</v>
      </c>
    </row>
    <row r="68" spans="1:5">
      <c r="A68" s="152" t="s">
        <v>259</v>
      </c>
      <c r="C68" s="154">
        <v>28103240.670000002</v>
      </c>
      <c r="D68" s="154">
        <v>37795962.259999998</v>
      </c>
      <c r="E68" s="154">
        <v>40339451.920000002</v>
      </c>
    </row>
    <row r="69" spans="1:5">
      <c r="A69" s="152" t="s">
        <v>260</v>
      </c>
      <c r="C69" s="154">
        <v>779558.28</v>
      </c>
      <c r="D69" s="154">
        <v>759575.73</v>
      </c>
      <c r="E69" s="154">
        <v>1188876.1299999999</v>
      </c>
    </row>
    <row r="70" spans="1:5">
      <c r="A70" s="152" t="s">
        <v>261</v>
      </c>
    </row>
    <row r="71" spans="1:5">
      <c r="A71" s="152" t="s">
        <v>262</v>
      </c>
      <c r="C71" s="154">
        <v>753351.2</v>
      </c>
      <c r="D71" s="154">
        <v>161729.91</v>
      </c>
      <c r="E71" s="154">
        <v>979800.5</v>
      </c>
    </row>
    <row r="72" spans="1:5">
      <c r="A72" s="152" t="s">
        <v>263</v>
      </c>
    </row>
    <row r="73" spans="1:5">
      <c r="A73" s="152" t="s">
        <v>264</v>
      </c>
    </row>
    <row r="74" spans="1:5">
      <c r="A74" s="152" t="s">
        <v>265</v>
      </c>
      <c r="C74" s="154">
        <v>-925366.15</v>
      </c>
      <c r="D74" s="154">
        <v>1424081.07</v>
      </c>
    </row>
    <row r="75" spans="1:5">
      <c r="A75" s="152" t="s">
        <v>266</v>
      </c>
      <c r="D75" s="154">
        <v>-674883.38</v>
      </c>
    </row>
    <row r="76" spans="1:5">
      <c r="A76" s="152" t="s">
        <v>267</v>
      </c>
      <c r="C76" s="154">
        <v>-24340800</v>
      </c>
      <c r="D76" s="154">
        <v>-17156846</v>
      </c>
      <c r="E76" s="154">
        <v>-6542299</v>
      </c>
    </row>
    <row r="77" spans="1:5">
      <c r="A77" s="152" t="s">
        <v>268</v>
      </c>
      <c r="C77" s="154">
        <v>17656979.57</v>
      </c>
      <c r="D77" s="154">
        <v>6803683.6500000004</v>
      </c>
      <c r="E77" s="154">
        <v>6714085.2699999996</v>
      </c>
    </row>
    <row r="78" spans="1:5">
      <c r="A78" s="152" t="s">
        <v>269</v>
      </c>
      <c r="C78" s="154">
        <v>-1515042.18</v>
      </c>
      <c r="D78" s="154">
        <v>-330357.83</v>
      </c>
      <c r="E78" s="154">
        <v>-55609044.960000001</v>
      </c>
    </row>
    <row r="79" spans="1:5">
      <c r="A79" s="152" t="s">
        <v>270</v>
      </c>
      <c r="C79" s="154">
        <v>-28936.99</v>
      </c>
      <c r="D79" s="154">
        <v>504784.14</v>
      </c>
      <c r="E79" s="154">
        <v>-203914.49</v>
      </c>
    </row>
    <row r="80" spans="1:5">
      <c r="A80" s="152" t="s">
        <v>271</v>
      </c>
      <c r="C80" s="154">
        <v>6496893.5599999996</v>
      </c>
      <c r="D80" s="154">
        <v>4321511.5</v>
      </c>
      <c r="E80" s="154">
        <v>-38158863.009999998</v>
      </c>
    </row>
    <row r="81" spans="1:5">
      <c r="A81" s="152" t="s">
        <v>272</v>
      </c>
      <c r="C81" s="154">
        <v>-1928220476.77</v>
      </c>
      <c r="D81" s="154">
        <v>-773033187.20000005</v>
      </c>
      <c r="E81" s="154">
        <v>687668329.85000002</v>
      </c>
    </row>
    <row r="82" spans="1:5">
      <c r="A82" s="152" t="s">
        <v>273</v>
      </c>
      <c r="C82" s="154">
        <v>238453713.97</v>
      </c>
      <c r="D82" s="154">
        <v>565785177.11000001</v>
      </c>
      <c r="E82" s="154">
        <v>-526144851.01999998</v>
      </c>
    </row>
    <row r="83" spans="1:5">
      <c r="A83" s="152" t="s">
        <v>274</v>
      </c>
      <c r="C83" s="154">
        <v>817349523.69000006</v>
      </c>
      <c r="D83" s="154">
        <v>786991235.5</v>
      </c>
      <c r="E83" s="154">
        <v>715790467.48000002</v>
      </c>
    </row>
    <row r="84" spans="1:5">
      <c r="A84" s="152" t="s">
        <v>275</v>
      </c>
    </row>
    <row r="85" spans="1:5">
      <c r="A85" s="152" t="s">
        <v>276</v>
      </c>
    </row>
    <row r="86" spans="1:5">
      <c r="A86" s="152" t="s">
        <v>277</v>
      </c>
    </row>
    <row r="87" spans="1:5">
      <c r="A87" s="152" t="s">
        <v>278</v>
      </c>
    </row>
    <row r="88" spans="1:5">
      <c r="A88" s="152" t="s">
        <v>279</v>
      </c>
      <c r="C88" s="154">
        <v>-451836778.49000001</v>
      </c>
      <c r="D88" s="154">
        <v>1006227845.95</v>
      </c>
      <c r="E88" s="154">
        <v>1210044513.4200001</v>
      </c>
    </row>
    <row r="89" spans="1:5">
      <c r="A89" s="152" t="s">
        <v>280</v>
      </c>
    </row>
    <row r="90" spans="1:5">
      <c r="A90" s="152" t="s">
        <v>281</v>
      </c>
    </row>
    <row r="91" spans="1:5">
      <c r="A91" s="152" t="s">
        <v>282</v>
      </c>
    </row>
    <row r="92" spans="1:5">
      <c r="A92" s="152" t="s">
        <v>283</v>
      </c>
      <c r="C92" s="154">
        <v>1185185099.1400001</v>
      </c>
      <c r="D92" s="154">
        <v>2507961390.1799998</v>
      </c>
      <c r="E92" s="154">
        <v>1905888452.1300001</v>
      </c>
    </row>
    <row r="93" spans="1:5">
      <c r="A93" s="152" t="s">
        <v>284</v>
      </c>
      <c r="C93" s="154">
        <v>2507961390.1799998</v>
      </c>
      <c r="D93" s="154">
        <v>1905888452.1300001</v>
      </c>
      <c r="E93" s="154">
        <v>2022271359.2</v>
      </c>
    </row>
    <row r="94" spans="1:5">
      <c r="A94" s="152" t="s">
        <v>285</v>
      </c>
    </row>
    <row r="95" spans="1:5">
      <c r="A95" s="152" t="s">
        <v>286</v>
      </c>
    </row>
    <row r="96" spans="1:5">
      <c r="A96" s="152" t="s">
        <v>287</v>
      </c>
    </row>
    <row r="97" spans="1:5">
      <c r="A97" s="152" t="s">
        <v>288</v>
      </c>
    </row>
    <row r="98" spans="1:5">
      <c r="A98" s="152" t="s">
        <v>289</v>
      </c>
      <c r="C98" s="154">
        <v>-1322776291.04</v>
      </c>
      <c r="D98" s="154">
        <v>602072938.04999995</v>
      </c>
      <c r="E98" s="154">
        <v>-116382907.06999999</v>
      </c>
    </row>
    <row r="99" spans="1:5">
      <c r="A99" s="152" t="s">
        <v>123</v>
      </c>
      <c r="B99" s="152" t="s">
        <v>124</v>
      </c>
      <c r="C99" s="152" t="s">
        <v>124</v>
      </c>
      <c r="D99" s="152" t="s">
        <v>124</v>
      </c>
      <c r="E99" s="152" t="s">
        <v>124</v>
      </c>
    </row>
    <row r="100" spans="1:5">
      <c r="A100" s="152" t="s">
        <v>125</v>
      </c>
      <c r="B100" s="152" t="s">
        <v>124</v>
      </c>
      <c r="C100" s="152" t="s">
        <v>124</v>
      </c>
      <c r="D100" s="152" t="s">
        <v>124</v>
      </c>
      <c r="E100" s="152" t="s">
        <v>124</v>
      </c>
    </row>
    <row r="101" spans="1:5">
      <c r="A101" s="152" t="s">
        <v>126</v>
      </c>
      <c r="B101" s="155">
        <v>1</v>
      </c>
      <c r="C101" s="155">
        <v>1</v>
      </c>
      <c r="D101" s="155">
        <v>1</v>
      </c>
      <c r="E101" s="155">
        <v>1</v>
      </c>
    </row>
    <row r="102" spans="1:5">
      <c r="A102" s="152" t="s">
        <v>193</v>
      </c>
      <c r="B102" s="152" t="s">
        <v>128</v>
      </c>
      <c r="C102" s="152" t="s">
        <v>128</v>
      </c>
      <c r="D102" s="152" t="s">
        <v>128</v>
      </c>
      <c r="E102" s="152" t="s">
        <v>128</v>
      </c>
    </row>
    <row r="103" spans="1:5">
      <c r="A103" s="152" t="s">
        <v>129</v>
      </c>
      <c r="D103" s="154">
        <v>25</v>
      </c>
    </row>
    <row r="104" spans="1:5">
      <c r="A104" s="152" t="s">
        <v>130</v>
      </c>
    </row>
    <row r="105" spans="1:5">
      <c r="A105" s="152" t="s">
        <v>131</v>
      </c>
      <c r="C105" s="152" t="s">
        <v>132</v>
      </c>
      <c r="D105" s="152" t="s">
        <v>132</v>
      </c>
      <c r="E105" s="152" t="s">
        <v>132</v>
      </c>
    </row>
    <row r="106" spans="1:5">
      <c r="A106" s="152" t="s">
        <v>133</v>
      </c>
    </row>
    <row r="107" spans="1:5">
      <c r="A107" s="152" t="s">
        <v>134</v>
      </c>
    </row>
    <row r="108" spans="1:5">
      <c r="A108" s="152" t="s">
        <v>135</v>
      </c>
    </row>
    <row r="109" spans="1:5">
      <c r="A109" s="152" t="s">
        <v>136</v>
      </c>
      <c r="B109" s="152" t="s">
        <v>137</v>
      </c>
      <c r="C109" s="152" t="s">
        <v>138</v>
      </c>
      <c r="D109" s="152" t="s">
        <v>139</v>
      </c>
      <c r="E109" s="152" t="s">
        <v>140</v>
      </c>
    </row>
    <row r="110" spans="1:5">
      <c r="A110" s="152" t="s">
        <v>141</v>
      </c>
      <c r="B110" s="152" t="s">
        <v>142</v>
      </c>
      <c r="C110" s="152" t="s">
        <v>142</v>
      </c>
      <c r="D110" s="152" t="s">
        <v>142</v>
      </c>
      <c r="E110" s="152" t="s">
        <v>142</v>
      </c>
    </row>
    <row r="113" spans="1:1">
      <c r="A113" s="152" t="s">
        <v>143</v>
      </c>
    </row>
  </sheetData>
  <phoneticPr fontId="47" type="noConversion"/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>
    <tabColor indexed="13"/>
  </sheetPr>
  <dimension ref="A1:I111"/>
  <sheetViews>
    <sheetView workbookViewId="0">
      <selection activeCell="I15" sqref="I15"/>
    </sheetView>
  </sheetViews>
  <sheetFormatPr defaultColWidth="9" defaultRowHeight="12.75"/>
  <cols>
    <col min="1" max="1" width="8.5703125" style="123" customWidth="1"/>
    <col min="2" max="2" width="16.42578125" customWidth="1"/>
    <col min="3" max="6" width="14.28515625" customWidth="1"/>
    <col min="7" max="7" width="8.28515625" customWidth="1"/>
    <col min="8" max="8" width="15.42578125"/>
  </cols>
  <sheetData>
    <row r="1" spans="1:9" ht="22.15" customHeight="1">
      <c r="A1" s="125" t="s">
        <v>290</v>
      </c>
      <c r="B1" s="126" t="s">
        <v>291</v>
      </c>
      <c r="C1" s="127">
        <v>45443</v>
      </c>
      <c r="D1" s="128">
        <v>45291</v>
      </c>
      <c r="E1" s="127">
        <v>44926</v>
      </c>
      <c r="F1" s="127">
        <v>44561</v>
      </c>
      <c r="G1" s="145" t="s">
        <v>292</v>
      </c>
    </row>
    <row r="2" spans="1:9" ht="14.1" hidden="1" customHeight="1">
      <c r="A2" s="115">
        <v>1000</v>
      </c>
      <c r="B2" s="135" t="s">
        <v>293</v>
      </c>
      <c r="C2" s="146"/>
      <c r="D2" s="146"/>
      <c r="E2" s="146"/>
      <c r="F2" s="146"/>
      <c r="G2">
        <f>C2+D2+E2+F2</f>
        <v>0</v>
      </c>
      <c r="H2" t="str">
        <f>B2</f>
        <v xml:space="preserve">流动资产： </v>
      </c>
      <c r="I2" s="33"/>
    </row>
    <row r="3" spans="1:9" ht="14.1" customHeight="1">
      <c r="A3" s="115">
        <v>1001</v>
      </c>
      <c r="B3" s="115" t="s">
        <v>294</v>
      </c>
      <c r="C3" s="146">
        <f>'[1]资产负债表（重分类）'!$D$6</f>
        <v>1214174.25</v>
      </c>
      <c r="D3" s="146">
        <v>6381460.96</v>
      </c>
      <c r="E3" s="146">
        <v>71805.67</v>
      </c>
      <c r="F3" s="146">
        <v>4613478.21</v>
      </c>
      <c r="G3">
        <f t="shared" ref="G3:G34" si="0">C3+D3+E3+F3</f>
        <v>12280919.09</v>
      </c>
      <c r="H3" t="str">
        <f t="shared" ref="H3:H66" si="1">B3</f>
        <v xml:space="preserve">  货币资金 </v>
      </c>
      <c r="I3" s="33" t="str">
        <f t="shared" ref="I3:I24" si="2">CONCATENATE("近三年及一期，拟承租人",B3,"分别为",ROUND(F3/100000000,2),"亿元、",ROUND(E3/100000000,2),"亿元、",ROUND(D3/100000000,2),"亿元及",ROUND(C3/100000000,2),"亿元。")</f>
        <v>近三年及一期，拟承租人  货币资金 分别为0.05亿元、0亿元、0.06亿元及0.01亿元。</v>
      </c>
    </row>
    <row r="4" spans="1:9" ht="14.1" hidden="1" customHeight="1">
      <c r="A4" s="115">
        <v>1002</v>
      </c>
      <c r="B4" s="115" t="s">
        <v>295</v>
      </c>
      <c r="C4" s="146"/>
      <c r="D4" s="146"/>
      <c r="E4" s="146"/>
      <c r="F4" s="146"/>
      <c r="G4">
        <f t="shared" si="0"/>
        <v>0</v>
      </c>
      <c r="H4" t="str">
        <f t="shared" si="1"/>
        <v xml:space="preserve">  结算备付金* </v>
      </c>
      <c r="I4" s="33" t="str">
        <f t="shared" si="2"/>
        <v>近三年及一期，拟承租人  结算备付金* 分别为0亿元、0亿元、0亿元及0亿元。</v>
      </c>
    </row>
    <row r="5" spans="1:9" ht="14.1" hidden="1" customHeight="1">
      <c r="A5" s="115">
        <v>1003</v>
      </c>
      <c r="B5" s="115" t="s">
        <v>296</v>
      </c>
      <c r="C5" s="146"/>
      <c r="D5" s="146"/>
      <c r="E5" s="146"/>
      <c r="F5" s="146"/>
      <c r="G5">
        <f t="shared" si="0"/>
        <v>0</v>
      </c>
      <c r="H5" t="str">
        <f t="shared" si="1"/>
        <v xml:space="preserve">  拆出资金* </v>
      </c>
      <c r="I5" s="33" t="str">
        <f t="shared" si="2"/>
        <v>近三年及一期，拟承租人  拆出资金* 分别为0亿元、0亿元、0亿元及0亿元。</v>
      </c>
    </row>
    <row r="6" spans="1:9" ht="14.1" hidden="1" customHeight="1">
      <c r="A6" s="115">
        <v>1004</v>
      </c>
      <c r="B6" s="115" t="s">
        <v>297</v>
      </c>
      <c r="C6" s="146"/>
      <c r="D6" s="146"/>
      <c r="E6" s="146"/>
      <c r="F6" s="146"/>
      <c r="G6">
        <f t="shared" si="0"/>
        <v>0</v>
      </c>
      <c r="H6" t="str">
        <f t="shared" si="1"/>
        <v xml:space="preserve">  交易性金融资产 </v>
      </c>
      <c r="I6" s="33" t="str">
        <f t="shared" si="2"/>
        <v>近三年及一期，拟承租人  交易性金融资产 分别为0亿元、0亿元、0亿元及0亿元。</v>
      </c>
    </row>
    <row r="7" spans="1:9" ht="14.1" hidden="1" customHeight="1">
      <c r="A7" s="115">
        <v>1005</v>
      </c>
      <c r="B7" s="115" t="s">
        <v>298</v>
      </c>
      <c r="C7" s="146"/>
      <c r="D7" s="146"/>
      <c r="E7" s="146"/>
      <c r="F7" s="146"/>
      <c r="G7">
        <f t="shared" si="0"/>
        <v>0</v>
      </c>
      <c r="H7" t="str">
        <f t="shared" si="1"/>
        <v xml:space="preserve">  衍生金融资产 </v>
      </c>
      <c r="I7" s="33" t="str">
        <f t="shared" si="2"/>
        <v>近三年及一期，拟承租人  衍生金融资产 分别为0亿元、0亿元、0亿元及0亿元。</v>
      </c>
    </row>
    <row r="8" spans="1:9" ht="14.1" hidden="1" customHeight="1">
      <c r="A8" s="115">
        <v>1006</v>
      </c>
      <c r="B8" s="115" t="s">
        <v>299</v>
      </c>
      <c r="C8" s="146"/>
      <c r="D8" s="146"/>
      <c r="E8" s="146"/>
      <c r="F8" s="146"/>
      <c r="G8">
        <f t="shared" si="0"/>
        <v>0</v>
      </c>
      <c r="H8" t="str">
        <f t="shared" si="1"/>
        <v xml:space="preserve">  应收票据 </v>
      </c>
      <c r="I8" s="33" t="str">
        <f t="shared" si="2"/>
        <v>近三年及一期，拟承租人  应收票据 分别为0亿元、0亿元、0亿元及0亿元。</v>
      </c>
    </row>
    <row r="9" spans="1:9" ht="14.1" customHeight="1">
      <c r="A9" s="115">
        <v>1007</v>
      </c>
      <c r="B9" s="115" t="s">
        <v>300</v>
      </c>
      <c r="C9" s="146">
        <f>'[1]资产负债表（重分类）'!$D$10</f>
        <v>462426.22</v>
      </c>
      <c r="D9" s="146">
        <v>10013315.109999999</v>
      </c>
      <c r="E9" s="146"/>
      <c r="F9" s="146"/>
      <c r="G9">
        <f t="shared" si="0"/>
        <v>10475741.33</v>
      </c>
      <c r="H9" t="str">
        <f t="shared" si="1"/>
        <v xml:space="preserve">  应收账款 </v>
      </c>
      <c r="I9" s="33" t="str">
        <f t="shared" si="2"/>
        <v>近三年及一期，拟承租人  应收账款 分别为0亿元、0亿元、0.1亿元及0亿元。</v>
      </c>
    </row>
    <row r="10" spans="1:9" ht="14.1" customHeight="1">
      <c r="A10" s="115">
        <v>1008</v>
      </c>
      <c r="B10" s="115" t="s">
        <v>301</v>
      </c>
      <c r="C10" s="146"/>
      <c r="D10" s="146"/>
      <c r="E10" s="146"/>
      <c r="F10" s="146"/>
      <c r="G10">
        <f t="shared" si="0"/>
        <v>0</v>
      </c>
      <c r="H10" t="str">
        <f t="shared" si="1"/>
        <v xml:space="preserve">  应收款项融资 </v>
      </c>
      <c r="I10" s="33" t="str">
        <f t="shared" si="2"/>
        <v>近三年及一期，拟承租人  应收款项融资 分别为0亿元、0亿元、0亿元及0亿元。</v>
      </c>
    </row>
    <row r="11" spans="1:9" ht="14.1" customHeight="1">
      <c r="A11" s="115">
        <v>1009</v>
      </c>
      <c r="B11" s="115" t="s">
        <v>302</v>
      </c>
      <c r="C11" s="146">
        <f>'[1]资产负债表（重分类）'!$D$11</f>
        <v>372438016.93000001</v>
      </c>
      <c r="D11" s="146">
        <v>2502946.04</v>
      </c>
      <c r="E11" s="146">
        <v>346970956.86000001</v>
      </c>
      <c r="F11" s="146">
        <v>137167916.66</v>
      </c>
      <c r="G11">
        <f t="shared" si="0"/>
        <v>859079836.49000001</v>
      </c>
      <c r="H11" t="str">
        <f t="shared" si="1"/>
        <v xml:space="preserve">  预付款项 </v>
      </c>
      <c r="I11" s="33" t="str">
        <f t="shared" si="2"/>
        <v>近三年及一期，拟承租人  预付款项 分别为1.37亿元、3.47亿元、0.03亿元及3.72亿元。</v>
      </c>
    </row>
    <row r="12" spans="1:9" ht="14.1" hidden="1" customHeight="1">
      <c r="A12" s="115">
        <v>1010</v>
      </c>
      <c r="B12" s="115" t="s">
        <v>303</v>
      </c>
      <c r="C12" s="146"/>
      <c r="D12" s="146"/>
      <c r="E12" s="146"/>
      <c r="F12" s="146"/>
      <c r="G12">
        <f t="shared" si="0"/>
        <v>0</v>
      </c>
      <c r="H12" t="str">
        <f t="shared" si="1"/>
        <v xml:space="preserve">  应收保费* </v>
      </c>
      <c r="I12" s="33" t="str">
        <f t="shared" si="2"/>
        <v>近三年及一期，拟承租人  应收保费* 分别为0亿元、0亿元、0亿元及0亿元。</v>
      </c>
    </row>
    <row r="13" spans="1:9" ht="14.1" hidden="1" customHeight="1">
      <c r="A13" s="115">
        <v>1011</v>
      </c>
      <c r="B13" s="115" t="s">
        <v>304</v>
      </c>
      <c r="C13" s="146"/>
      <c r="D13" s="146"/>
      <c r="E13" s="146"/>
      <c r="F13" s="146"/>
      <c r="G13">
        <f t="shared" si="0"/>
        <v>0</v>
      </c>
      <c r="H13" t="str">
        <f t="shared" si="1"/>
        <v xml:space="preserve">  应收分保账款* </v>
      </c>
      <c r="I13" s="33" t="str">
        <f t="shared" si="2"/>
        <v>近三年及一期，拟承租人  应收分保账款* 分别为0亿元、0亿元、0亿元及0亿元。</v>
      </c>
    </row>
    <row r="14" spans="1:9" ht="14.1" hidden="1" customHeight="1">
      <c r="A14" s="115">
        <v>1012</v>
      </c>
      <c r="B14" s="115" t="s">
        <v>305</v>
      </c>
      <c r="C14" s="146"/>
      <c r="D14" s="146"/>
      <c r="E14" s="146"/>
      <c r="F14" s="146"/>
      <c r="G14">
        <f t="shared" si="0"/>
        <v>0</v>
      </c>
      <c r="H14" t="str">
        <f t="shared" si="1"/>
        <v xml:space="preserve">  应收分保合同准备金* </v>
      </c>
      <c r="I14" s="33" t="str">
        <f t="shared" si="2"/>
        <v>近三年及一期，拟承租人  应收分保合同准备金* 分别为0亿元、0亿元、0亿元及0亿元。</v>
      </c>
    </row>
    <row r="15" spans="1:9" ht="14.1" customHeight="1">
      <c r="A15" s="115">
        <v>1013</v>
      </c>
      <c r="B15" s="115" t="s">
        <v>306</v>
      </c>
      <c r="C15" s="146">
        <f>'[1]资产负债表（重分类）'!$D$14</f>
        <v>17521315.260000002</v>
      </c>
      <c r="D15" s="146">
        <v>25014011.399999999</v>
      </c>
      <c r="E15" s="146">
        <v>3500</v>
      </c>
      <c r="F15" s="146">
        <v>2000</v>
      </c>
      <c r="G15">
        <f t="shared" si="0"/>
        <v>42540826.659999996</v>
      </c>
      <c r="H15" t="str">
        <f t="shared" si="1"/>
        <v xml:space="preserve">  其他应收款 </v>
      </c>
      <c r="I15" s="33" t="str">
        <f t="shared" si="2"/>
        <v>近三年及一期，拟承租人  其他应收款 分别为0亿元、0亿元、0.25亿元及0.18亿元。</v>
      </c>
    </row>
    <row r="16" spans="1:9" ht="14.1" hidden="1" customHeight="1">
      <c r="A16" s="115">
        <v>101301</v>
      </c>
      <c r="B16" s="115" t="s">
        <v>307</v>
      </c>
      <c r="C16" s="146"/>
      <c r="D16" s="146"/>
      <c r="E16" s="146"/>
      <c r="F16" s="146"/>
      <c r="G16">
        <f t="shared" si="0"/>
        <v>0</v>
      </c>
      <c r="H16" t="str">
        <f t="shared" si="1"/>
        <v xml:space="preserve">    其中：应收利息</v>
      </c>
      <c r="I16" s="33" t="str">
        <f t="shared" si="2"/>
        <v>近三年及一期，拟承租人    其中：应收利息分别为0亿元、0亿元、0亿元及0亿元。</v>
      </c>
    </row>
    <row r="17" spans="1:9" ht="14.1" hidden="1" customHeight="1">
      <c r="A17" s="115">
        <v>101302</v>
      </c>
      <c r="B17" s="115" t="s">
        <v>308</v>
      </c>
      <c r="C17" s="146"/>
      <c r="D17" s="146"/>
      <c r="E17" s="146"/>
      <c r="F17" s="146"/>
      <c r="G17">
        <f t="shared" si="0"/>
        <v>0</v>
      </c>
      <c r="H17" t="str">
        <f t="shared" si="1"/>
        <v xml:space="preserve">             应收股利</v>
      </c>
      <c r="I17" s="33" t="str">
        <f t="shared" si="2"/>
        <v>近三年及一期，拟承租人             应收股利分别为0亿元、0亿元、0亿元及0亿元。</v>
      </c>
    </row>
    <row r="18" spans="1:9" ht="14.1" hidden="1" customHeight="1">
      <c r="A18" s="115">
        <v>1014</v>
      </c>
      <c r="B18" s="115" t="s">
        <v>309</v>
      </c>
      <c r="C18" s="146"/>
      <c r="D18" s="146"/>
      <c r="E18" s="146"/>
      <c r="F18" s="146"/>
      <c r="G18">
        <f t="shared" si="0"/>
        <v>0</v>
      </c>
      <c r="H18" t="str">
        <f t="shared" si="1"/>
        <v xml:space="preserve">  买入返售金融资产* </v>
      </c>
      <c r="I18" s="33" t="str">
        <f t="shared" si="2"/>
        <v>近三年及一期，拟承租人  买入返售金融资产* 分别为0亿元、0亿元、0亿元及0亿元。</v>
      </c>
    </row>
    <row r="19" spans="1:9" ht="14.1" customHeight="1">
      <c r="A19" s="115">
        <v>1015</v>
      </c>
      <c r="B19" s="115" t="s">
        <v>310</v>
      </c>
      <c r="C19" s="146">
        <f>'[1]资产负债表（重分类）'!$D$15</f>
        <v>11925832.99</v>
      </c>
      <c r="D19" s="146">
        <v>7205029.1900000004</v>
      </c>
      <c r="E19" s="146"/>
      <c r="F19" s="146"/>
      <c r="G19">
        <f t="shared" si="0"/>
        <v>19130862.18</v>
      </c>
      <c r="H19" t="str">
        <f t="shared" si="1"/>
        <v xml:space="preserve">  存货 </v>
      </c>
      <c r="I19" s="33" t="str">
        <f t="shared" si="2"/>
        <v>近三年及一期，拟承租人  存货 分别为0亿元、0亿元、0.07亿元及0.12亿元。</v>
      </c>
    </row>
    <row r="20" spans="1:9" ht="14.1" hidden="1" customHeight="1">
      <c r="A20" s="115">
        <v>1016</v>
      </c>
      <c r="B20" s="115" t="s">
        <v>311</v>
      </c>
      <c r="C20" s="146"/>
      <c r="D20" s="146"/>
      <c r="E20" s="146"/>
      <c r="F20" s="146"/>
      <c r="G20">
        <f t="shared" si="0"/>
        <v>0</v>
      </c>
      <c r="H20" t="str">
        <f t="shared" si="1"/>
        <v xml:space="preserve">  合同资产 </v>
      </c>
      <c r="I20" s="33" t="str">
        <f t="shared" si="2"/>
        <v>近三年及一期，拟承租人  合同资产 分别为0亿元、0亿元、0亿元及0亿元。</v>
      </c>
    </row>
    <row r="21" spans="1:9" ht="14.1" hidden="1" customHeight="1">
      <c r="A21" s="115">
        <v>1017</v>
      </c>
      <c r="B21" s="115" t="s">
        <v>312</v>
      </c>
      <c r="C21" s="146"/>
      <c r="D21" s="146"/>
      <c r="E21" s="146"/>
      <c r="F21" s="146"/>
      <c r="G21">
        <f t="shared" si="0"/>
        <v>0</v>
      </c>
      <c r="H21" t="str">
        <f t="shared" si="1"/>
        <v xml:space="preserve">  持有待售资产 </v>
      </c>
      <c r="I21" s="33" t="str">
        <f t="shared" si="2"/>
        <v>近三年及一期，拟承租人  持有待售资产 分别为0亿元、0亿元、0亿元及0亿元。</v>
      </c>
    </row>
    <row r="22" spans="1:9" ht="14.1" hidden="1" customHeight="1">
      <c r="A22" s="115">
        <v>1018</v>
      </c>
      <c r="B22" s="115" t="s">
        <v>313</v>
      </c>
      <c r="C22" s="146"/>
      <c r="D22" s="146"/>
      <c r="E22" s="146"/>
      <c r="F22" s="146"/>
      <c r="G22">
        <f t="shared" si="0"/>
        <v>0</v>
      </c>
      <c r="H22" t="str">
        <f t="shared" si="1"/>
        <v xml:space="preserve">  一年内到期的非流动资产 </v>
      </c>
      <c r="I22" s="33" t="str">
        <f t="shared" si="2"/>
        <v>近三年及一期，拟承租人  一年内到期的非流动资产 分别为0亿元、0亿元、0亿元及0亿元。</v>
      </c>
    </row>
    <row r="23" spans="1:9" ht="14.1" customHeight="1">
      <c r="A23" s="115">
        <v>1019</v>
      </c>
      <c r="B23" s="115" t="s">
        <v>314</v>
      </c>
      <c r="C23" s="146"/>
      <c r="D23" s="146">
        <v>9746850.5500000007</v>
      </c>
      <c r="E23" s="146">
        <v>6949335.1600000001</v>
      </c>
      <c r="F23" s="146">
        <v>84119.58</v>
      </c>
      <c r="G23">
        <f t="shared" si="0"/>
        <v>16780305.289999999</v>
      </c>
      <c r="H23" t="str">
        <f t="shared" si="1"/>
        <v xml:space="preserve">  其他流动资产 </v>
      </c>
      <c r="I23" s="33" t="str">
        <f t="shared" si="2"/>
        <v>近三年及一期，拟承租人  其他流动资产 分别为0亿元、0.07亿元、0.1亿元及0亿元。</v>
      </c>
    </row>
    <row r="24" spans="1:9" s="143" customFormat="1" ht="14.1" customHeight="1">
      <c r="A24" s="147">
        <v>1099</v>
      </c>
      <c r="B24" s="147" t="s">
        <v>315</v>
      </c>
      <c r="C24" s="148">
        <f t="shared" ref="C24:F24" si="3">C3+C4+C5+C6+C7+C8+C9+C10+C11+C12+C13+C14+C15+C18+C19+C20+C21+C22+C23</f>
        <v>403561765.65000004</v>
      </c>
      <c r="D24" s="148">
        <f t="shared" si="3"/>
        <v>60863613.25</v>
      </c>
      <c r="E24" s="148">
        <f t="shared" si="3"/>
        <v>353995597.69000006</v>
      </c>
      <c r="F24" s="148">
        <f t="shared" si="3"/>
        <v>141867514.45000002</v>
      </c>
      <c r="G24">
        <f t="shared" si="0"/>
        <v>960288491.0400002</v>
      </c>
      <c r="H24" s="149" t="str">
        <f t="shared" si="1"/>
        <v xml:space="preserve">    流动资产合计 </v>
      </c>
      <c r="I24" s="33" t="str">
        <f t="shared" si="2"/>
        <v>近三年及一期，拟承租人    流动资产合计 分别为1.42亿元、3.54亿元、0.61亿元及4.04亿元。</v>
      </c>
    </row>
    <row r="25" spans="1:9" s="144" customFormat="1" ht="15" hidden="1" customHeight="1">
      <c r="A25" s="115">
        <v>1100</v>
      </c>
      <c r="B25" s="135" t="s">
        <v>316</v>
      </c>
      <c r="C25" s="146"/>
      <c r="D25" s="146"/>
      <c r="E25" s="146"/>
      <c r="F25" s="146"/>
      <c r="G25">
        <f t="shared" si="0"/>
        <v>0</v>
      </c>
      <c r="H25" t="str">
        <f t="shared" si="1"/>
        <v xml:space="preserve">非流动资产： </v>
      </c>
      <c r="I25" s="33"/>
    </row>
    <row r="26" spans="1:9" s="144" customFormat="1" ht="15" hidden="1" customHeight="1">
      <c r="A26" s="115">
        <v>1101</v>
      </c>
      <c r="B26" s="115" t="s">
        <v>317</v>
      </c>
      <c r="C26" s="146"/>
      <c r="D26" s="146"/>
      <c r="E26" s="146"/>
      <c r="F26" s="146"/>
      <c r="G26">
        <f t="shared" si="0"/>
        <v>0</v>
      </c>
      <c r="H26" t="str">
        <f t="shared" si="1"/>
        <v xml:space="preserve">  发放贷款和垫款* </v>
      </c>
      <c r="I26" s="33" t="str">
        <f t="shared" ref="I26:I53" si="4">CONCATENATE("近三年及一期，拟承租人",B26,"分别为",ROUND(F26/100000000,2),"亿元、",ROUND(E26/100000000,2),"亿元、",ROUND(D26/100000000,2),"亿元及",ROUND(C26/100000000,2),"亿元。")</f>
        <v>近三年及一期，拟承租人  发放贷款和垫款* 分别为0亿元、0亿元、0亿元及0亿元。</v>
      </c>
    </row>
    <row r="27" spans="1:9" s="144" customFormat="1" ht="15" hidden="1" customHeight="1">
      <c r="A27" s="115">
        <v>1102</v>
      </c>
      <c r="B27" s="115" t="s">
        <v>318</v>
      </c>
      <c r="C27" s="146"/>
      <c r="D27" s="146"/>
      <c r="E27" s="146"/>
      <c r="F27" s="146"/>
      <c r="G27">
        <f t="shared" si="0"/>
        <v>0</v>
      </c>
      <c r="H27" t="str">
        <f t="shared" si="1"/>
        <v xml:space="preserve">  债权投资 </v>
      </c>
      <c r="I27" s="33" t="str">
        <f t="shared" si="4"/>
        <v>近三年及一期，拟承租人  债权投资 分别为0亿元、0亿元、0亿元及0亿元。</v>
      </c>
    </row>
    <row r="28" spans="1:9" s="144" customFormat="1" ht="15" hidden="1" customHeight="1">
      <c r="A28" s="115">
        <v>1103</v>
      </c>
      <c r="B28" s="115" t="s">
        <v>319</v>
      </c>
      <c r="C28" s="146"/>
      <c r="D28" s="146"/>
      <c r="E28" s="146"/>
      <c r="F28" s="146"/>
      <c r="G28">
        <f t="shared" si="0"/>
        <v>0</v>
      </c>
      <c r="H28" t="str">
        <f t="shared" si="1"/>
        <v xml:space="preserve">  其他债权投资 </v>
      </c>
      <c r="I28" s="33" t="str">
        <f t="shared" si="4"/>
        <v>近三年及一期，拟承租人  其他债权投资 分别为0亿元、0亿元、0亿元及0亿元。</v>
      </c>
    </row>
    <row r="29" spans="1:9" s="144" customFormat="1" ht="15" hidden="1" customHeight="1">
      <c r="A29" s="115">
        <v>1104</v>
      </c>
      <c r="B29" s="115" t="s">
        <v>320</v>
      </c>
      <c r="C29" s="146"/>
      <c r="D29" s="146"/>
      <c r="E29" s="146"/>
      <c r="F29" s="146"/>
      <c r="G29">
        <f t="shared" si="0"/>
        <v>0</v>
      </c>
      <c r="H29" t="str">
        <f t="shared" si="1"/>
        <v xml:space="preserve">  长期应收款 </v>
      </c>
      <c r="I29" s="33" t="str">
        <f t="shared" si="4"/>
        <v>近三年及一期，拟承租人  长期应收款 分别为0亿元、0亿元、0亿元及0亿元。</v>
      </c>
    </row>
    <row r="30" spans="1:9" s="144" customFormat="1" ht="15" hidden="1" customHeight="1">
      <c r="A30" s="115">
        <v>1105</v>
      </c>
      <c r="B30" s="115" t="s">
        <v>321</v>
      </c>
      <c r="C30" s="146"/>
      <c r="D30" s="146"/>
      <c r="E30" s="146"/>
      <c r="F30" s="146"/>
      <c r="G30">
        <f t="shared" si="0"/>
        <v>0</v>
      </c>
      <c r="H30" t="str">
        <f t="shared" si="1"/>
        <v xml:space="preserve">  长期股权投资 </v>
      </c>
      <c r="I30" s="33" t="str">
        <f t="shared" si="4"/>
        <v>近三年及一期，拟承租人  长期股权投资 分别为0亿元、0亿元、0亿元及0亿元。</v>
      </c>
    </row>
    <row r="31" spans="1:9" s="144" customFormat="1" ht="15" hidden="1" customHeight="1">
      <c r="A31" s="115">
        <v>1106</v>
      </c>
      <c r="B31" s="115" t="s">
        <v>322</v>
      </c>
      <c r="C31" s="146"/>
      <c r="D31" s="146"/>
      <c r="E31" s="146"/>
      <c r="F31" s="146"/>
      <c r="G31">
        <f t="shared" si="0"/>
        <v>0</v>
      </c>
      <c r="H31" t="str">
        <f t="shared" si="1"/>
        <v xml:space="preserve">  可供出售金融资产 </v>
      </c>
      <c r="I31" s="33" t="str">
        <f t="shared" si="4"/>
        <v>近三年及一期，拟承租人  可供出售金融资产 分别为0亿元、0亿元、0亿元及0亿元。</v>
      </c>
    </row>
    <row r="32" spans="1:9" s="144" customFormat="1" ht="15" hidden="1" customHeight="1">
      <c r="A32" s="115">
        <v>1107</v>
      </c>
      <c r="B32" s="115" t="s">
        <v>323</v>
      </c>
      <c r="C32" s="146"/>
      <c r="D32" s="146"/>
      <c r="E32" s="146"/>
      <c r="F32" s="146"/>
      <c r="G32">
        <f t="shared" si="0"/>
        <v>0</v>
      </c>
      <c r="H32" t="str">
        <f t="shared" si="1"/>
        <v xml:space="preserve">  持有至到期投资 </v>
      </c>
      <c r="I32" s="33" t="str">
        <f t="shared" si="4"/>
        <v>近三年及一期，拟承租人  持有至到期投资 分别为0亿元、0亿元、0亿元及0亿元。</v>
      </c>
    </row>
    <row r="33" spans="1:9" s="144" customFormat="1" ht="15" hidden="1" customHeight="1">
      <c r="A33" s="115">
        <v>1108</v>
      </c>
      <c r="B33" s="115" t="s">
        <v>324</v>
      </c>
      <c r="C33" s="146"/>
      <c r="D33" s="146"/>
      <c r="E33" s="146"/>
      <c r="F33" s="146"/>
      <c r="G33">
        <f t="shared" si="0"/>
        <v>0</v>
      </c>
      <c r="H33" t="str">
        <f t="shared" si="1"/>
        <v xml:space="preserve">  其他权益工具投资 </v>
      </c>
      <c r="I33" s="33" t="str">
        <f t="shared" si="4"/>
        <v>近三年及一期，拟承租人  其他权益工具投资 分别为0亿元、0亿元、0亿元及0亿元。</v>
      </c>
    </row>
    <row r="34" spans="1:9" s="144" customFormat="1" ht="15" hidden="1" customHeight="1">
      <c r="A34" s="115">
        <v>1109</v>
      </c>
      <c r="B34" s="115" t="s">
        <v>325</v>
      </c>
      <c r="C34" s="146"/>
      <c r="D34" s="146"/>
      <c r="E34" s="146"/>
      <c r="F34" s="146"/>
      <c r="G34">
        <f t="shared" si="0"/>
        <v>0</v>
      </c>
      <c r="H34" t="str">
        <f t="shared" si="1"/>
        <v xml:space="preserve">  其他非流动金融资产 </v>
      </c>
      <c r="I34" s="33" t="str">
        <f t="shared" si="4"/>
        <v>近三年及一期，拟承租人  其他非流动金融资产 分别为0亿元、0亿元、0亿元及0亿元。</v>
      </c>
    </row>
    <row r="35" spans="1:9" s="144" customFormat="1" ht="15" hidden="1" customHeight="1">
      <c r="A35" s="115">
        <v>1110</v>
      </c>
      <c r="B35" s="115" t="s">
        <v>326</v>
      </c>
      <c r="C35" s="146"/>
      <c r="D35" s="146"/>
      <c r="E35" s="146"/>
      <c r="F35" s="146"/>
      <c r="G35">
        <f t="shared" ref="G35:G66" si="5">C35+D35+E35+F35</f>
        <v>0</v>
      </c>
      <c r="H35" t="str">
        <f t="shared" si="1"/>
        <v xml:space="preserve">  投资性房地产 </v>
      </c>
      <c r="I35" s="33" t="str">
        <f t="shared" si="4"/>
        <v>近三年及一期，拟承租人  投资性房地产 分别为0亿元、0亿元、0亿元及0亿元。</v>
      </c>
    </row>
    <row r="36" spans="1:9" s="144" customFormat="1" ht="15" customHeight="1">
      <c r="A36" s="115">
        <v>1111</v>
      </c>
      <c r="B36" s="115" t="s">
        <v>327</v>
      </c>
      <c r="C36" s="146">
        <f>'[1]资产负债表（重分类）'!$D$27</f>
        <v>502429625.56999999</v>
      </c>
      <c r="D36" s="146">
        <v>512347886.29000002</v>
      </c>
      <c r="E36" s="146">
        <v>33908.160000000003</v>
      </c>
      <c r="F36" s="146">
        <v>16040.39</v>
      </c>
      <c r="G36">
        <f t="shared" si="5"/>
        <v>1014827460.41</v>
      </c>
      <c r="H36" t="str">
        <f t="shared" si="1"/>
        <v xml:space="preserve">  固定资产 </v>
      </c>
      <c r="I36" s="33" t="str">
        <f t="shared" si="4"/>
        <v>近三年及一期，拟承租人  固定资产 分别为0亿元、0亿元、5.12亿元及5.02亿元。</v>
      </c>
    </row>
    <row r="37" spans="1:9" s="144" customFormat="1" ht="15" hidden="1" customHeight="1">
      <c r="A37" s="115">
        <v>1112</v>
      </c>
      <c r="B37" s="115" t="s">
        <v>328</v>
      </c>
      <c r="C37" s="146"/>
      <c r="D37" s="146"/>
      <c r="E37" s="146"/>
      <c r="F37" s="146"/>
      <c r="G37">
        <f t="shared" si="5"/>
        <v>0</v>
      </c>
      <c r="H37" t="str">
        <f t="shared" si="1"/>
        <v xml:space="preserve">  累计折旧</v>
      </c>
      <c r="I37" s="33" t="str">
        <f t="shared" si="4"/>
        <v>近三年及一期，拟承租人  累计折旧分别为0亿元、0亿元、0亿元及0亿元。</v>
      </c>
    </row>
    <row r="38" spans="1:9" s="144" customFormat="1" ht="15" hidden="1" customHeight="1">
      <c r="A38" s="115">
        <v>1113</v>
      </c>
      <c r="B38" s="115" t="s">
        <v>329</v>
      </c>
      <c r="C38" s="146"/>
      <c r="D38" s="146"/>
      <c r="E38" s="146"/>
      <c r="F38" s="146"/>
      <c r="G38">
        <f t="shared" si="5"/>
        <v>0</v>
      </c>
      <c r="H38" t="str">
        <f t="shared" si="1"/>
        <v xml:space="preserve">  固定资产减值准备 </v>
      </c>
      <c r="I38" s="33" t="str">
        <f t="shared" si="4"/>
        <v>近三年及一期，拟承租人  固定资产减值准备 分别为0亿元、0亿元、0亿元及0亿元。</v>
      </c>
    </row>
    <row r="39" spans="1:9" s="144" customFormat="1" ht="15" customHeight="1">
      <c r="A39" s="115">
        <v>1114</v>
      </c>
      <c r="B39" s="115" t="s">
        <v>330</v>
      </c>
      <c r="C39" s="150">
        <f>C36-C37-C38</f>
        <v>502429625.56999999</v>
      </c>
      <c r="D39" s="150">
        <f>D36-D37-D38</f>
        <v>512347886.29000002</v>
      </c>
      <c r="E39" s="150">
        <f>E36-E37-E38</f>
        <v>33908.160000000003</v>
      </c>
      <c r="F39" s="150">
        <f>F36-F37-F38</f>
        <v>16040.39</v>
      </c>
      <c r="G39">
        <f t="shared" si="5"/>
        <v>1014827460.41</v>
      </c>
      <c r="H39" t="str">
        <f t="shared" si="1"/>
        <v xml:space="preserve">  固定资产净额</v>
      </c>
      <c r="I39" s="33" t="str">
        <f t="shared" si="4"/>
        <v>近三年及一期，拟承租人  固定资产净额分别为0亿元、0亿元、5.12亿元及5.02亿元。</v>
      </c>
    </row>
    <row r="40" spans="1:9" s="144" customFormat="1" ht="15" hidden="1" customHeight="1">
      <c r="A40" s="115">
        <v>1115</v>
      </c>
      <c r="B40" s="115" t="s">
        <v>331</v>
      </c>
      <c r="C40" s="146"/>
      <c r="D40" s="146"/>
      <c r="E40" s="146"/>
      <c r="F40" s="146"/>
      <c r="G40">
        <f t="shared" si="5"/>
        <v>0</v>
      </c>
      <c r="H40" t="str">
        <f t="shared" si="1"/>
        <v xml:space="preserve">  固定资产清理</v>
      </c>
      <c r="I40" s="33" t="str">
        <f t="shared" si="4"/>
        <v>近三年及一期，拟承租人  固定资产清理分别为0亿元、0亿元、0亿元及0亿元。</v>
      </c>
    </row>
    <row r="41" spans="1:9" s="144" customFormat="1" ht="15" hidden="1" customHeight="1">
      <c r="A41" s="115">
        <v>1116</v>
      </c>
      <c r="B41" s="115" t="s">
        <v>332</v>
      </c>
      <c r="C41" s="146"/>
      <c r="D41" s="146"/>
      <c r="E41" s="146"/>
      <c r="F41" s="146"/>
      <c r="G41">
        <f t="shared" si="5"/>
        <v>0</v>
      </c>
      <c r="H41" t="str">
        <f t="shared" si="1"/>
        <v xml:space="preserve">  工程物资</v>
      </c>
      <c r="I41" s="33" t="str">
        <f t="shared" si="4"/>
        <v>近三年及一期，拟承租人  工程物资分别为0亿元、0亿元、0亿元及0亿元。</v>
      </c>
    </row>
    <row r="42" spans="1:9" s="144" customFormat="1" ht="15" customHeight="1">
      <c r="A42" s="115">
        <v>1117</v>
      </c>
      <c r="B42" s="115" t="s">
        <v>333</v>
      </c>
      <c r="C42" s="146">
        <f>'[1]资产负债表（重分类）'!$D$28</f>
        <v>598226.82999999996</v>
      </c>
      <c r="D42" s="146"/>
      <c r="E42" s="146">
        <v>83538821.780000001</v>
      </c>
      <c r="F42" s="146">
        <v>2241755.2400000002</v>
      </c>
      <c r="G42">
        <f t="shared" si="5"/>
        <v>86378803.849999994</v>
      </c>
      <c r="H42" t="str">
        <f t="shared" si="1"/>
        <v xml:space="preserve">  在建工程 </v>
      </c>
      <c r="I42" s="33" t="str">
        <f t="shared" si="4"/>
        <v>近三年及一期，拟承租人  在建工程 分别为0.02亿元、0.84亿元、0亿元及0.01亿元。</v>
      </c>
    </row>
    <row r="43" spans="1:9" s="144" customFormat="1" ht="15" hidden="1" customHeight="1">
      <c r="A43" s="115">
        <v>1118</v>
      </c>
      <c r="B43" s="115" t="s">
        <v>334</v>
      </c>
      <c r="C43" s="146"/>
      <c r="D43" s="146"/>
      <c r="E43" s="146"/>
      <c r="F43" s="146"/>
      <c r="G43">
        <f t="shared" si="5"/>
        <v>0</v>
      </c>
      <c r="H43" t="str">
        <f t="shared" si="1"/>
        <v xml:space="preserve">  生产性生物资产 </v>
      </c>
      <c r="I43" s="33" t="str">
        <f t="shared" si="4"/>
        <v>近三年及一期，拟承租人  生产性生物资产 分别为0亿元、0亿元、0亿元及0亿元。</v>
      </c>
    </row>
    <row r="44" spans="1:9" s="144" customFormat="1" ht="15" hidden="1" customHeight="1">
      <c r="A44" s="115">
        <v>1119</v>
      </c>
      <c r="B44" s="115" t="s">
        <v>335</v>
      </c>
      <c r="C44" s="146"/>
      <c r="D44" s="146"/>
      <c r="E44" s="146"/>
      <c r="F44" s="146"/>
      <c r="G44">
        <f t="shared" si="5"/>
        <v>0</v>
      </c>
      <c r="H44" t="str">
        <f t="shared" si="1"/>
        <v xml:space="preserve">  油气资产 </v>
      </c>
      <c r="I44" s="33" t="str">
        <f t="shared" si="4"/>
        <v>近三年及一期，拟承租人  油气资产 分别为0亿元、0亿元、0亿元及0亿元。</v>
      </c>
    </row>
    <row r="45" spans="1:9" s="144" customFormat="1" ht="15" hidden="1" customHeight="1">
      <c r="A45" s="115">
        <v>1120</v>
      </c>
      <c r="B45" s="115" t="s">
        <v>336</v>
      </c>
      <c r="C45" s="146"/>
      <c r="D45" s="146"/>
      <c r="E45" s="146"/>
      <c r="F45" s="146"/>
      <c r="G45">
        <f t="shared" si="5"/>
        <v>0</v>
      </c>
      <c r="H45" t="str">
        <f t="shared" si="1"/>
        <v xml:space="preserve">  使用权资产 </v>
      </c>
      <c r="I45" s="33" t="str">
        <f t="shared" si="4"/>
        <v>近三年及一期，拟承租人  使用权资产 分别为0亿元、0亿元、0亿元及0亿元。</v>
      </c>
    </row>
    <row r="46" spans="1:9" s="144" customFormat="1" ht="15" customHeight="1">
      <c r="A46" s="115">
        <v>1121</v>
      </c>
      <c r="B46" s="115" t="s">
        <v>337</v>
      </c>
      <c r="C46" s="146">
        <f>'[1]资产负债表（重分类）'!$D$33</f>
        <v>32527388.050000001</v>
      </c>
      <c r="D46" s="146">
        <v>32813650.600000001</v>
      </c>
      <c r="E46" s="146">
        <v>30340550.550000001</v>
      </c>
      <c r="F46" s="146">
        <v>30961858.710000001</v>
      </c>
      <c r="G46">
        <f t="shared" si="5"/>
        <v>126643447.91</v>
      </c>
      <c r="H46" t="str">
        <f t="shared" si="1"/>
        <v xml:space="preserve">  无形资产 </v>
      </c>
      <c r="I46" s="33" t="str">
        <f t="shared" si="4"/>
        <v>近三年及一期，拟承租人  无形资产 分别为0.31亿元、0.3亿元、0.33亿元及0.33亿元。</v>
      </c>
    </row>
    <row r="47" spans="1:9" s="144" customFormat="1" ht="15" hidden="1" customHeight="1">
      <c r="A47" s="115">
        <v>1122</v>
      </c>
      <c r="B47" s="115" t="s">
        <v>338</v>
      </c>
      <c r="C47" s="146"/>
      <c r="D47" s="146"/>
      <c r="E47" s="146"/>
      <c r="F47" s="146"/>
      <c r="G47">
        <f t="shared" si="5"/>
        <v>0</v>
      </c>
      <c r="H47" t="str">
        <f t="shared" si="1"/>
        <v xml:space="preserve">  开发支出 </v>
      </c>
      <c r="I47" s="33" t="str">
        <f t="shared" si="4"/>
        <v>近三年及一期，拟承租人  开发支出 分别为0亿元、0亿元、0亿元及0亿元。</v>
      </c>
    </row>
    <row r="48" spans="1:9" s="144" customFormat="1" ht="15" hidden="1" customHeight="1">
      <c r="A48" s="115">
        <v>1123</v>
      </c>
      <c r="B48" s="115" t="s">
        <v>339</v>
      </c>
      <c r="C48" s="146"/>
      <c r="D48" s="146"/>
      <c r="E48" s="146"/>
      <c r="F48" s="146"/>
      <c r="G48">
        <f t="shared" si="5"/>
        <v>0</v>
      </c>
      <c r="H48" t="str">
        <f t="shared" si="1"/>
        <v xml:space="preserve">  商誉 </v>
      </c>
      <c r="I48" s="33" t="str">
        <f t="shared" si="4"/>
        <v>近三年及一期，拟承租人  商誉 分别为0亿元、0亿元、0亿元及0亿元。</v>
      </c>
    </row>
    <row r="49" spans="1:9" s="144" customFormat="1" ht="15" customHeight="1">
      <c r="A49" s="115">
        <v>1124</v>
      </c>
      <c r="B49" s="115" t="s">
        <v>340</v>
      </c>
      <c r="C49" s="146">
        <f>'[1]资产负债表（重分类）'!$D$36</f>
        <v>2348851.63</v>
      </c>
      <c r="D49" s="146">
        <v>2495299.04</v>
      </c>
      <c r="E49" s="146">
        <v>23235</v>
      </c>
      <c r="F49" s="146"/>
      <c r="G49">
        <f t="shared" si="5"/>
        <v>4867385.67</v>
      </c>
      <c r="H49" t="str">
        <f t="shared" si="1"/>
        <v xml:space="preserve">  长期待摊费用 </v>
      </c>
      <c r="I49" s="33" t="str">
        <f t="shared" si="4"/>
        <v>近三年及一期，拟承租人  长期待摊费用 分别为0亿元、0亿元、0.02亿元及0.02亿元。</v>
      </c>
    </row>
    <row r="50" spans="1:9" s="144" customFormat="1" ht="15" hidden="1" customHeight="1">
      <c r="A50" s="115">
        <v>1125</v>
      </c>
      <c r="B50" s="115" t="s">
        <v>341</v>
      </c>
      <c r="C50" s="146"/>
      <c r="D50" s="146"/>
      <c r="E50" s="146"/>
      <c r="F50" s="146"/>
      <c r="G50">
        <f t="shared" si="5"/>
        <v>0</v>
      </c>
      <c r="H50" t="str">
        <f t="shared" si="1"/>
        <v xml:space="preserve">  递延所得税资产 </v>
      </c>
      <c r="I50" s="33" t="str">
        <f t="shared" si="4"/>
        <v>近三年及一期，拟承租人  递延所得税资产 分别为0亿元、0亿元、0亿元及0亿元。</v>
      </c>
    </row>
    <row r="51" spans="1:9" s="144" customFormat="1" ht="15" hidden="1" customHeight="1">
      <c r="A51" s="115">
        <v>1126</v>
      </c>
      <c r="B51" s="115" t="s">
        <v>342</v>
      </c>
      <c r="C51" s="146"/>
      <c r="D51" s="146"/>
      <c r="E51" s="146"/>
      <c r="F51" s="146"/>
      <c r="G51">
        <f t="shared" si="5"/>
        <v>0</v>
      </c>
      <c r="H51" t="str">
        <f t="shared" si="1"/>
        <v xml:space="preserve">  其他非流动资产 </v>
      </c>
      <c r="I51" s="33" t="str">
        <f t="shared" si="4"/>
        <v>近三年及一期，拟承租人  其他非流动资产 分别为0亿元、0亿元、0亿元及0亿元。</v>
      </c>
    </row>
    <row r="52" spans="1:9" s="143" customFormat="1" ht="14.1" customHeight="1">
      <c r="A52" s="147">
        <v>1199</v>
      </c>
      <c r="B52" s="151" t="s">
        <v>343</v>
      </c>
      <c r="C52" s="148">
        <f>C26+C27+C28+C29+C30+C31+C32+C32+C33+C34+C35+C39+C40+C41+C42+C43+C44+C45+C46+C47+C48+C49+C50+C51</f>
        <v>537904092.08000004</v>
      </c>
      <c r="D52" s="148">
        <f>D26+D27+D28+D29+D30+D31+D32+D32+D33+D34+D35+D39+D40+D41+D42+D43+D44+D45+D46+D47+D48+D49+D50+D51</f>
        <v>547656835.92999995</v>
      </c>
      <c r="E52" s="148">
        <f>E26+E27+E28+E29+E30+E31+E32+E32+E33+E34+E35+E39+E40+E41+E42+E43+E44+E45+E46+E47+E48+E49+E50+E51</f>
        <v>113936515.48999999</v>
      </c>
      <c r="F52" s="148">
        <f>F26+F27+F28+F29+F30+F31+F32+F32+F33+F34+F35+F39+F40+F41+F42+F43+F44+F45+F46+F47+F48+F49+F50+F51</f>
        <v>33219654.34</v>
      </c>
      <c r="G52">
        <f t="shared" si="5"/>
        <v>1232717097.8399999</v>
      </c>
      <c r="H52" t="str">
        <f t="shared" si="1"/>
        <v xml:space="preserve">非流动资产合计 </v>
      </c>
      <c r="I52" s="33" t="str">
        <f t="shared" si="4"/>
        <v>近三年及一期，拟承租人非流动资产合计 分别为0.33亿元、1.14亿元、5.48亿元及5.38亿元。</v>
      </c>
    </row>
    <row r="53" spans="1:9" s="143" customFormat="1" ht="14.1" customHeight="1">
      <c r="A53" s="147">
        <v>1999</v>
      </c>
      <c r="B53" s="147" t="s">
        <v>344</v>
      </c>
      <c r="C53" s="148">
        <f>C24+C52</f>
        <v>941465857.73000002</v>
      </c>
      <c r="D53" s="148">
        <f>D24+D52</f>
        <v>608520449.17999995</v>
      </c>
      <c r="E53" s="148">
        <f>E24+E52</f>
        <v>467932113.18000007</v>
      </c>
      <c r="F53" s="148">
        <f>F24+F52</f>
        <v>175087168.79000002</v>
      </c>
      <c r="G53">
        <f t="shared" si="5"/>
        <v>2193005588.8800001</v>
      </c>
      <c r="H53" s="143" t="str">
        <f t="shared" si="1"/>
        <v xml:space="preserve">      资产总计 </v>
      </c>
      <c r="I53" s="33" t="str">
        <f t="shared" si="4"/>
        <v>近三年及一期，拟承租人      资产总计 分别为1.75亿元、4.68亿元、6.09亿元及9.41亿元。</v>
      </c>
    </row>
    <row r="54" spans="1:9" ht="14.1" hidden="1" customHeight="1">
      <c r="A54" s="33">
        <v>2000</v>
      </c>
      <c r="B54" s="46" t="s">
        <v>345</v>
      </c>
      <c r="C54" s="146"/>
      <c r="D54" s="146"/>
      <c r="E54" s="146"/>
      <c r="F54" s="146"/>
      <c r="G54">
        <f t="shared" si="5"/>
        <v>0</v>
      </c>
      <c r="H54" t="str">
        <f t="shared" si="1"/>
        <v>应付</v>
      </c>
      <c r="I54" s="33"/>
    </row>
    <row r="55" spans="1:9" ht="14.1" hidden="1" customHeight="1">
      <c r="A55" s="33">
        <v>2001</v>
      </c>
      <c r="B55" s="33" t="s">
        <v>346</v>
      </c>
      <c r="C55" s="146"/>
      <c r="D55" s="146"/>
      <c r="E55" s="146"/>
      <c r="F55" s="146"/>
      <c r="G55">
        <f t="shared" si="5"/>
        <v>0</v>
      </c>
      <c r="H55" t="str">
        <f t="shared" si="1"/>
        <v xml:space="preserve">  短期借款 </v>
      </c>
      <c r="I55" s="33" t="str">
        <f t="shared" ref="I55:I86" si="6">CONCATENATE("近三年及一期，拟承租人",B55,"分别为",ROUND(F55/100000000,2),"亿元、",ROUND(E55/100000000,2),"亿元、",ROUND(D55/100000000,2),"亿元及",ROUND(C55/100000000,2),"亿元。")</f>
        <v>近三年及一期，拟承租人  短期借款 分别为0亿元、0亿元、0亿元及0亿元。</v>
      </c>
    </row>
    <row r="56" spans="1:9" ht="14.1" hidden="1" customHeight="1">
      <c r="A56" s="33">
        <v>2002</v>
      </c>
      <c r="B56" s="33" t="s">
        <v>347</v>
      </c>
      <c r="C56" s="146"/>
      <c r="D56" s="146"/>
      <c r="E56" s="146"/>
      <c r="F56" s="146"/>
      <c r="G56">
        <f t="shared" si="5"/>
        <v>0</v>
      </c>
      <c r="H56" t="str">
        <f t="shared" si="1"/>
        <v xml:space="preserve">  向中央银行借款* </v>
      </c>
      <c r="I56" s="33" t="str">
        <f t="shared" si="6"/>
        <v>近三年及一期，拟承租人  向中央银行借款* 分别为0亿元、0亿元、0亿元及0亿元。</v>
      </c>
    </row>
    <row r="57" spans="1:9" ht="14.1" hidden="1" customHeight="1">
      <c r="A57" s="33">
        <v>2003</v>
      </c>
      <c r="B57" s="33" t="s">
        <v>348</v>
      </c>
      <c r="C57" s="146"/>
      <c r="D57" s="146"/>
      <c r="E57" s="146"/>
      <c r="F57" s="146"/>
      <c r="G57">
        <f t="shared" si="5"/>
        <v>0</v>
      </c>
      <c r="H57" t="str">
        <f t="shared" si="1"/>
        <v xml:space="preserve">  拆入资金* </v>
      </c>
      <c r="I57" s="33" t="str">
        <f t="shared" si="6"/>
        <v>近三年及一期，拟承租人  拆入资金* 分别为0亿元、0亿元、0亿元及0亿元。</v>
      </c>
    </row>
    <row r="58" spans="1:9" ht="14.1" hidden="1" customHeight="1">
      <c r="A58" s="33">
        <v>2004</v>
      </c>
      <c r="B58" s="33" t="s">
        <v>349</v>
      </c>
      <c r="C58" s="146"/>
      <c r="D58" s="146"/>
      <c r="E58" s="146"/>
      <c r="F58" s="146"/>
      <c r="G58">
        <f t="shared" si="5"/>
        <v>0</v>
      </c>
      <c r="H58" t="str">
        <f t="shared" si="1"/>
        <v xml:space="preserve">  交易性金融负债 </v>
      </c>
      <c r="I58" s="33" t="str">
        <f t="shared" si="6"/>
        <v>近三年及一期，拟承租人  交易性金融负债 分别为0亿元、0亿元、0亿元及0亿元。</v>
      </c>
    </row>
    <row r="59" spans="1:9" ht="14.1" hidden="1" customHeight="1">
      <c r="A59" s="33">
        <v>2005</v>
      </c>
      <c r="B59" s="33" t="s">
        <v>350</v>
      </c>
      <c r="C59" s="146"/>
      <c r="D59" s="146"/>
      <c r="E59" s="146"/>
      <c r="F59" s="146"/>
      <c r="G59">
        <f t="shared" si="5"/>
        <v>0</v>
      </c>
      <c r="H59" t="str">
        <f t="shared" si="1"/>
        <v xml:space="preserve">  衍生金融负债 </v>
      </c>
      <c r="I59" s="33" t="str">
        <f t="shared" si="6"/>
        <v>近三年及一期，拟承租人  衍生金融负债 分别为0亿元、0亿元、0亿元及0亿元。</v>
      </c>
    </row>
    <row r="60" spans="1:9" ht="14.1" hidden="1" customHeight="1">
      <c r="A60" s="33">
        <v>2006</v>
      </c>
      <c r="B60" s="33" t="s">
        <v>351</v>
      </c>
      <c r="C60" s="146"/>
      <c r="D60" s="146"/>
      <c r="E60" s="146"/>
      <c r="F60" s="146"/>
      <c r="G60">
        <f t="shared" si="5"/>
        <v>0</v>
      </c>
      <c r="H60" t="str">
        <f t="shared" si="1"/>
        <v xml:space="preserve">  应付票据 </v>
      </c>
      <c r="I60" s="33" t="str">
        <f t="shared" si="6"/>
        <v>近三年及一期，拟承租人  应付票据 分别为0亿元、0亿元、0亿元及0亿元。</v>
      </c>
    </row>
    <row r="61" spans="1:9" ht="14.1" customHeight="1">
      <c r="A61" s="33">
        <v>2007</v>
      </c>
      <c r="B61" s="33" t="s">
        <v>352</v>
      </c>
      <c r="C61" s="146">
        <f>'[1]资产负债表（重分类）'!$H$10</f>
        <v>393195466.06</v>
      </c>
      <c r="D61" s="146">
        <v>43448462.619999997</v>
      </c>
      <c r="E61" s="146"/>
      <c r="F61" s="146"/>
      <c r="G61">
        <f t="shared" si="5"/>
        <v>436643928.68000001</v>
      </c>
      <c r="H61" t="str">
        <f t="shared" si="1"/>
        <v xml:space="preserve">  应付账款 </v>
      </c>
      <c r="I61" s="33" t="str">
        <f t="shared" si="6"/>
        <v>近三年及一期，拟承租人  应付账款 分别为0亿元、0亿元、0.43亿元及3.93亿元。</v>
      </c>
    </row>
    <row r="62" spans="1:9" ht="14.1" customHeight="1">
      <c r="A62" s="33">
        <v>2008</v>
      </c>
      <c r="B62" s="33" t="s">
        <v>353</v>
      </c>
      <c r="C62" s="146">
        <f>'[1]资产负债表（重分类）'!$H$11</f>
        <v>56289.14</v>
      </c>
      <c r="D62" s="146"/>
      <c r="E62" s="146"/>
      <c r="F62" s="146"/>
      <c r="G62">
        <f t="shared" si="5"/>
        <v>56289.14</v>
      </c>
      <c r="H62" t="str">
        <f t="shared" si="1"/>
        <v xml:space="preserve">  预收款项 </v>
      </c>
      <c r="I62" s="33" t="str">
        <f t="shared" si="6"/>
        <v>近三年及一期，拟承租人  预收款项 分别为0亿元、0亿元、0亿元及0亿元。</v>
      </c>
    </row>
    <row r="63" spans="1:9" ht="14.1" hidden="1" customHeight="1">
      <c r="A63" s="33">
        <v>2009</v>
      </c>
      <c r="B63" s="33" t="s">
        <v>354</v>
      </c>
      <c r="C63" s="146"/>
      <c r="D63" s="146"/>
      <c r="E63" s="146"/>
      <c r="F63" s="146"/>
      <c r="G63">
        <f t="shared" si="5"/>
        <v>0</v>
      </c>
      <c r="H63" t="str">
        <f t="shared" si="1"/>
        <v xml:space="preserve">  合同负债 </v>
      </c>
      <c r="I63" s="33" t="str">
        <f t="shared" si="6"/>
        <v>近三年及一期，拟承租人  合同负债 分别为0亿元、0亿元、0亿元及0亿元。</v>
      </c>
    </row>
    <row r="64" spans="1:9" ht="14.1" hidden="1" customHeight="1">
      <c r="A64" s="33">
        <v>2010</v>
      </c>
      <c r="B64" s="33" t="s">
        <v>355</v>
      </c>
      <c r="C64" s="146"/>
      <c r="D64" s="146"/>
      <c r="E64" s="146"/>
      <c r="F64" s="146"/>
      <c r="G64">
        <f t="shared" si="5"/>
        <v>0</v>
      </c>
      <c r="H64" t="str">
        <f t="shared" si="1"/>
        <v xml:space="preserve">  卖出回购金融资产款* </v>
      </c>
      <c r="I64" s="33" t="str">
        <f t="shared" si="6"/>
        <v>近三年及一期，拟承租人  卖出回购金融资产款* 分别为0亿元、0亿元、0亿元及0亿元。</v>
      </c>
    </row>
    <row r="65" spans="1:9" ht="14.1" hidden="1" customHeight="1">
      <c r="A65" s="33">
        <v>2011</v>
      </c>
      <c r="B65" s="33" t="s">
        <v>356</v>
      </c>
      <c r="C65" s="146"/>
      <c r="D65" s="146"/>
      <c r="E65" s="146"/>
      <c r="F65" s="146"/>
      <c r="G65">
        <f t="shared" si="5"/>
        <v>0</v>
      </c>
      <c r="H65" t="str">
        <f t="shared" si="1"/>
        <v xml:space="preserve">  吸收存款及同业存放* </v>
      </c>
      <c r="I65" s="33" t="str">
        <f t="shared" si="6"/>
        <v>近三年及一期，拟承租人  吸收存款及同业存放* 分别为0亿元、0亿元、0亿元及0亿元。</v>
      </c>
    </row>
    <row r="66" spans="1:9" ht="14.1" hidden="1" customHeight="1">
      <c r="A66" s="33">
        <v>2012</v>
      </c>
      <c r="B66" s="33" t="s">
        <v>357</v>
      </c>
      <c r="C66" s="146"/>
      <c r="D66" s="146"/>
      <c r="E66" s="146"/>
      <c r="F66" s="146"/>
      <c r="G66">
        <f t="shared" si="5"/>
        <v>0</v>
      </c>
      <c r="H66" t="str">
        <f t="shared" si="1"/>
        <v xml:space="preserve">  代理买卖证券款* </v>
      </c>
      <c r="I66" s="33" t="str">
        <f t="shared" si="6"/>
        <v>近三年及一期，拟承租人  代理买卖证券款* 分别为0亿元、0亿元、0亿元及0亿元。</v>
      </c>
    </row>
    <row r="67" spans="1:9" ht="14.1" hidden="1" customHeight="1">
      <c r="A67" s="33">
        <v>2013</v>
      </c>
      <c r="B67" s="33" t="s">
        <v>358</v>
      </c>
      <c r="C67" s="146"/>
      <c r="D67" s="146"/>
      <c r="E67" s="146"/>
      <c r="F67" s="146"/>
      <c r="G67">
        <f t="shared" ref="G67:G98" si="7">C67+D67+E67+F67</f>
        <v>0</v>
      </c>
      <c r="H67" t="str">
        <f t="shared" ref="H67:H110" si="8">B67</f>
        <v xml:space="preserve">  代理承销证券款* </v>
      </c>
      <c r="I67" s="33" t="str">
        <f t="shared" si="6"/>
        <v>近三年及一期，拟承租人  代理承销证券款* 分别为0亿元、0亿元、0亿元及0亿元。</v>
      </c>
    </row>
    <row r="68" spans="1:9" ht="14.1" customHeight="1">
      <c r="A68" s="33">
        <v>2014</v>
      </c>
      <c r="B68" s="33" t="s">
        <v>359</v>
      </c>
      <c r="C68" s="146">
        <f>'[1]资产负债表（重分类）'!$H$12</f>
        <v>1640.75</v>
      </c>
      <c r="D68" s="146">
        <v>1511.88</v>
      </c>
      <c r="E68" s="146"/>
      <c r="F68" s="146"/>
      <c r="G68">
        <f t="shared" si="7"/>
        <v>3152.63</v>
      </c>
      <c r="H68" t="str">
        <f t="shared" si="8"/>
        <v xml:space="preserve">  应付职工薪酬 </v>
      </c>
      <c r="I68" s="33" t="str">
        <f t="shared" si="6"/>
        <v>近三年及一期，拟承租人  应付职工薪酬 分别为0亿元、0亿元、0亿元及0亿元。</v>
      </c>
    </row>
    <row r="69" spans="1:9" ht="14.1" customHeight="1">
      <c r="A69" s="33">
        <v>2015</v>
      </c>
      <c r="B69" s="33" t="s">
        <v>360</v>
      </c>
      <c r="C69" s="146">
        <f>'[1]资产负债表（重分类）'!$H$13</f>
        <v>-10216765.119999999</v>
      </c>
      <c r="D69" s="146">
        <v>338695.09</v>
      </c>
      <c r="E69" s="146">
        <v>386531.5</v>
      </c>
      <c r="F69" s="146">
        <v>9530.2000000000007</v>
      </c>
      <c r="G69">
        <f t="shared" si="7"/>
        <v>-9482008.3300000001</v>
      </c>
      <c r="H69" t="str">
        <f t="shared" si="8"/>
        <v xml:space="preserve">  应交税费 </v>
      </c>
      <c r="I69" s="33" t="str">
        <f t="shared" si="6"/>
        <v>近三年及一期，拟承租人  应交税费 分别为0亿元、0亿元、0亿元及-0.1亿元。</v>
      </c>
    </row>
    <row r="70" spans="1:9" ht="14.1" customHeight="1">
      <c r="A70" s="33">
        <v>2016</v>
      </c>
      <c r="B70" s="33" t="s">
        <v>361</v>
      </c>
      <c r="C70" s="146">
        <f>'[1]资产负债表（重分类）'!$H$16</f>
        <v>205744098.34</v>
      </c>
      <c r="D70" s="146">
        <v>211982574.69999999</v>
      </c>
      <c r="E70" s="146">
        <v>1050850.53</v>
      </c>
      <c r="F70" s="146">
        <v>75092244.299999997</v>
      </c>
      <c r="G70">
        <f t="shared" si="7"/>
        <v>493869767.86999995</v>
      </c>
      <c r="H70" t="str">
        <f t="shared" si="8"/>
        <v xml:space="preserve">  其他应付款 </v>
      </c>
      <c r="I70" s="33" t="str">
        <f t="shared" si="6"/>
        <v>近三年及一期，拟承租人  其他应付款 分别为0.75亿元、0.01亿元、2.12亿元及2.06亿元。</v>
      </c>
    </row>
    <row r="71" spans="1:9" ht="14.1" hidden="1" customHeight="1">
      <c r="A71" s="33">
        <v>2017</v>
      </c>
      <c r="B71" s="33" t="s">
        <v>362</v>
      </c>
      <c r="C71" s="146"/>
      <c r="D71" s="146"/>
      <c r="E71" s="146"/>
      <c r="F71" s="146"/>
      <c r="G71">
        <f t="shared" si="7"/>
        <v>0</v>
      </c>
      <c r="H71" t="str">
        <f t="shared" si="8"/>
        <v xml:space="preserve">   其中：应付利息</v>
      </c>
      <c r="I71" s="33" t="str">
        <f t="shared" si="6"/>
        <v>近三年及一期，拟承租人   其中：应付利息分别为0亿元、0亿元、0亿元及0亿元。</v>
      </c>
    </row>
    <row r="72" spans="1:9" ht="14.1" hidden="1" customHeight="1">
      <c r="A72" s="33">
        <v>201701</v>
      </c>
      <c r="B72" s="33" t="s">
        <v>363</v>
      </c>
      <c r="C72" s="146"/>
      <c r="D72" s="146"/>
      <c r="E72" s="146"/>
      <c r="F72" s="146"/>
      <c r="G72">
        <f t="shared" si="7"/>
        <v>0</v>
      </c>
      <c r="H72" t="str">
        <f t="shared" si="8"/>
        <v xml:space="preserve">         应付股利</v>
      </c>
      <c r="I72" s="33" t="str">
        <f t="shared" si="6"/>
        <v>近三年及一期，拟承租人         应付股利分别为0亿元、0亿元、0亿元及0亿元。</v>
      </c>
    </row>
    <row r="73" spans="1:9" ht="14.1" hidden="1" customHeight="1">
      <c r="A73" s="33">
        <v>2018</v>
      </c>
      <c r="B73" s="33" t="s">
        <v>364</v>
      </c>
      <c r="C73" s="146"/>
      <c r="D73" s="146"/>
      <c r="E73" s="146"/>
      <c r="F73" s="146"/>
      <c r="G73">
        <f t="shared" si="7"/>
        <v>0</v>
      </c>
      <c r="H73" t="str">
        <f t="shared" si="8"/>
        <v xml:space="preserve">  应付手续费及佣金* </v>
      </c>
      <c r="I73" s="33" t="str">
        <f t="shared" si="6"/>
        <v>近三年及一期，拟承租人  应付手续费及佣金* 分别为0亿元、0亿元、0亿元及0亿元。</v>
      </c>
    </row>
    <row r="74" spans="1:9" ht="14.1" hidden="1" customHeight="1">
      <c r="A74" s="33">
        <v>2019</v>
      </c>
      <c r="B74" s="33" t="s">
        <v>365</v>
      </c>
      <c r="C74" s="146"/>
      <c r="D74" s="146"/>
      <c r="E74" s="146"/>
      <c r="F74" s="146"/>
      <c r="G74">
        <f t="shared" si="7"/>
        <v>0</v>
      </c>
      <c r="H74" t="str">
        <f t="shared" si="8"/>
        <v xml:space="preserve">  应付分保账款* </v>
      </c>
      <c r="I74" s="33" t="str">
        <f t="shared" si="6"/>
        <v>近三年及一期，拟承租人  应付分保账款* 分别为0亿元、0亿元、0亿元及0亿元。</v>
      </c>
    </row>
    <row r="75" spans="1:9" ht="14.1" hidden="1" customHeight="1">
      <c r="A75" s="33">
        <v>2020</v>
      </c>
      <c r="B75" s="33" t="s">
        <v>366</v>
      </c>
      <c r="C75" s="146"/>
      <c r="D75" s="146"/>
      <c r="E75" s="146"/>
      <c r="F75" s="146"/>
      <c r="G75">
        <f t="shared" si="7"/>
        <v>0</v>
      </c>
      <c r="H75" t="str">
        <f t="shared" si="8"/>
        <v xml:space="preserve">  持有待售负债 </v>
      </c>
      <c r="I75" s="33" t="str">
        <f t="shared" si="6"/>
        <v>近三年及一期，拟承租人  持有待售负债 分别为0亿元、0亿元、0亿元及0亿元。</v>
      </c>
    </row>
    <row r="76" spans="1:9" ht="14.1" hidden="1" customHeight="1">
      <c r="A76" s="33">
        <v>2021</v>
      </c>
      <c r="B76" s="33" t="s">
        <v>367</v>
      </c>
      <c r="C76" s="146"/>
      <c r="D76" s="146"/>
      <c r="E76" s="146"/>
      <c r="F76" s="146"/>
      <c r="G76">
        <f t="shared" si="7"/>
        <v>0</v>
      </c>
      <c r="H76" t="str">
        <f t="shared" si="8"/>
        <v xml:space="preserve">  一年内到期的非流动负债 </v>
      </c>
      <c r="I76" s="33" t="str">
        <f t="shared" si="6"/>
        <v>近三年及一期，拟承租人  一年内到期的非流动负债 分别为0亿元、0亿元、0亿元及0亿元。</v>
      </c>
    </row>
    <row r="77" spans="1:9" ht="14.1" hidden="1" customHeight="1">
      <c r="A77" s="33">
        <v>2022</v>
      </c>
      <c r="B77" s="33" t="s">
        <v>368</v>
      </c>
      <c r="C77" s="146"/>
      <c r="D77" s="146"/>
      <c r="E77" s="146"/>
      <c r="F77" s="146"/>
      <c r="G77">
        <f t="shared" si="7"/>
        <v>0</v>
      </c>
      <c r="H77" t="str">
        <f t="shared" si="8"/>
        <v xml:space="preserve">  其他流动负债 </v>
      </c>
      <c r="I77" s="33" t="str">
        <f t="shared" si="6"/>
        <v>近三年及一期，拟承租人  其他流动负债 分别为0亿元、0亿元、0亿元及0亿元。</v>
      </c>
    </row>
    <row r="78" spans="1:9" s="143" customFormat="1" ht="14.1" customHeight="1">
      <c r="A78" s="147">
        <v>2099</v>
      </c>
      <c r="B78" s="147" t="s">
        <v>369</v>
      </c>
      <c r="C78" s="148">
        <f t="shared" ref="C78:F78" si="9">C55+C56+C57+C58+C59+C60+C61+C62+C63+C64+C65+C66+C67+C68+C69+C70+C73+C74+C75+C76+C77</f>
        <v>588780729.16999996</v>
      </c>
      <c r="D78" s="148">
        <f t="shared" si="9"/>
        <v>255771244.28999999</v>
      </c>
      <c r="E78" s="148">
        <f t="shared" si="9"/>
        <v>1437382.03</v>
      </c>
      <c r="F78" s="148">
        <f t="shared" si="9"/>
        <v>75101774.5</v>
      </c>
      <c r="G78">
        <f t="shared" si="7"/>
        <v>921091129.98999989</v>
      </c>
      <c r="H78" t="str">
        <f t="shared" si="8"/>
        <v xml:space="preserve">    流动负债合计 </v>
      </c>
      <c r="I78" s="33" t="str">
        <f t="shared" si="6"/>
        <v>近三年及一期，拟承租人    流动负债合计 分别为0.75亿元、0.01亿元、2.56亿元及5.89亿元。</v>
      </c>
    </row>
    <row r="79" spans="1:9" ht="14.1" hidden="1" customHeight="1">
      <c r="A79" s="33">
        <v>2100</v>
      </c>
      <c r="B79" s="46" t="s">
        <v>370</v>
      </c>
      <c r="C79" s="146"/>
      <c r="D79" s="146"/>
      <c r="E79" s="146"/>
      <c r="F79" s="146"/>
      <c r="G79">
        <f t="shared" si="7"/>
        <v>0</v>
      </c>
      <c r="H79" t="str">
        <f t="shared" si="8"/>
        <v xml:space="preserve">非流动负债： </v>
      </c>
      <c r="I79" s="33" t="str">
        <f t="shared" si="6"/>
        <v>近三年及一期，拟承租人非流动负债： 分别为0亿元、0亿元、0亿元及0亿元。</v>
      </c>
    </row>
    <row r="80" spans="1:9" ht="14.1" hidden="1" customHeight="1">
      <c r="A80" s="33">
        <v>2101</v>
      </c>
      <c r="B80" s="33" t="s">
        <v>371</v>
      </c>
      <c r="C80" s="146"/>
      <c r="D80" s="146"/>
      <c r="E80" s="146"/>
      <c r="F80" s="146"/>
      <c r="G80">
        <f t="shared" si="7"/>
        <v>0</v>
      </c>
      <c r="H80" t="str">
        <f t="shared" si="8"/>
        <v xml:space="preserve">  保险合同准备金* </v>
      </c>
      <c r="I80" s="33" t="str">
        <f t="shared" si="6"/>
        <v>近三年及一期，拟承租人  保险合同准备金* 分别为0亿元、0亿元、0亿元及0亿元。</v>
      </c>
    </row>
    <row r="81" spans="1:9" ht="14.1" customHeight="1">
      <c r="A81" s="33">
        <v>2102</v>
      </c>
      <c r="B81" s="33" t="s">
        <v>372</v>
      </c>
      <c r="C81" s="146">
        <f>'[1]资产负债表（重分类）'!$H$22</f>
        <v>250249366.99000001</v>
      </c>
      <c r="D81" s="146">
        <v>233952065.44999999</v>
      </c>
      <c r="E81" s="146">
        <v>367966227.69999999</v>
      </c>
      <c r="F81" s="146"/>
      <c r="G81">
        <f t="shared" si="7"/>
        <v>852167660.13999999</v>
      </c>
      <c r="H81" t="str">
        <f t="shared" si="8"/>
        <v xml:space="preserve">  长期借款 </v>
      </c>
      <c r="I81" s="33" t="str">
        <f t="shared" si="6"/>
        <v>近三年及一期，拟承租人  长期借款 分别为0亿元、3.68亿元、2.34亿元及2.5亿元。</v>
      </c>
    </row>
    <row r="82" spans="1:9" ht="14.1" hidden="1" customHeight="1">
      <c r="A82" s="33">
        <v>2103</v>
      </c>
      <c r="B82" s="33" t="s">
        <v>373</v>
      </c>
      <c r="C82" s="146"/>
      <c r="D82" s="146"/>
      <c r="E82" s="146"/>
      <c r="F82" s="146"/>
      <c r="G82">
        <f t="shared" si="7"/>
        <v>0</v>
      </c>
      <c r="H82" t="str">
        <f t="shared" si="8"/>
        <v xml:space="preserve">  应付债券 </v>
      </c>
      <c r="I82" s="33" t="str">
        <f t="shared" si="6"/>
        <v>近三年及一期，拟承租人  应付债券 分别为0亿元、0亿元、0亿元及0亿元。</v>
      </c>
    </row>
    <row r="83" spans="1:9" ht="14.1" hidden="1" customHeight="1">
      <c r="A83" s="33">
        <v>210301</v>
      </c>
      <c r="B83" s="33" t="s">
        <v>374</v>
      </c>
      <c r="C83" s="146"/>
      <c r="D83" s="146"/>
      <c r="E83" s="146"/>
      <c r="F83" s="146"/>
      <c r="G83">
        <f t="shared" si="7"/>
        <v>0</v>
      </c>
      <c r="H83" t="str">
        <f t="shared" si="8"/>
        <v xml:space="preserve">    其中：优先股 </v>
      </c>
      <c r="I83" s="33" t="str">
        <f t="shared" si="6"/>
        <v>近三年及一期，拟承租人    其中：优先股 分别为0亿元、0亿元、0亿元及0亿元。</v>
      </c>
    </row>
    <row r="84" spans="1:9" ht="14.1" hidden="1" customHeight="1">
      <c r="A84" s="33">
        <v>210302</v>
      </c>
      <c r="B84" s="33" t="s">
        <v>375</v>
      </c>
      <c r="C84" s="146"/>
      <c r="D84" s="146"/>
      <c r="E84" s="146"/>
      <c r="F84" s="146"/>
      <c r="G84">
        <f t="shared" si="7"/>
        <v>0</v>
      </c>
      <c r="H84" t="str">
        <f t="shared" si="8"/>
        <v xml:space="preserve">          永续债 </v>
      </c>
      <c r="I84" s="33" t="str">
        <f t="shared" si="6"/>
        <v>近三年及一期，拟承租人          永续债 分别为0亿元、0亿元、0亿元及0亿元。</v>
      </c>
    </row>
    <row r="85" spans="1:9" ht="14.1" hidden="1" customHeight="1">
      <c r="A85" s="33">
        <v>2104</v>
      </c>
      <c r="B85" s="33" t="s">
        <v>376</v>
      </c>
      <c r="C85" s="146"/>
      <c r="D85" s="146"/>
      <c r="E85" s="146"/>
      <c r="F85" s="146"/>
      <c r="G85">
        <f t="shared" si="7"/>
        <v>0</v>
      </c>
      <c r="H85" t="str">
        <f t="shared" si="8"/>
        <v xml:space="preserve">  租赁负债 </v>
      </c>
      <c r="I85" s="33" t="str">
        <f t="shared" si="6"/>
        <v>近三年及一期，拟承租人  租赁负债 分别为0亿元、0亿元、0亿元及0亿元。</v>
      </c>
    </row>
    <row r="86" spans="1:9" ht="14.1" hidden="1" customHeight="1">
      <c r="A86" s="33">
        <v>2105</v>
      </c>
      <c r="B86" s="33" t="s">
        <v>377</v>
      </c>
      <c r="C86" s="146"/>
      <c r="D86" s="146"/>
      <c r="E86" s="146"/>
      <c r="F86" s="146"/>
      <c r="G86">
        <f t="shared" si="7"/>
        <v>0</v>
      </c>
      <c r="H86" t="str">
        <f t="shared" si="8"/>
        <v xml:space="preserve">  专项应付款 </v>
      </c>
      <c r="I86" s="33" t="str">
        <f t="shared" si="6"/>
        <v>近三年及一期，拟承租人  专项应付款 分别为0亿元、0亿元、0亿元及0亿元。</v>
      </c>
    </row>
    <row r="87" spans="1:9" ht="14.1" hidden="1" customHeight="1">
      <c r="A87" s="33">
        <v>2106</v>
      </c>
      <c r="B87" s="33" t="s">
        <v>378</v>
      </c>
      <c r="C87" s="146"/>
      <c r="D87" s="146"/>
      <c r="E87" s="146"/>
      <c r="F87" s="146"/>
      <c r="G87">
        <f t="shared" si="7"/>
        <v>0</v>
      </c>
      <c r="H87" t="str">
        <f t="shared" si="8"/>
        <v xml:space="preserve">  长期应付款 </v>
      </c>
      <c r="I87" s="33" t="str">
        <f t="shared" ref="I87:I110" si="10">CONCATENATE("近三年及一期，拟承租人",B87,"分别为",ROUND(F87/100000000,2),"亿元、",ROUND(E87/100000000,2),"亿元、",ROUND(D87/100000000,2),"亿元及",ROUND(C87/100000000,2),"亿元。")</f>
        <v>近三年及一期，拟承租人  长期应付款 分别为0亿元、0亿元、0亿元及0亿元。</v>
      </c>
    </row>
    <row r="88" spans="1:9" ht="14.1" hidden="1" customHeight="1">
      <c r="A88" s="33">
        <v>2107</v>
      </c>
      <c r="B88" s="33" t="s">
        <v>379</v>
      </c>
      <c r="C88" s="146"/>
      <c r="D88" s="146"/>
      <c r="E88" s="146"/>
      <c r="F88" s="146"/>
      <c r="G88">
        <f t="shared" si="7"/>
        <v>0</v>
      </c>
      <c r="H88" t="str">
        <f t="shared" si="8"/>
        <v xml:space="preserve">  长期应付职工薪酬</v>
      </c>
      <c r="I88" s="33" t="str">
        <f t="shared" si="10"/>
        <v>近三年及一期，拟承租人  长期应付职工薪酬分别为0亿元、0亿元、0亿元及0亿元。</v>
      </c>
    </row>
    <row r="89" spans="1:9" ht="14.1" hidden="1" customHeight="1">
      <c r="A89" s="33">
        <v>2108</v>
      </c>
      <c r="B89" s="33" t="s">
        <v>380</v>
      </c>
      <c r="C89" s="146"/>
      <c r="D89" s="146"/>
      <c r="E89" s="146"/>
      <c r="F89" s="146"/>
      <c r="G89">
        <f t="shared" si="7"/>
        <v>0</v>
      </c>
      <c r="H89" t="str">
        <f t="shared" si="8"/>
        <v xml:space="preserve">  预计负债 </v>
      </c>
      <c r="I89" s="33" t="str">
        <f t="shared" si="10"/>
        <v>近三年及一期，拟承租人  预计负债 分别为0亿元、0亿元、0亿元及0亿元。</v>
      </c>
    </row>
    <row r="90" spans="1:9" ht="14.1" hidden="1" customHeight="1">
      <c r="A90" s="33">
        <v>2109</v>
      </c>
      <c r="B90" s="33" t="s">
        <v>381</v>
      </c>
      <c r="C90" s="146"/>
      <c r="D90" s="146"/>
      <c r="E90" s="146"/>
      <c r="F90" s="146"/>
      <c r="G90">
        <f t="shared" si="7"/>
        <v>0</v>
      </c>
      <c r="H90" t="str">
        <f t="shared" si="8"/>
        <v xml:space="preserve">  递延收益 </v>
      </c>
      <c r="I90" s="33" t="str">
        <f t="shared" si="10"/>
        <v>近三年及一期，拟承租人  递延收益 分别为0亿元、0亿元、0亿元及0亿元。</v>
      </c>
    </row>
    <row r="91" spans="1:9" ht="14.1" hidden="1" customHeight="1">
      <c r="A91" s="33">
        <v>2110</v>
      </c>
      <c r="B91" s="33" t="s">
        <v>382</v>
      </c>
      <c r="C91" s="146"/>
      <c r="D91" s="146"/>
      <c r="E91" s="146"/>
      <c r="F91" s="146"/>
      <c r="G91">
        <f t="shared" si="7"/>
        <v>0</v>
      </c>
      <c r="H91" t="str">
        <f t="shared" si="8"/>
        <v xml:space="preserve">  递延所得税负债 </v>
      </c>
      <c r="I91" s="33" t="str">
        <f t="shared" si="10"/>
        <v>近三年及一期，拟承租人  递延所得税负债 分别为0亿元、0亿元、0亿元及0亿元。</v>
      </c>
    </row>
    <row r="92" spans="1:9" ht="14.1" hidden="1" customHeight="1">
      <c r="A92" s="33">
        <v>2111</v>
      </c>
      <c r="B92" s="33" t="s">
        <v>383</v>
      </c>
      <c r="C92" s="146"/>
      <c r="D92" s="146"/>
      <c r="E92" s="146"/>
      <c r="F92" s="146"/>
      <c r="G92">
        <f t="shared" si="7"/>
        <v>0</v>
      </c>
      <c r="H92" t="str">
        <f t="shared" si="8"/>
        <v xml:space="preserve">  其他非流动负债 </v>
      </c>
      <c r="I92" s="33" t="str">
        <f t="shared" si="10"/>
        <v>近三年及一期，拟承租人  其他非流动负债 分别为0亿元、0亿元、0亿元及0亿元。</v>
      </c>
    </row>
    <row r="93" spans="1:9" s="143" customFormat="1" ht="14.1" customHeight="1">
      <c r="A93" s="147">
        <v>2199</v>
      </c>
      <c r="B93" s="147" t="s">
        <v>384</v>
      </c>
      <c r="C93" s="148">
        <f t="shared" ref="C93:F93" si="11">C81+C82+C85+C86+C87+C88+C89+C90+C91+C92</f>
        <v>250249366.99000001</v>
      </c>
      <c r="D93" s="148">
        <f t="shared" si="11"/>
        <v>233952065.44999999</v>
      </c>
      <c r="E93" s="148">
        <f t="shared" si="11"/>
        <v>367966227.69999999</v>
      </c>
      <c r="F93" s="148">
        <f t="shared" si="11"/>
        <v>0</v>
      </c>
      <c r="G93">
        <f t="shared" si="7"/>
        <v>852167660.13999999</v>
      </c>
      <c r="H93" t="str">
        <f t="shared" si="8"/>
        <v xml:space="preserve">    非流动负债合计 </v>
      </c>
      <c r="I93" s="33" t="str">
        <f t="shared" si="10"/>
        <v>近三年及一期，拟承租人    非流动负债合计 分别为0亿元、3.68亿元、2.34亿元及2.5亿元。</v>
      </c>
    </row>
    <row r="94" spans="1:9" s="143" customFormat="1" ht="14.1" customHeight="1">
      <c r="A94" s="147">
        <v>3999</v>
      </c>
      <c r="B94" s="147" t="s">
        <v>385</v>
      </c>
      <c r="C94" s="148">
        <f t="shared" ref="C94:F94" si="12">C78+C93</f>
        <v>839030096.15999997</v>
      </c>
      <c r="D94" s="148">
        <f t="shared" si="12"/>
        <v>489723309.74000001</v>
      </c>
      <c r="E94" s="148">
        <f t="shared" si="12"/>
        <v>369403609.72999996</v>
      </c>
      <c r="F94" s="148">
        <f t="shared" si="12"/>
        <v>75101774.5</v>
      </c>
      <c r="G94">
        <f t="shared" si="7"/>
        <v>1773258790.1300001</v>
      </c>
      <c r="H94" s="149" t="str">
        <f t="shared" si="8"/>
        <v xml:space="preserve">      负债合计</v>
      </c>
      <c r="I94" s="33" t="str">
        <f t="shared" si="10"/>
        <v>近三年及一期，拟承租人      负债合计分别为0.75亿元、3.69亿元、4.9亿元及8.39亿元。</v>
      </c>
    </row>
    <row r="95" spans="1:9" ht="14.1" hidden="1" customHeight="1">
      <c r="A95" s="33">
        <v>5000</v>
      </c>
      <c r="B95" s="135" t="s">
        <v>386</v>
      </c>
      <c r="C95" s="146"/>
      <c r="D95" s="146"/>
      <c r="E95" s="146"/>
      <c r="F95" s="146"/>
      <c r="G95">
        <f t="shared" si="7"/>
        <v>0</v>
      </c>
      <c r="H95" t="str">
        <f t="shared" si="8"/>
        <v xml:space="preserve">所有者权益（或股东权益）： </v>
      </c>
      <c r="I95" s="33" t="str">
        <f t="shared" si="10"/>
        <v>近三年及一期，拟承租人所有者权益（或股东权益）： 分别为0亿元、0亿元、0亿元及0亿元。</v>
      </c>
    </row>
    <row r="96" spans="1:9" ht="14.1" customHeight="1">
      <c r="A96" s="33">
        <v>5001</v>
      </c>
      <c r="B96" s="33" t="s">
        <v>387</v>
      </c>
      <c r="C96" s="146">
        <f>'[1]资产负债表（重分类）'!$H$35</f>
        <v>100000000</v>
      </c>
      <c r="D96" s="146">
        <v>100000000</v>
      </c>
      <c r="E96" s="146">
        <v>100000000</v>
      </c>
      <c r="F96" s="146">
        <v>100000000</v>
      </c>
      <c r="G96">
        <f t="shared" si="7"/>
        <v>400000000</v>
      </c>
      <c r="H96" t="str">
        <f t="shared" si="8"/>
        <v xml:space="preserve">  实收资本（或股本） </v>
      </c>
      <c r="I96" s="33" t="str">
        <f t="shared" si="10"/>
        <v>近三年及一期，拟承租人  实收资本（或股本） 分别为1亿元、1亿元、1亿元及1亿元。</v>
      </c>
    </row>
    <row r="97" spans="1:9" ht="14.1" hidden="1" customHeight="1">
      <c r="A97" s="33">
        <v>5002</v>
      </c>
      <c r="B97" s="33" t="s">
        <v>388</v>
      </c>
      <c r="C97" s="146"/>
      <c r="D97" s="146"/>
      <c r="E97" s="146"/>
      <c r="F97" s="146"/>
      <c r="G97">
        <f t="shared" si="7"/>
        <v>0</v>
      </c>
      <c r="H97" t="str">
        <f t="shared" si="8"/>
        <v xml:space="preserve">  其他权益工具 </v>
      </c>
      <c r="I97" s="33" t="str">
        <f t="shared" si="10"/>
        <v>近三年及一期，拟承租人  其他权益工具 分别为0亿元、0亿元、0亿元及0亿元。</v>
      </c>
    </row>
    <row r="98" spans="1:9" ht="14.1" hidden="1" customHeight="1">
      <c r="A98" s="33">
        <v>500201</v>
      </c>
      <c r="B98" s="46" t="s">
        <v>389</v>
      </c>
      <c r="C98" s="146"/>
      <c r="D98" s="146"/>
      <c r="E98" s="146"/>
      <c r="F98" s="146"/>
      <c r="G98">
        <f t="shared" si="7"/>
        <v>0</v>
      </c>
      <c r="H98" t="str">
        <f t="shared" si="8"/>
        <v xml:space="preserve">    其中：优先股 </v>
      </c>
      <c r="I98" s="33" t="str">
        <f t="shared" si="10"/>
        <v>近三年及一期，拟承租人    其中：优先股 分别为0亿元、0亿元、0亿元及0亿元。</v>
      </c>
    </row>
    <row r="99" spans="1:9" ht="14.1" hidden="1" customHeight="1">
      <c r="A99" s="33">
        <v>500202</v>
      </c>
      <c r="B99" s="33" t="s">
        <v>375</v>
      </c>
      <c r="C99" s="146"/>
      <c r="D99" s="146"/>
      <c r="E99" s="146"/>
      <c r="F99" s="146"/>
      <c r="G99">
        <f t="shared" ref="G99:G111" si="13">C99+D99+E99+F99</f>
        <v>0</v>
      </c>
      <c r="H99" t="str">
        <f t="shared" si="8"/>
        <v xml:space="preserve">          永续债 </v>
      </c>
      <c r="I99" s="33" t="str">
        <f t="shared" si="10"/>
        <v>近三年及一期，拟承租人          永续债 分别为0亿元、0亿元、0亿元及0亿元。</v>
      </c>
    </row>
    <row r="100" spans="1:9" ht="14.1" hidden="1" customHeight="1">
      <c r="A100" s="33">
        <v>5003</v>
      </c>
      <c r="B100" s="33" t="s">
        <v>390</v>
      </c>
      <c r="C100" s="146"/>
      <c r="D100" s="146"/>
      <c r="E100" s="146"/>
      <c r="F100" s="146"/>
      <c r="G100">
        <f t="shared" si="13"/>
        <v>0</v>
      </c>
      <c r="H100" t="str">
        <f t="shared" si="8"/>
        <v xml:space="preserve">  资本公积 </v>
      </c>
      <c r="I100" s="33" t="str">
        <f t="shared" si="10"/>
        <v>近三年及一期，拟承租人  资本公积 分别为0亿元、0亿元、0亿元及0亿元。</v>
      </c>
    </row>
    <row r="101" spans="1:9" ht="14.1" hidden="1" customHeight="1">
      <c r="A101" s="33">
        <v>5004</v>
      </c>
      <c r="B101" s="33" t="s">
        <v>391</v>
      </c>
      <c r="C101" s="146"/>
      <c r="D101" s="146"/>
      <c r="E101" s="146"/>
      <c r="F101" s="146"/>
      <c r="G101">
        <f t="shared" si="13"/>
        <v>0</v>
      </c>
      <c r="H101" t="str">
        <f t="shared" si="8"/>
        <v xml:space="preserve">  减：库存股 </v>
      </c>
      <c r="I101" s="33" t="str">
        <f t="shared" si="10"/>
        <v>近三年及一期，拟承租人  减：库存股 分别为0亿元、0亿元、0亿元及0亿元。</v>
      </c>
    </row>
    <row r="102" spans="1:9" ht="14.1" hidden="1" customHeight="1">
      <c r="A102" s="33">
        <v>5005</v>
      </c>
      <c r="B102" s="33" t="s">
        <v>392</v>
      </c>
      <c r="C102" s="146"/>
      <c r="D102" s="146"/>
      <c r="E102" s="146"/>
      <c r="F102" s="146"/>
      <c r="G102">
        <f t="shared" si="13"/>
        <v>0</v>
      </c>
      <c r="H102" t="str">
        <f t="shared" si="8"/>
        <v xml:space="preserve">  其他综合收益 </v>
      </c>
      <c r="I102" s="33" t="str">
        <f t="shared" si="10"/>
        <v>近三年及一期，拟承租人  其他综合收益 分别为0亿元、0亿元、0亿元及0亿元。</v>
      </c>
    </row>
    <row r="103" spans="1:9" ht="14.1" hidden="1" customHeight="1">
      <c r="A103" s="33">
        <v>5006</v>
      </c>
      <c r="B103" s="33" t="s">
        <v>393</v>
      </c>
      <c r="C103" s="146"/>
      <c r="D103" s="146"/>
      <c r="E103" s="146"/>
      <c r="F103" s="146"/>
      <c r="G103">
        <f t="shared" si="13"/>
        <v>0</v>
      </c>
      <c r="H103" t="str">
        <f t="shared" si="8"/>
        <v xml:space="preserve">  专项储备 400561</v>
      </c>
      <c r="I103" s="33" t="str">
        <f t="shared" si="10"/>
        <v>近三年及一期，拟承租人  专项储备 400561分别为0亿元、0亿元、0亿元及0亿元。</v>
      </c>
    </row>
    <row r="104" spans="1:9" ht="14.1" hidden="1" customHeight="1">
      <c r="A104" s="33">
        <v>5007</v>
      </c>
      <c r="B104" s="33" t="s">
        <v>394</v>
      </c>
      <c r="C104" s="146"/>
      <c r="D104" s="146"/>
      <c r="E104" s="146"/>
      <c r="F104" s="146"/>
      <c r="G104">
        <f t="shared" si="13"/>
        <v>0</v>
      </c>
      <c r="H104" t="str">
        <f t="shared" si="8"/>
        <v xml:space="preserve">  盈余公积 </v>
      </c>
      <c r="I104" s="33" t="str">
        <f t="shared" si="10"/>
        <v>近三年及一期，拟承租人  盈余公积 分别为0亿元、0亿元、0亿元及0亿元。</v>
      </c>
    </row>
    <row r="105" spans="1:9" ht="14.1" hidden="1" customHeight="1">
      <c r="A105" s="33">
        <v>5008</v>
      </c>
      <c r="B105" s="33" t="s">
        <v>395</v>
      </c>
      <c r="C105" s="146"/>
      <c r="D105" s="146"/>
      <c r="E105" s="146"/>
      <c r="F105" s="146"/>
      <c r="G105">
        <f t="shared" si="13"/>
        <v>0</v>
      </c>
      <c r="H105" t="str">
        <f t="shared" si="8"/>
        <v xml:space="preserve">  一般风险准备* </v>
      </c>
      <c r="I105" s="33" t="str">
        <f t="shared" si="10"/>
        <v>近三年及一期，拟承租人  一般风险准备* 分别为0亿元、0亿元、0亿元及0亿元。</v>
      </c>
    </row>
    <row r="106" spans="1:9" ht="14.1" customHeight="1">
      <c r="A106" s="33">
        <v>5009</v>
      </c>
      <c r="B106" s="33" t="s">
        <v>396</v>
      </c>
      <c r="C106" s="146">
        <f>'[1]资产负债表（重分类）'!$H$43</f>
        <v>2435761.5699999998</v>
      </c>
      <c r="D106" s="146">
        <v>18797139.440000001</v>
      </c>
      <c r="E106" s="146">
        <v>-1471496.55</v>
      </c>
      <c r="F106" s="146">
        <v>-14605.71</v>
      </c>
      <c r="G106">
        <f t="shared" si="13"/>
        <v>19746798.75</v>
      </c>
      <c r="H106" t="str">
        <f t="shared" si="8"/>
        <v xml:space="preserve">  未分配利润 </v>
      </c>
      <c r="I106" s="33" t="str">
        <f t="shared" si="10"/>
        <v>近三年及一期，拟承租人  未分配利润 分别为0亿元、-0.01亿元、0.19亿元及0.02亿元。</v>
      </c>
    </row>
    <row r="107" spans="1:9" s="143" customFormat="1" ht="14.1" customHeight="1">
      <c r="A107" s="147">
        <v>5010</v>
      </c>
      <c r="B107" s="151" t="s">
        <v>397</v>
      </c>
      <c r="C107" s="148">
        <f t="shared" ref="C107:F107" si="14">C96+C97+C100+C101+C102+C103+C104+C105+C106</f>
        <v>102435761.56999999</v>
      </c>
      <c r="D107" s="148">
        <f t="shared" si="14"/>
        <v>118797139.44</v>
      </c>
      <c r="E107" s="148">
        <f t="shared" si="14"/>
        <v>98528503.450000003</v>
      </c>
      <c r="F107" s="148">
        <f t="shared" si="14"/>
        <v>99985394.290000007</v>
      </c>
      <c r="G107">
        <f t="shared" si="13"/>
        <v>419746798.75</v>
      </c>
      <c r="H107" t="str">
        <f t="shared" si="8"/>
        <v>归属于母公司所有者权益（或股东权益）合计</v>
      </c>
      <c r="I107" s="33" t="str">
        <f t="shared" si="10"/>
        <v>近三年及一期，拟承租人归属于母公司所有者权益（或股东权益）合计分别为1亿元、0.99亿元、1.19亿元及1.02亿元。</v>
      </c>
    </row>
    <row r="108" spans="1:9" ht="14.1" hidden="1" customHeight="1">
      <c r="A108" s="33">
        <v>5011</v>
      </c>
      <c r="B108" s="33" t="s">
        <v>398</v>
      </c>
      <c r="C108" s="146"/>
      <c r="D108" s="146"/>
      <c r="E108" s="146"/>
      <c r="F108" s="146"/>
      <c r="G108">
        <f t="shared" si="13"/>
        <v>0</v>
      </c>
      <c r="H108" t="str">
        <f t="shared" si="8"/>
        <v xml:space="preserve">  少数股东权益 </v>
      </c>
      <c r="I108" s="33" t="str">
        <f t="shared" si="10"/>
        <v>近三年及一期，拟承租人  少数股东权益 分别为0亿元、0亿元、0亿元及0亿元。</v>
      </c>
    </row>
    <row r="109" spans="1:9" s="143" customFormat="1" ht="14.1" customHeight="1">
      <c r="A109" s="147">
        <v>5099</v>
      </c>
      <c r="B109" s="147" t="s">
        <v>399</v>
      </c>
      <c r="C109" s="148">
        <f t="shared" ref="C109:F109" si="15">C107+C108</f>
        <v>102435761.56999999</v>
      </c>
      <c r="D109" s="148">
        <f t="shared" si="15"/>
        <v>118797139.44</v>
      </c>
      <c r="E109" s="148">
        <f t="shared" si="15"/>
        <v>98528503.450000003</v>
      </c>
      <c r="F109" s="148">
        <f t="shared" si="15"/>
        <v>99985394.290000007</v>
      </c>
      <c r="G109">
        <f t="shared" si="13"/>
        <v>419746798.75</v>
      </c>
      <c r="H109" t="str">
        <f t="shared" si="8"/>
        <v xml:space="preserve">  所有者权益（或股东权益）合计 </v>
      </c>
      <c r="I109" s="33" t="str">
        <f t="shared" si="10"/>
        <v>近三年及一期，拟承租人  所有者权益（或股东权益）合计 分别为1亿元、0.99亿元、1.19亿元及1.02亿元。</v>
      </c>
    </row>
    <row r="110" spans="1:9" s="143" customFormat="1" ht="14.1" customHeight="1">
      <c r="A110" s="147">
        <v>5999</v>
      </c>
      <c r="B110" s="147" t="s">
        <v>400</v>
      </c>
      <c r="C110" s="148">
        <f t="shared" ref="C110:F110" si="16">C94+C109</f>
        <v>941465857.73000002</v>
      </c>
      <c r="D110" s="148">
        <f t="shared" si="16"/>
        <v>608520449.18000007</v>
      </c>
      <c r="E110" s="148">
        <f t="shared" si="16"/>
        <v>467932113.17999995</v>
      </c>
      <c r="F110" s="148">
        <f t="shared" si="16"/>
        <v>175087168.79000002</v>
      </c>
      <c r="G110">
        <f t="shared" si="13"/>
        <v>2193005588.8800001</v>
      </c>
      <c r="H110" t="str">
        <f t="shared" si="8"/>
        <v xml:space="preserve"> 负债和所有者权益（或股东权益）总计 </v>
      </c>
      <c r="I110" s="33" t="str">
        <f t="shared" si="10"/>
        <v>近三年及一期，拟承租人 负债和所有者权益（或股东权益）总计 分别为1.75亿元、4.68亿元、6.09亿元及9.41亿元。</v>
      </c>
    </row>
    <row r="111" spans="1:9" hidden="1">
      <c r="C111" s="113">
        <f t="shared" ref="C111:F111" si="17">C110-C53</f>
        <v>0</v>
      </c>
      <c r="D111" s="113">
        <f t="shared" si="17"/>
        <v>0</v>
      </c>
      <c r="E111" s="113">
        <f t="shared" si="17"/>
        <v>0</v>
      </c>
      <c r="F111" s="113">
        <f t="shared" si="17"/>
        <v>0</v>
      </c>
      <c r="G111">
        <f t="shared" si="13"/>
        <v>0</v>
      </c>
    </row>
  </sheetData>
  <autoFilter ref="A1:I111" xr:uid="{00000000-0009-0000-0000-000003000000}">
    <filterColumn colId="6">
      <filters>
        <filter val="1014827460"/>
        <filter val="10475741.33"/>
        <filter val="12280919.09"/>
        <filter val="1232717098"/>
        <filter val="126643447.9"/>
        <filter val="16780305.29"/>
        <filter val="1773258790"/>
        <filter val="19130862.18"/>
        <filter val="19746798.75"/>
        <filter val="2193005589"/>
        <filter val="2502946.04"/>
        <filter val="3152.63"/>
        <filter val="400000000"/>
        <filter val="419746798.8"/>
        <filter val="42540826.66"/>
        <filter val="436643928.7"/>
        <filter val="4867385.67"/>
        <filter val="493869767.9"/>
        <filter val="56289.14"/>
        <filter val="852167660.1"/>
        <filter val="856576890.5"/>
        <filter val="86378803.85"/>
        <filter val="921091130"/>
        <filter val="-9482008.33"/>
        <filter val="960288491"/>
      </filters>
    </filterColumn>
  </autoFilter>
  <customSheetViews>
    <customSheetView guid="{EFE5EB9F-962C-4232-9E60-22B2AE19D01B}" scale="115">
      <pane xSplit="1" ySplit="1" topLeftCell="B2" state="frozen"/>
      <selection activeCell="D27" sqref="D27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7" type="noConversion"/>
  <pageMargins left="0.75" right="0.75" top="1" bottom="1" header="0.5" footer="0.5"/>
  <pageSetup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13"/>
  </sheetPr>
  <dimension ref="A1:G70"/>
  <sheetViews>
    <sheetView workbookViewId="0">
      <selection activeCell="E2" sqref="E2"/>
    </sheetView>
  </sheetViews>
  <sheetFormatPr defaultColWidth="9" defaultRowHeight="12.75"/>
  <cols>
    <col min="1" max="1" width="8.5703125" customWidth="1"/>
    <col min="2" max="2" width="47.5703125" customWidth="1"/>
    <col min="3" max="3" width="15.5703125" customWidth="1"/>
    <col min="4" max="4" width="15.28515625" style="132" customWidth="1"/>
    <col min="5" max="5" width="17" style="132" customWidth="1"/>
    <col min="6" max="6" width="16.42578125" style="132" customWidth="1"/>
  </cols>
  <sheetData>
    <row r="1" spans="1:6" ht="22.15" customHeight="1">
      <c r="A1" s="126" t="s">
        <v>290</v>
      </c>
      <c r="B1" s="126" t="s">
        <v>291</v>
      </c>
      <c r="C1" s="127">
        <v>45443</v>
      </c>
      <c r="D1" s="127">
        <v>45291</v>
      </c>
      <c r="E1" s="127">
        <v>44926</v>
      </c>
      <c r="F1" s="127">
        <v>44561</v>
      </c>
    </row>
    <row r="2" spans="1:6" ht="14.1" customHeight="1">
      <c r="A2" s="46">
        <v>6100</v>
      </c>
      <c r="B2" s="46" t="s">
        <v>401</v>
      </c>
      <c r="C2" s="136">
        <f t="shared" ref="C2:F2" si="0">C3+C4+C5+C6+C7</f>
        <v>2707738.89</v>
      </c>
      <c r="D2" s="137">
        <f t="shared" si="0"/>
        <v>9250747.7899999991</v>
      </c>
      <c r="E2" s="137">
        <f t="shared" si="0"/>
        <v>0</v>
      </c>
      <c r="F2" s="137">
        <f t="shared" si="0"/>
        <v>0</v>
      </c>
    </row>
    <row r="3" spans="1:6" ht="14.1" customHeight="1">
      <c r="A3" s="46">
        <v>6101</v>
      </c>
      <c r="B3" s="46" t="s">
        <v>402</v>
      </c>
      <c r="C3" s="132">
        <f>[1]利润表!$D$5</f>
        <v>2707738.89</v>
      </c>
      <c r="D3" s="132">
        <v>9250747.7899999991</v>
      </c>
    </row>
    <row r="4" spans="1:6" ht="14.1" customHeight="1">
      <c r="A4" s="46">
        <v>6102</v>
      </c>
      <c r="B4" s="46" t="s">
        <v>403</v>
      </c>
      <c r="C4" s="138"/>
    </row>
    <row r="5" spans="1:6" ht="14.1" customHeight="1">
      <c r="A5" s="46">
        <v>6103</v>
      </c>
      <c r="B5" s="46" t="s">
        <v>404</v>
      </c>
      <c r="C5" s="138"/>
    </row>
    <row r="6" spans="1:6" ht="14.1" customHeight="1">
      <c r="A6" s="46">
        <v>6104</v>
      </c>
      <c r="B6" s="46" t="s">
        <v>405</v>
      </c>
      <c r="C6" s="138"/>
    </row>
    <row r="7" spans="1:6" ht="14.1" customHeight="1">
      <c r="A7" s="46">
        <v>6105</v>
      </c>
      <c r="B7" s="46" t="s">
        <v>406</v>
      </c>
      <c r="C7" s="138"/>
    </row>
    <row r="8" spans="1:6" ht="14.1" customHeight="1">
      <c r="A8" s="46">
        <v>6200</v>
      </c>
      <c r="B8" s="46" t="s">
        <v>407</v>
      </c>
      <c r="C8" s="138"/>
      <c r="D8" s="131"/>
      <c r="E8" s="131"/>
      <c r="F8" s="131"/>
    </row>
    <row r="9" spans="1:6" ht="14.1" customHeight="1">
      <c r="A9" s="46">
        <v>6201</v>
      </c>
      <c r="B9" s="46" t="s">
        <v>408</v>
      </c>
      <c r="C9" s="137">
        <f>C10+C11</f>
        <v>8042192.75</v>
      </c>
      <c r="D9" s="137">
        <f>D10+D11</f>
        <v>11945609.43</v>
      </c>
      <c r="E9" s="137">
        <f>E10+E11</f>
        <v>0</v>
      </c>
      <c r="F9" s="137">
        <f>F10+F11</f>
        <v>0</v>
      </c>
    </row>
    <row r="10" spans="1:6" ht="14.1" customHeight="1">
      <c r="A10" s="46">
        <v>620101</v>
      </c>
      <c r="B10" s="46" t="s">
        <v>409</v>
      </c>
      <c r="C10" s="138">
        <f>[1]利润表!$D$6</f>
        <v>8042192.75</v>
      </c>
      <c r="D10" s="138">
        <v>11945609.43</v>
      </c>
      <c r="E10" s="138"/>
      <c r="F10" s="138"/>
    </row>
    <row r="11" spans="1:6" ht="14.1" customHeight="1">
      <c r="A11" s="46">
        <v>620102</v>
      </c>
      <c r="B11" s="46" t="s">
        <v>410</v>
      </c>
      <c r="C11" s="138"/>
      <c r="D11" s="138"/>
      <c r="E11" s="138"/>
      <c r="F11" s="138"/>
    </row>
    <row r="12" spans="1:6" ht="14.1" customHeight="1">
      <c r="A12" s="46">
        <v>6202</v>
      </c>
      <c r="B12" s="46" t="s">
        <v>411</v>
      </c>
      <c r="C12" s="138"/>
      <c r="D12" s="138"/>
      <c r="E12" s="138"/>
      <c r="F12" s="138"/>
    </row>
    <row r="13" spans="1:6" ht="14.1" customHeight="1">
      <c r="A13" s="46">
        <v>6203</v>
      </c>
      <c r="B13" s="46" t="s">
        <v>412</v>
      </c>
      <c r="C13" s="138"/>
      <c r="D13" s="138"/>
      <c r="E13" s="138"/>
      <c r="F13" s="138"/>
    </row>
    <row r="14" spans="1:6" ht="13.5" customHeight="1">
      <c r="A14" s="46">
        <v>6204</v>
      </c>
      <c r="B14" s="46" t="s">
        <v>413</v>
      </c>
      <c r="C14" s="138"/>
      <c r="D14" s="138"/>
      <c r="E14" s="138"/>
      <c r="F14" s="138"/>
    </row>
    <row r="15" spans="1:6" ht="13.5" customHeight="1">
      <c r="A15" s="46">
        <v>6205</v>
      </c>
      <c r="B15" s="46" t="s">
        <v>414</v>
      </c>
      <c r="C15" s="138"/>
      <c r="D15" s="138"/>
      <c r="E15" s="138"/>
      <c r="F15" s="138"/>
    </row>
    <row r="16" spans="1:6" ht="14.1" customHeight="1">
      <c r="A16" s="46">
        <v>6206</v>
      </c>
      <c r="B16" s="46" t="s">
        <v>415</v>
      </c>
      <c r="C16" s="138"/>
      <c r="D16" s="138"/>
      <c r="E16" s="138"/>
      <c r="F16" s="138"/>
    </row>
    <row r="17" spans="1:6" ht="14.1" customHeight="1">
      <c r="A17" s="46">
        <v>6207</v>
      </c>
      <c r="B17" s="46" t="s">
        <v>416</v>
      </c>
      <c r="C17" s="138"/>
      <c r="D17" s="138"/>
      <c r="E17" s="138"/>
      <c r="F17" s="138"/>
    </row>
    <row r="18" spans="1:6" ht="14.1" customHeight="1">
      <c r="A18" s="46">
        <v>6208</v>
      </c>
      <c r="B18" s="46" t="s">
        <v>417</v>
      </c>
      <c r="C18" s="138"/>
      <c r="D18" s="138"/>
      <c r="E18" s="138"/>
      <c r="F18" s="138"/>
    </row>
    <row r="19" spans="1:6" ht="14.1" customHeight="1">
      <c r="A19" s="46">
        <v>6209</v>
      </c>
      <c r="B19" s="46" t="s">
        <v>418</v>
      </c>
      <c r="C19" s="139">
        <f>[1]利润表!$D$7</f>
        <v>2278.15</v>
      </c>
      <c r="D19" s="139">
        <v>1087184.21</v>
      </c>
      <c r="E19" s="139">
        <v>1471600.57</v>
      </c>
      <c r="F19" s="139">
        <v>69393.100000000006</v>
      </c>
    </row>
    <row r="20" spans="1:6" ht="14.1" customHeight="1">
      <c r="A20" s="46">
        <v>6210</v>
      </c>
      <c r="B20" s="46" t="s">
        <v>419</v>
      </c>
      <c r="C20" s="139">
        <f>[1]利润表!$D$8</f>
        <v>15875.76</v>
      </c>
      <c r="D20" s="139">
        <v>24960.05</v>
      </c>
      <c r="E20" s="139"/>
      <c r="F20" s="139"/>
    </row>
    <row r="21" spans="1:6" ht="14.1" customHeight="1">
      <c r="A21" s="46">
        <v>6211</v>
      </c>
      <c r="B21" s="46" t="s">
        <v>420</v>
      </c>
      <c r="C21" s="139">
        <f>[1]利润表!$D$9</f>
        <v>418370.89</v>
      </c>
      <c r="D21" s="139">
        <v>904543.56</v>
      </c>
      <c r="E21" s="139"/>
      <c r="F21" s="139"/>
    </row>
    <row r="22" spans="1:6" ht="14.1" customHeight="1">
      <c r="A22" s="46">
        <v>6212</v>
      </c>
      <c r="B22" s="46" t="s">
        <v>421</v>
      </c>
      <c r="C22" s="139"/>
      <c r="D22" s="139"/>
      <c r="E22" s="139"/>
      <c r="F22" s="139"/>
    </row>
    <row r="23" spans="1:6" ht="14.1" customHeight="1">
      <c r="A23" s="46">
        <v>6213</v>
      </c>
      <c r="B23" s="46" t="s">
        <v>422</v>
      </c>
      <c r="C23" s="139">
        <f>[1]利润表!$D$10</f>
        <v>438</v>
      </c>
      <c r="D23" s="139">
        <v>20004.55</v>
      </c>
      <c r="E23" s="139">
        <v>-14709.73</v>
      </c>
      <c r="F23" s="139">
        <v>-54787.39</v>
      </c>
    </row>
    <row r="24" spans="1:6" ht="14.1" customHeight="1">
      <c r="A24" s="46">
        <v>621301</v>
      </c>
      <c r="B24" s="46" t="s">
        <v>423</v>
      </c>
      <c r="C24" s="139"/>
      <c r="D24" s="139"/>
      <c r="E24" s="139"/>
      <c r="F24" s="139"/>
    </row>
    <row r="25" spans="1:6" ht="14.1" customHeight="1">
      <c r="A25" s="46">
        <v>621302</v>
      </c>
      <c r="B25" s="46" t="s">
        <v>424</v>
      </c>
      <c r="C25" s="139"/>
      <c r="D25" s="139">
        <v>-17221.12</v>
      </c>
      <c r="E25" s="139">
        <v>-17535.7</v>
      </c>
      <c r="F25" s="139">
        <v>-58323.39</v>
      </c>
    </row>
    <row r="26" spans="1:6" ht="14.1" customHeight="1">
      <c r="A26" s="46">
        <v>6214</v>
      </c>
      <c r="B26" s="46" t="s">
        <v>425</v>
      </c>
      <c r="C26" s="138"/>
      <c r="D26" s="138">
        <v>25000000</v>
      </c>
      <c r="E26" s="138"/>
      <c r="F26" s="138"/>
    </row>
    <row r="27" spans="1:6" ht="14.1" customHeight="1">
      <c r="A27" s="46">
        <v>6215</v>
      </c>
      <c r="B27" s="46" t="s">
        <v>426</v>
      </c>
      <c r="C27" s="138"/>
      <c r="D27" s="138"/>
      <c r="E27" s="138"/>
      <c r="F27" s="138"/>
    </row>
    <row r="28" spans="1:6" ht="14.1" customHeight="1">
      <c r="A28" s="46">
        <v>621501</v>
      </c>
      <c r="B28" s="46" t="s">
        <v>427</v>
      </c>
      <c r="C28" s="138"/>
      <c r="D28" s="138"/>
      <c r="E28" s="138"/>
      <c r="F28" s="138"/>
    </row>
    <row r="29" spans="1:6" ht="14.1" customHeight="1">
      <c r="A29" s="46">
        <v>621502</v>
      </c>
      <c r="B29" s="46" t="s">
        <v>428</v>
      </c>
      <c r="C29" s="140"/>
      <c r="D29" s="140"/>
      <c r="E29" s="140"/>
      <c r="F29" s="140"/>
    </row>
    <row r="30" spans="1:6" ht="14.1" customHeight="1">
      <c r="A30" s="46">
        <v>6216</v>
      </c>
      <c r="B30" s="46" t="s">
        <v>429</v>
      </c>
      <c r="C30" s="138"/>
      <c r="D30" s="138"/>
      <c r="E30" s="138"/>
      <c r="F30" s="138"/>
    </row>
    <row r="31" spans="1:6" ht="14.1" customHeight="1">
      <c r="A31" s="46">
        <v>6217</v>
      </c>
      <c r="B31" s="46" t="s">
        <v>430</v>
      </c>
      <c r="C31" s="140"/>
      <c r="D31" s="140"/>
      <c r="E31" s="140"/>
      <c r="F31" s="140"/>
    </row>
    <row r="32" spans="1:6" ht="14.1" customHeight="1">
      <c r="A32" s="46">
        <v>6218</v>
      </c>
      <c r="B32" s="46" t="s">
        <v>431</v>
      </c>
      <c r="C32" s="138"/>
      <c r="D32" s="138"/>
      <c r="E32" s="138"/>
      <c r="F32" s="138"/>
    </row>
    <row r="33" spans="1:7" ht="14.1" customHeight="1">
      <c r="A33" s="46">
        <v>6219</v>
      </c>
      <c r="B33" s="46" t="s">
        <v>432</v>
      </c>
      <c r="C33" s="138"/>
      <c r="D33" s="138"/>
      <c r="E33" s="138"/>
      <c r="F33" s="138"/>
      <c r="G33" s="138"/>
    </row>
    <row r="34" spans="1:7" ht="14.1" customHeight="1">
      <c r="A34" s="46">
        <v>6220</v>
      </c>
      <c r="B34" s="46" t="s">
        <v>433</v>
      </c>
      <c r="C34" s="138"/>
      <c r="D34" s="138"/>
      <c r="E34" s="138"/>
      <c r="F34" s="138"/>
    </row>
    <row r="35" spans="1:7" ht="14.1" customHeight="1">
      <c r="A35" s="46">
        <v>6221</v>
      </c>
      <c r="B35" s="46" t="s">
        <v>434</v>
      </c>
      <c r="C35" s="138"/>
      <c r="D35" s="138"/>
      <c r="E35" s="138"/>
      <c r="F35" s="138"/>
    </row>
    <row r="36" spans="1:7" ht="14.1" customHeight="1">
      <c r="A36" s="46">
        <v>6300</v>
      </c>
      <c r="B36" s="46" t="s">
        <v>435</v>
      </c>
      <c r="C36" s="136">
        <f>C2-C9-C12-C13-C14-C15-C16-C17-C18-C19-C20-C21-C22-C23+C26+C27+C30+C31+C32+C33+C34+C35</f>
        <v>-5771416.6599999992</v>
      </c>
      <c r="D36" s="136">
        <f>D2-D9-D12-D13-D14-D15-D16-D17-D18-D19-D20-D21-D22-D23+D26+D27+D30+D31+D32+D33+D34+D35</f>
        <v>20268445.989999998</v>
      </c>
      <c r="E36" s="136">
        <f>E2-E9-E12-E13-E14-E15-E16-E17-E18-E19-E20-E21-E22-E23+E26+E27+E30+E31+E32+E33+E34+E35</f>
        <v>-1456890.84</v>
      </c>
      <c r="F36" s="136">
        <f>F2-F9-F12-F13-F14-F15-F16-F17-F18-F19-F20-F21-F22-F23+F26+F27+F30+F31+F32+F33+F34+F35</f>
        <v>-14605.710000000006</v>
      </c>
    </row>
    <row r="37" spans="1:7" ht="14.1" customHeight="1">
      <c r="A37" s="46">
        <v>6301</v>
      </c>
      <c r="B37" s="46" t="s">
        <v>436</v>
      </c>
      <c r="C37" s="138">
        <f>[1]利润表!$D$18</f>
        <v>150</v>
      </c>
      <c r="D37" s="138">
        <v>190</v>
      </c>
      <c r="E37" s="138"/>
      <c r="F37" s="138"/>
    </row>
    <row r="38" spans="1:7" ht="14.1" customHeight="1">
      <c r="A38" s="46">
        <v>6302</v>
      </c>
      <c r="B38" s="46" t="s">
        <v>437</v>
      </c>
      <c r="C38" s="138">
        <f>[1]利润表!$D$19</f>
        <v>0.19</v>
      </c>
      <c r="D38" s="138"/>
      <c r="E38" s="138"/>
      <c r="F38" s="138"/>
    </row>
    <row r="39" spans="1:7" ht="14.1" customHeight="1">
      <c r="A39" s="46">
        <v>6400</v>
      </c>
      <c r="B39" s="46" t="s">
        <v>438</v>
      </c>
      <c r="C39" s="136">
        <f t="shared" ref="C39:F39" si="1">C36+C37-C38</f>
        <v>-5771266.8499999996</v>
      </c>
      <c r="D39" s="137">
        <f t="shared" si="1"/>
        <v>20268635.989999998</v>
      </c>
      <c r="E39" s="137">
        <f t="shared" si="1"/>
        <v>-1456890.84</v>
      </c>
      <c r="F39" s="137">
        <f t="shared" si="1"/>
        <v>-14605.710000000006</v>
      </c>
    </row>
    <row r="40" spans="1:7" ht="14.1" customHeight="1">
      <c r="A40" s="46">
        <v>6401</v>
      </c>
      <c r="B40" s="46" t="s">
        <v>439</v>
      </c>
      <c r="C40" s="138"/>
      <c r="D40" s="138"/>
      <c r="E40" s="138"/>
      <c r="F40" s="138"/>
    </row>
    <row r="41" spans="1:7" ht="14.1" customHeight="1">
      <c r="A41" s="46">
        <v>6500</v>
      </c>
      <c r="B41" s="46" t="s">
        <v>440</v>
      </c>
      <c r="C41" s="136">
        <f t="shared" ref="C41:F41" si="2">C39-C40</f>
        <v>-5771266.8499999996</v>
      </c>
      <c r="D41" s="137">
        <f t="shared" si="2"/>
        <v>20268635.989999998</v>
      </c>
      <c r="E41" s="137">
        <f t="shared" si="2"/>
        <v>-1456890.84</v>
      </c>
      <c r="F41" s="137">
        <f t="shared" si="2"/>
        <v>-14605.710000000006</v>
      </c>
    </row>
    <row r="42" spans="1:7" ht="14.1" customHeight="1">
      <c r="A42" s="46">
        <v>6501</v>
      </c>
      <c r="B42" s="46" t="s">
        <v>441</v>
      </c>
      <c r="C42" s="138"/>
    </row>
    <row r="43" spans="1:7" ht="14.1" customHeight="1">
      <c r="A43" s="46">
        <v>650101</v>
      </c>
      <c r="B43" s="46" t="s">
        <v>442</v>
      </c>
      <c r="C43" s="138"/>
    </row>
    <row r="44" spans="1:7" ht="14.1" customHeight="1">
      <c r="A44" s="46">
        <v>650102</v>
      </c>
      <c r="B44" s="46" t="s">
        <v>443</v>
      </c>
      <c r="C44" s="138"/>
    </row>
    <row r="45" spans="1:7" ht="14.1" customHeight="1">
      <c r="A45" s="46">
        <v>6502</v>
      </c>
      <c r="B45" s="46" t="s">
        <v>444</v>
      </c>
      <c r="C45" s="138"/>
    </row>
    <row r="46" spans="1:7" ht="14.1" customHeight="1">
      <c r="A46" s="46">
        <v>650201</v>
      </c>
      <c r="B46" s="46" t="s">
        <v>445</v>
      </c>
      <c r="C46" s="138"/>
      <c r="D46" s="138"/>
      <c r="E46" s="138"/>
      <c r="F46" s="138"/>
    </row>
    <row r="47" spans="1:7">
      <c r="A47" s="46">
        <v>650202</v>
      </c>
      <c r="B47" s="46" t="s">
        <v>446</v>
      </c>
      <c r="C47" s="138"/>
      <c r="D47" s="138"/>
      <c r="E47" s="138"/>
      <c r="F47" s="138"/>
    </row>
    <row r="48" spans="1:7">
      <c r="A48" s="46">
        <v>6600</v>
      </c>
      <c r="B48" s="46" t="s">
        <v>447</v>
      </c>
    </row>
    <row r="49" spans="1:2">
      <c r="A49" s="46">
        <v>6601</v>
      </c>
      <c r="B49" s="46" t="s">
        <v>448</v>
      </c>
    </row>
    <row r="50" spans="1:2">
      <c r="A50" s="46">
        <v>660101</v>
      </c>
      <c r="B50" s="46" t="s">
        <v>449</v>
      </c>
    </row>
    <row r="51" spans="1:2">
      <c r="A51" s="46">
        <v>66010101</v>
      </c>
      <c r="B51" s="46" t="s">
        <v>450</v>
      </c>
    </row>
    <row r="52" spans="1:2">
      <c r="A52" s="46">
        <v>66010102</v>
      </c>
      <c r="B52" s="46" t="s">
        <v>451</v>
      </c>
    </row>
    <row r="53" spans="1:2">
      <c r="A53" s="46">
        <v>66010103</v>
      </c>
      <c r="B53" s="46" t="s">
        <v>452</v>
      </c>
    </row>
    <row r="54" spans="1:2">
      <c r="A54" s="46">
        <v>66010104</v>
      </c>
      <c r="B54" s="46" t="s">
        <v>453</v>
      </c>
    </row>
    <row r="55" spans="1:2">
      <c r="A55" s="46">
        <v>66010105</v>
      </c>
      <c r="B55" s="46" t="s">
        <v>454</v>
      </c>
    </row>
    <row r="56" spans="1:2">
      <c r="A56" s="46">
        <v>660102</v>
      </c>
      <c r="B56" s="46" t="s">
        <v>455</v>
      </c>
    </row>
    <row r="57" spans="1:2">
      <c r="A57" s="46">
        <v>66010201</v>
      </c>
      <c r="B57" s="46" t="s">
        <v>456</v>
      </c>
    </row>
    <row r="58" spans="1:2">
      <c r="A58" s="46">
        <v>66010202</v>
      </c>
      <c r="B58" s="46" t="s">
        <v>457</v>
      </c>
    </row>
    <row r="59" spans="1:2">
      <c r="A59" s="46">
        <v>66010203</v>
      </c>
      <c r="B59" s="46" t="s">
        <v>458</v>
      </c>
    </row>
    <row r="60" spans="1:2">
      <c r="A60" s="46">
        <v>66010204</v>
      </c>
      <c r="B60" s="46" t="s">
        <v>459</v>
      </c>
    </row>
    <row r="61" spans="1:2">
      <c r="A61" s="46">
        <v>66010205</v>
      </c>
      <c r="B61" s="46" t="s">
        <v>460</v>
      </c>
    </row>
    <row r="62" spans="1:2">
      <c r="A62" s="46">
        <v>66010206</v>
      </c>
      <c r="B62" s="46" t="s">
        <v>461</v>
      </c>
    </row>
    <row r="63" spans="1:2">
      <c r="A63" s="46">
        <v>66010207</v>
      </c>
      <c r="B63" s="46" t="s">
        <v>462</v>
      </c>
    </row>
    <row r="64" spans="1:2">
      <c r="A64" s="46">
        <v>6602</v>
      </c>
      <c r="B64" s="46" t="s">
        <v>463</v>
      </c>
    </row>
    <row r="65" spans="1:6">
      <c r="A65" s="46">
        <v>6700</v>
      </c>
      <c r="B65" s="46" t="s">
        <v>464</v>
      </c>
      <c r="C65" s="136">
        <f t="shared" ref="C65:F65" si="3">C41+C48</f>
        <v>-5771266.8499999996</v>
      </c>
      <c r="D65" s="137">
        <f t="shared" si="3"/>
        <v>20268635.989999998</v>
      </c>
      <c r="E65" s="137">
        <f>E41+E48</f>
        <v>-1456890.84</v>
      </c>
      <c r="F65" s="137">
        <f t="shared" si="3"/>
        <v>-14605.710000000006</v>
      </c>
    </row>
    <row r="66" spans="1:6">
      <c r="A66" s="46">
        <v>6701</v>
      </c>
      <c r="B66" s="46" t="s">
        <v>465</v>
      </c>
      <c r="C66" s="141">
        <v>-5771266.8499999996</v>
      </c>
      <c r="D66" s="142">
        <v>20268635.989999998</v>
      </c>
      <c r="E66" s="142">
        <f>E41+E48</f>
        <v>-1456890.84</v>
      </c>
      <c r="F66" s="142">
        <v>-14605.71</v>
      </c>
    </row>
    <row r="67" spans="1:6">
      <c r="A67" s="46">
        <v>6702</v>
      </c>
      <c r="B67" s="46" t="s">
        <v>466</v>
      </c>
      <c r="C67" s="142"/>
      <c r="D67" s="142"/>
      <c r="E67" s="142"/>
      <c r="F67" s="142"/>
    </row>
    <row r="68" spans="1:6">
      <c r="A68" s="46">
        <v>6800</v>
      </c>
      <c r="B68" s="46" t="s">
        <v>467</v>
      </c>
    </row>
    <row r="69" spans="1:6">
      <c r="A69" s="46">
        <v>6801</v>
      </c>
      <c r="B69" s="46" t="s">
        <v>468</v>
      </c>
    </row>
    <row r="70" spans="1:6">
      <c r="A70" s="46">
        <v>6802</v>
      </c>
      <c r="B70" s="46" t="s">
        <v>469</v>
      </c>
    </row>
  </sheetData>
  <customSheetViews>
    <customSheetView guid="{EFE5EB9F-962C-4232-9E60-22B2AE19D01B}" scale="115">
      <pane xSplit="1" ySplit="1" topLeftCell="B2" state="frozen"/>
      <selection activeCell="C5" sqref="C5"/>
      <pageMargins left="0.75" right="0.75" top="1" bottom="1" header="0.5" footer="0.5"/>
      <pageSetup paperSize="9" orientation="portrait"/>
      <headerFooter alignWithMargins="0"/>
    </customSheetView>
  </customSheetViews>
  <phoneticPr fontId="47" type="noConversion"/>
  <pageMargins left="0.75" right="0.75" top="1" bottom="1" header="0.5" footer="0.5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indexed="13"/>
  </sheetPr>
  <dimension ref="A1:F57"/>
  <sheetViews>
    <sheetView workbookViewId="0">
      <selection activeCell="C57" sqref="C57"/>
    </sheetView>
  </sheetViews>
  <sheetFormatPr defaultColWidth="9" defaultRowHeight="12.75"/>
  <cols>
    <col min="1" max="1" width="8.5703125" style="123" customWidth="1"/>
    <col min="2" max="2" width="43.5703125" customWidth="1"/>
    <col min="3" max="3" width="17.85546875"/>
    <col min="4" max="4" width="16.140625" customWidth="1"/>
    <col min="5" max="5" width="18.5703125" customWidth="1"/>
    <col min="6" max="6" width="16.28515625" style="124" customWidth="1"/>
  </cols>
  <sheetData>
    <row r="1" spans="1:6" ht="22.15" customHeight="1">
      <c r="A1" s="125" t="s">
        <v>290</v>
      </c>
      <c r="B1" s="126" t="s">
        <v>291</v>
      </c>
      <c r="C1" s="127">
        <v>45443</v>
      </c>
      <c r="D1" s="127">
        <v>45291</v>
      </c>
      <c r="E1" s="128">
        <v>44926</v>
      </c>
      <c r="F1" s="128">
        <v>44561</v>
      </c>
    </row>
    <row r="2" spans="1:6" ht="14.1" customHeight="1">
      <c r="A2" s="33">
        <v>7101</v>
      </c>
      <c r="B2" s="46" t="s">
        <v>470</v>
      </c>
      <c r="F2"/>
    </row>
    <row r="3" spans="1:6" ht="14.1" customHeight="1">
      <c r="A3" s="33">
        <v>710101</v>
      </c>
      <c r="B3" s="46" t="s">
        <v>471</v>
      </c>
      <c r="C3" s="129">
        <f>[1]现金流量表!$D$6</f>
        <v>2740000</v>
      </c>
      <c r="D3" s="129">
        <v>70000</v>
      </c>
      <c r="E3" s="129"/>
      <c r="F3" s="129"/>
    </row>
    <row r="4" spans="1:6" ht="14.1" customHeight="1">
      <c r="A4" s="33">
        <v>710102</v>
      </c>
      <c r="B4" s="46" t="s">
        <v>472</v>
      </c>
      <c r="C4" s="130"/>
      <c r="D4" s="130"/>
      <c r="E4" s="130"/>
      <c r="F4" s="130"/>
    </row>
    <row r="5" spans="1:6" ht="14.1" customHeight="1">
      <c r="A5" s="33">
        <v>710103</v>
      </c>
      <c r="B5" s="46" t="s">
        <v>473</v>
      </c>
      <c r="F5"/>
    </row>
    <row r="6" spans="1:6" ht="14.1" customHeight="1">
      <c r="A6" s="33">
        <v>710104</v>
      </c>
      <c r="B6" s="46" t="s">
        <v>474</v>
      </c>
      <c r="F6"/>
    </row>
    <row r="7" spans="1:6" ht="14.1" customHeight="1">
      <c r="A7" s="33">
        <v>710105</v>
      </c>
      <c r="B7" s="46" t="s">
        <v>475</v>
      </c>
      <c r="F7"/>
    </row>
    <row r="8" spans="1:6" ht="14.1" customHeight="1">
      <c r="A8" s="33">
        <v>710106</v>
      </c>
      <c r="B8" s="46" t="s">
        <v>476</v>
      </c>
      <c r="F8"/>
    </row>
    <row r="9" spans="1:6" ht="14.1" customHeight="1">
      <c r="A9" s="33">
        <v>710107</v>
      </c>
      <c r="B9" s="46" t="s">
        <v>477</v>
      </c>
      <c r="F9"/>
    </row>
    <row r="10" spans="1:6" ht="14.1" customHeight="1">
      <c r="A10" s="33">
        <v>710108</v>
      </c>
      <c r="B10" s="46" t="s">
        <v>478</v>
      </c>
      <c r="F10"/>
    </row>
    <row r="11" spans="1:6" ht="14.1" customHeight="1">
      <c r="A11" s="33">
        <v>710109</v>
      </c>
      <c r="B11" s="46" t="s">
        <v>479</v>
      </c>
      <c r="F11"/>
    </row>
    <row r="12" spans="1:6" ht="14.1" customHeight="1">
      <c r="A12" s="33">
        <v>710110</v>
      </c>
      <c r="B12" s="46" t="s">
        <v>480</v>
      </c>
      <c r="F12"/>
    </row>
    <row r="13" spans="1:6" ht="14.1" customHeight="1">
      <c r="A13" s="33">
        <v>710111</v>
      </c>
      <c r="B13" s="46" t="s">
        <v>481</v>
      </c>
      <c r="C13" s="130"/>
      <c r="D13" s="130"/>
      <c r="E13" s="130"/>
      <c r="F13" s="130"/>
    </row>
    <row r="14" spans="1:6" ht="14.1" customHeight="1">
      <c r="A14" s="33">
        <v>710112</v>
      </c>
      <c r="B14" s="46" t="s">
        <v>482</v>
      </c>
      <c r="C14" s="131"/>
      <c r="D14" s="131"/>
      <c r="E14" s="131"/>
      <c r="F14" s="131"/>
    </row>
    <row r="15" spans="1:6" ht="14.1" customHeight="1">
      <c r="A15" s="33">
        <v>710113</v>
      </c>
      <c r="B15" s="46" t="s">
        <v>483</v>
      </c>
      <c r="C15" s="132">
        <f>[1]现金流量表!$D$8</f>
        <v>5286767.24</v>
      </c>
      <c r="D15" s="132">
        <v>233393079.71000001</v>
      </c>
      <c r="E15" s="132">
        <v>294870163.45999998</v>
      </c>
      <c r="F15" s="132">
        <v>75150567.689999998</v>
      </c>
    </row>
    <row r="16" spans="1:6" ht="12.95" customHeight="1">
      <c r="A16" s="33">
        <v>710149</v>
      </c>
      <c r="B16" s="46" t="s">
        <v>484</v>
      </c>
      <c r="C16" s="133">
        <f>C3+C5+C4+C6+C7+C8+C9+C10+C11+C12+C13+C14+C15</f>
        <v>8026767.2400000002</v>
      </c>
      <c r="D16" s="133">
        <f>D3+D5+D4+D6+D7+D8+D9+D10+D11+D12+D13+D14+D15</f>
        <v>233463079.71000001</v>
      </c>
      <c r="E16" s="133">
        <f>E3+E5+E4+E6+E7+E8+E9+E10+E11+E12+E13+E14+E15</f>
        <v>294870163.45999998</v>
      </c>
      <c r="F16" s="133">
        <f>F3+F5+F4+F6+F7+F8+F9+F10+F11+F12+F13+F14+F15</f>
        <v>75150567.689999998</v>
      </c>
    </row>
    <row r="17" spans="1:6" ht="14.1" customHeight="1">
      <c r="A17" s="33">
        <v>710151</v>
      </c>
      <c r="B17" s="33" t="s">
        <v>485</v>
      </c>
      <c r="C17" s="132">
        <f>[1]现金流量表!$D$10</f>
        <v>5531088.9199999999</v>
      </c>
      <c r="D17" s="132">
        <v>12102185.26</v>
      </c>
      <c r="E17" s="132">
        <v>7000000</v>
      </c>
      <c r="F17" s="132"/>
    </row>
    <row r="18" spans="1:6" ht="14.1" customHeight="1">
      <c r="A18" s="33">
        <v>710152</v>
      </c>
      <c r="B18" s="46" t="s">
        <v>486</v>
      </c>
      <c r="C18" s="132"/>
      <c r="D18" s="132"/>
      <c r="E18" s="132"/>
      <c r="F18" s="132"/>
    </row>
    <row r="19" spans="1:6" ht="14.1" customHeight="1">
      <c r="A19" s="33">
        <v>710153</v>
      </c>
      <c r="B19" s="46" t="s">
        <v>487</v>
      </c>
      <c r="C19" s="132"/>
      <c r="D19" s="132"/>
      <c r="E19" s="132"/>
      <c r="F19" s="132"/>
    </row>
    <row r="20" spans="1:6" ht="14.1" customHeight="1">
      <c r="A20" s="33">
        <v>710154</v>
      </c>
      <c r="B20" s="46" t="s">
        <v>488</v>
      </c>
      <c r="C20" s="132"/>
      <c r="D20" s="132"/>
      <c r="E20" s="132"/>
      <c r="F20" s="132"/>
    </row>
    <row r="21" spans="1:6" ht="14.1" customHeight="1">
      <c r="A21" s="33">
        <v>710155</v>
      </c>
      <c r="B21" s="46" t="s">
        <v>489</v>
      </c>
      <c r="C21" s="132"/>
      <c r="D21" s="132"/>
      <c r="E21" s="132"/>
      <c r="F21" s="132"/>
    </row>
    <row r="22" spans="1:6" ht="14.1" customHeight="1">
      <c r="A22" s="33">
        <v>710156</v>
      </c>
      <c r="B22" s="46" t="s">
        <v>490</v>
      </c>
      <c r="C22" s="132"/>
      <c r="D22" s="132"/>
      <c r="E22" s="132"/>
      <c r="F22" s="132"/>
    </row>
    <row r="23" spans="1:6" ht="14.1" customHeight="1">
      <c r="A23" s="33">
        <v>710157</v>
      </c>
      <c r="B23" s="46" t="s">
        <v>491</v>
      </c>
      <c r="C23" s="132"/>
      <c r="D23" s="132"/>
      <c r="E23" s="132"/>
      <c r="F23" s="132"/>
    </row>
    <row r="24" spans="1:6" ht="14.1" customHeight="1">
      <c r="A24" s="33">
        <v>710158</v>
      </c>
      <c r="B24" s="46" t="s">
        <v>492</v>
      </c>
      <c r="C24" s="132">
        <f>[1]现金流量表!$D$11</f>
        <v>272416.07</v>
      </c>
      <c r="D24" s="132">
        <v>1186015.3700000001</v>
      </c>
      <c r="F24" s="132"/>
    </row>
    <row r="25" spans="1:6" ht="14.1" customHeight="1">
      <c r="A25" s="33">
        <v>710159</v>
      </c>
      <c r="B25" s="46" t="s">
        <v>493</v>
      </c>
      <c r="C25" s="132">
        <f>[1]现金流量表!$D$12</f>
        <v>1603.67</v>
      </c>
      <c r="D25" s="132">
        <v>1000377.62</v>
      </c>
      <c r="E25" s="132">
        <v>1362195.07</v>
      </c>
      <c r="F25" s="132">
        <v>59862.9</v>
      </c>
    </row>
    <row r="26" spans="1:6" ht="14.1" customHeight="1">
      <c r="A26" s="33">
        <v>710160</v>
      </c>
      <c r="B26" s="46" t="s">
        <v>494</v>
      </c>
      <c r="C26" s="132">
        <f>[1]现金流量表!$D$13</f>
        <v>2447900.7200000002</v>
      </c>
      <c r="D26" s="132">
        <v>22500417.539999999</v>
      </c>
      <c r="E26" s="132">
        <v>369321057.32999998</v>
      </c>
      <c r="F26" s="132">
        <v>3536</v>
      </c>
    </row>
    <row r="27" spans="1:6" ht="14.1" customHeight="1">
      <c r="A27" s="33">
        <v>710189</v>
      </c>
      <c r="B27" s="46" t="s">
        <v>495</v>
      </c>
      <c r="C27" s="133">
        <f>SUM(C17:C26)</f>
        <v>8253009.3800000008</v>
      </c>
      <c r="D27" s="133">
        <f>SUM(D17:D26)</f>
        <v>36788995.789999999</v>
      </c>
      <c r="E27" s="133">
        <f>SUM(E17:E26)</f>
        <v>377683252.39999998</v>
      </c>
      <c r="F27" s="134">
        <f>SUM(F17:F26)</f>
        <v>63398.9</v>
      </c>
    </row>
    <row r="28" spans="1:6" ht="14.1" customHeight="1">
      <c r="A28" s="33">
        <v>710199</v>
      </c>
      <c r="B28" s="46" t="s">
        <v>496</v>
      </c>
      <c r="C28" s="133">
        <f>C16-C27</f>
        <v>-226242.1400000006</v>
      </c>
      <c r="D28" s="133">
        <f>D16-D27</f>
        <v>196674083.92000002</v>
      </c>
      <c r="E28" s="133">
        <f>E16-E27</f>
        <v>-82813088.939999998</v>
      </c>
      <c r="F28" s="134">
        <f>F16-F27</f>
        <v>75087168.789999992</v>
      </c>
    </row>
    <row r="29" spans="1:6" ht="14.1" customHeight="1">
      <c r="A29" s="33">
        <v>7201</v>
      </c>
      <c r="B29" s="46" t="s">
        <v>497</v>
      </c>
      <c r="F29"/>
    </row>
    <row r="30" spans="1:6" ht="14.1" customHeight="1">
      <c r="A30" s="33">
        <v>720101</v>
      </c>
      <c r="B30" s="46" t="s">
        <v>498</v>
      </c>
      <c r="C30" s="132"/>
      <c r="D30" s="132"/>
      <c r="E30" s="132"/>
      <c r="F30" s="132"/>
    </row>
    <row r="31" spans="1:6" ht="14.1" customHeight="1">
      <c r="A31" s="33">
        <v>720102</v>
      </c>
      <c r="B31" s="46" t="s">
        <v>499</v>
      </c>
      <c r="C31" s="132"/>
      <c r="D31" s="132"/>
      <c r="E31" s="132"/>
      <c r="F31" s="132"/>
    </row>
    <row r="32" spans="1:6" ht="14.1" customHeight="1">
      <c r="A32" s="33">
        <v>720103</v>
      </c>
      <c r="B32" s="46" t="s">
        <v>500</v>
      </c>
      <c r="C32" s="132"/>
      <c r="D32" s="132"/>
      <c r="E32" s="132"/>
      <c r="F32" s="132"/>
    </row>
    <row r="33" spans="1:6" ht="14.1" customHeight="1">
      <c r="A33" s="33">
        <v>720104</v>
      </c>
      <c r="B33" s="46" t="s">
        <v>501</v>
      </c>
      <c r="C33" s="132"/>
      <c r="D33" s="132"/>
      <c r="E33" s="132"/>
      <c r="F33" s="132"/>
    </row>
    <row r="34" spans="1:6" ht="14.1" customHeight="1">
      <c r="A34" s="33">
        <v>720105</v>
      </c>
      <c r="B34" s="46" t="s">
        <v>502</v>
      </c>
      <c r="C34" s="132"/>
      <c r="D34" s="132"/>
      <c r="E34" s="132"/>
      <c r="F34" s="132"/>
    </row>
    <row r="35" spans="1:6" ht="14.1" customHeight="1">
      <c r="A35" s="33">
        <v>720149</v>
      </c>
      <c r="B35" s="46" t="s">
        <v>503</v>
      </c>
      <c r="C35" s="133">
        <f>SUM(C30:C34)</f>
        <v>0</v>
      </c>
      <c r="D35" s="133">
        <f>SUM(D30:D34)</f>
        <v>0</v>
      </c>
      <c r="E35" s="133">
        <f>SUM(E30:E34)</f>
        <v>0</v>
      </c>
      <c r="F35" s="133">
        <f>SUM(F30:F34)</f>
        <v>0</v>
      </c>
    </row>
    <row r="36" spans="1:6" ht="14.1" customHeight="1">
      <c r="A36" s="33">
        <v>720151</v>
      </c>
      <c r="B36" s="135" t="s">
        <v>504</v>
      </c>
      <c r="C36" s="132">
        <f>[1]现金流量表!$D$23</f>
        <v>10000</v>
      </c>
      <c r="D36" s="132">
        <v>38096594.859999999</v>
      </c>
      <c r="E36" s="132">
        <v>289694811.30000001</v>
      </c>
      <c r="F36" s="132">
        <v>170473690.58000001</v>
      </c>
    </row>
    <row r="37" spans="1:6" ht="14.1" customHeight="1">
      <c r="A37" s="33">
        <v>720152</v>
      </c>
      <c r="B37" s="46" t="s">
        <v>505</v>
      </c>
      <c r="C37" s="132"/>
      <c r="D37" s="132"/>
      <c r="E37" s="132"/>
      <c r="F37" s="132"/>
    </row>
    <row r="38" spans="1:6" ht="14.1" customHeight="1">
      <c r="A38" s="33">
        <v>720153</v>
      </c>
      <c r="B38" s="46" t="s">
        <v>506</v>
      </c>
      <c r="C38" s="132"/>
      <c r="D38" s="132"/>
      <c r="E38" s="132"/>
      <c r="F38" s="132"/>
    </row>
    <row r="39" spans="1:6" ht="14.1" customHeight="1">
      <c r="A39" s="33">
        <v>720154</v>
      </c>
      <c r="B39" s="46" t="s">
        <v>507</v>
      </c>
      <c r="C39" s="132"/>
      <c r="D39" s="132"/>
      <c r="E39" s="132"/>
      <c r="F39" s="132"/>
    </row>
    <row r="40" spans="1:6">
      <c r="A40" s="123">
        <v>720155</v>
      </c>
      <c r="B40" s="12" t="s">
        <v>508</v>
      </c>
      <c r="C40" s="132"/>
      <c r="D40" s="132"/>
      <c r="E40" s="132"/>
      <c r="F40" s="132"/>
    </row>
    <row r="41" spans="1:6">
      <c r="A41" s="123">
        <v>720189</v>
      </c>
      <c r="B41" s="12" t="s">
        <v>509</v>
      </c>
      <c r="C41" s="133">
        <f>SUM(C36:C40)</f>
        <v>10000</v>
      </c>
      <c r="D41" s="133">
        <f>SUM(D36:D40)</f>
        <v>38096594.859999999</v>
      </c>
      <c r="E41" s="133">
        <f>SUM(E36:E40)</f>
        <v>289694811.30000001</v>
      </c>
      <c r="F41" s="134">
        <f>SUM(F36:F40)</f>
        <v>170473690.58000001</v>
      </c>
    </row>
    <row r="42" spans="1:6">
      <c r="A42" s="123">
        <v>720199</v>
      </c>
      <c r="B42" s="12" t="s">
        <v>510</v>
      </c>
      <c r="C42" s="133">
        <f>C35-C41</f>
        <v>-10000</v>
      </c>
      <c r="D42" s="133">
        <f>D35-D41</f>
        <v>-38096594.859999999</v>
      </c>
      <c r="E42" s="133">
        <f>E35-E41</f>
        <v>-289694811.30000001</v>
      </c>
      <c r="F42" s="134">
        <f>F35-F41</f>
        <v>-170473690.58000001</v>
      </c>
    </row>
    <row r="43" spans="1:6">
      <c r="A43" s="123">
        <v>7301</v>
      </c>
      <c r="B43" s="12" t="s">
        <v>511</v>
      </c>
      <c r="F43"/>
    </row>
    <row r="44" spans="1:6">
      <c r="A44" s="123">
        <v>730101</v>
      </c>
      <c r="B44" s="12" t="s">
        <v>512</v>
      </c>
      <c r="C44" s="132"/>
      <c r="D44" s="132"/>
      <c r="E44" s="132"/>
      <c r="F44" s="132">
        <v>100000000</v>
      </c>
    </row>
    <row r="45" spans="1:6">
      <c r="A45" s="123">
        <v>730102</v>
      </c>
      <c r="B45" s="12" t="s">
        <v>513</v>
      </c>
      <c r="C45" s="132"/>
      <c r="D45" s="132">
        <v>15005837.75</v>
      </c>
      <c r="E45" s="132">
        <v>367966227.69999999</v>
      </c>
      <c r="F45" s="132"/>
    </row>
    <row r="46" spans="1:6">
      <c r="A46" s="123">
        <v>730103</v>
      </c>
      <c r="B46" s="12" t="s">
        <v>514</v>
      </c>
      <c r="C46" s="132"/>
      <c r="D46" s="132"/>
      <c r="E46" s="132"/>
      <c r="F46" s="132"/>
    </row>
    <row r="47" spans="1:6">
      <c r="A47" s="123">
        <v>730104</v>
      </c>
      <c r="B47" s="12" t="s">
        <v>515</v>
      </c>
      <c r="C47" s="132"/>
      <c r="D47" s="132"/>
      <c r="E47" s="132"/>
      <c r="F47" s="132"/>
    </row>
    <row r="48" spans="1:6">
      <c r="A48" s="123">
        <v>730149</v>
      </c>
      <c r="B48" s="12" t="s">
        <v>516</v>
      </c>
      <c r="C48" s="133">
        <f>SUM(C44:C47)</f>
        <v>0</v>
      </c>
      <c r="D48" s="133">
        <f>SUM(D44:D47)</f>
        <v>15005837.75</v>
      </c>
      <c r="E48" s="133">
        <f>SUM(E44:E47)</f>
        <v>367966227.69999999</v>
      </c>
      <c r="F48" s="134">
        <f>SUM(F44:F47)</f>
        <v>100000000</v>
      </c>
    </row>
    <row r="49" spans="1:6">
      <c r="A49" s="123">
        <v>730151</v>
      </c>
      <c r="B49" s="12" t="s">
        <v>517</v>
      </c>
      <c r="C49" s="132"/>
      <c r="D49" s="132">
        <v>149020000</v>
      </c>
      <c r="E49" s="132"/>
      <c r="F49" s="132"/>
    </row>
    <row r="50" spans="1:6">
      <c r="A50" s="123">
        <v>730152</v>
      </c>
      <c r="B50" s="12" t="s">
        <v>518</v>
      </c>
      <c r="C50" s="132"/>
      <c r="D50" s="132">
        <v>18253671.52</v>
      </c>
      <c r="E50" s="132"/>
      <c r="F50" s="132"/>
    </row>
    <row r="51" spans="1:6">
      <c r="A51" s="123">
        <v>730153</v>
      </c>
      <c r="B51" s="12" t="s">
        <v>519</v>
      </c>
      <c r="C51" s="132"/>
      <c r="D51" s="132"/>
      <c r="E51" s="132"/>
      <c r="F51" s="132"/>
    </row>
    <row r="52" spans="1:6">
      <c r="A52" s="123">
        <v>730189</v>
      </c>
      <c r="B52" s="12" t="s">
        <v>520</v>
      </c>
      <c r="C52" s="133">
        <f>SUM(C49:C51)</f>
        <v>0</v>
      </c>
      <c r="D52" s="133">
        <f>SUM(D49:D51)</f>
        <v>167273671.52000001</v>
      </c>
      <c r="E52" s="133">
        <f>SUM(E49:E51)</f>
        <v>0</v>
      </c>
      <c r="F52" s="134">
        <f>SUM(F49:F51)</f>
        <v>0</v>
      </c>
    </row>
    <row r="53" spans="1:6">
      <c r="A53" s="123">
        <v>730199</v>
      </c>
      <c r="B53" s="12" t="s">
        <v>521</v>
      </c>
      <c r="C53" s="133">
        <f>C48-C52</f>
        <v>0</v>
      </c>
      <c r="D53" s="133">
        <f>D48-D52</f>
        <v>-152267833.77000001</v>
      </c>
      <c r="E53" s="133">
        <f>E48-E52</f>
        <v>367966227.69999999</v>
      </c>
      <c r="F53" s="134">
        <f>F48-F52</f>
        <v>100000000</v>
      </c>
    </row>
    <row r="54" spans="1:6">
      <c r="A54" s="123">
        <v>7401</v>
      </c>
      <c r="B54" s="12" t="s">
        <v>522</v>
      </c>
      <c r="C54" s="132"/>
      <c r="D54" s="132"/>
    </row>
    <row r="55" spans="1:6">
      <c r="A55" s="123">
        <v>7501</v>
      </c>
      <c r="B55" s="12" t="s">
        <v>523</v>
      </c>
      <c r="C55" s="133">
        <f>C28+C42+C53+C54</f>
        <v>-236242.1400000006</v>
      </c>
      <c r="D55" s="133">
        <f t="shared" ref="D55:F55" si="0">D28+D42+D53+D54</f>
        <v>6309655.2899999917</v>
      </c>
      <c r="E55" s="133">
        <f t="shared" si="0"/>
        <v>-4541672.5400000215</v>
      </c>
      <c r="F55" s="133">
        <f t="shared" si="0"/>
        <v>4613478.2099999785</v>
      </c>
    </row>
    <row r="56" spans="1:6">
      <c r="A56" s="123">
        <v>750101</v>
      </c>
      <c r="B56" s="12" t="s">
        <v>524</v>
      </c>
      <c r="C56" s="132">
        <f>[1]现金流量表!$D$41</f>
        <v>1450416.39</v>
      </c>
      <c r="D56" s="132">
        <v>71805.67</v>
      </c>
      <c r="E56" s="132">
        <v>4613478.21</v>
      </c>
      <c r="F56" s="132"/>
    </row>
    <row r="57" spans="1:6">
      <c r="A57" s="123">
        <v>7601</v>
      </c>
      <c r="B57" s="12" t="s">
        <v>525</v>
      </c>
      <c r="C57" s="133">
        <f>C55+C56</f>
        <v>1214174.2499999993</v>
      </c>
      <c r="D57" s="133">
        <f>D55+D56</f>
        <v>6381460.9599999916</v>
      </c>
      <c r="E57" s="133">
        <f>E55+E56</f>
        <v>71805.669999978505</v>
      </c>
      <c r="F57" s="134">
        <f>F55+F56</f>
        <v>4613478.2099999785</v>
      </c>
    </row>
  </sheetData>
  <customSheetViews>
    <customSheetView guid="{EFE5EB9F-962C-4232-9E60-22B2AE19D01B}" scale="130">
      <pane xSplit="1" ySplit="1" topLeftCell="B2" state="frozen"/>
      <selection activeCell="B24" sqref="B24"/>
      <pageMargins left="0.75" right="0.75" top="1" bottom="1" header="0.5" footer="0.5"/>
      <pageSetup orientation="portrait" horizontalDpi="300" verticalDpi="300"/>
      <headerFooter alignWithMargins="0"/>
    </customSheetView>
  </customSheetViews>
  <phoneticPr fontId="47" type="noConversion"/>
  <pageMargins left="0.75" right="0.75" top="1" bottom="1" header="0.5" footer="0.5"/>
  <pageSetup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 filterMode="1">
    <pageSetUpPr fitToPage="1"/>
  </sheetPr>
  <dimension ref="A1:J163"/>
  <sheetViews>
    <sheetView tabSelected="1" topLeftCell="A63" zoomScale="85" zoomScaleNormal="85" workbookViewId="0">
      <selection activeCell="B94" sqref="B94"/>
    </sheetView>
  </sheetViews>
  <sheetFormatPr defaultColWidth="9.140625" defaultRowHeight="12.75"/>
  <cols>
    <col min="1" max="1" width="29.7109375" customWidth="1"/>
    <col min="2" max="5" width="16.42578125" customWidth="1"/>
    <col min="7" max="7" width="62.85546875" customWidth="1"/>
    <col min="8" max="8" width="12.28515625" customWidth="1"/>
    <col min="9" max="9" width="14.7109375" customWidth="1"/>
  </cols>
  <sheetData>
    <row r="1" spans="1:9" ht="15.75" customHeight="1">
      <c r="A1" s="160" t="s">
        <v>526</v>
      </c>
      <c r="B1" s="160"/>
      <c r="C1" s="160"/>
      <c r="D1" s="160"/>
      <c r="E1" s="160"/>
    </row>
    <row r="2" spans="1:9" ht="15.75" customHeight="1">
      <c r="A2" s="161" t="s">
        <v>527</v>
      </c>
      <c r="B2" s="161"/>
      <c r="C2" s="161"/>
      <c r="D2" s="161"/>
      <c r="E2" s="161"/>
    </row>
    <row r="3" spans="1:9" ht="15.75" customHeight="1">
      <c r="A3" s="157"/>
      <c r="B3" s="109">
        <v>45443</v>
      </c>
      <c r="C3" s="109">
        <f>DATE(YEAR(B3)-1,12,31)</f>
        <v>45291</v>
      </c>
      <c r="D3" s="109">
        <f>DATE(YEAR(C3)-1,MONTH(C3),DAY(C3))</f>
        <v>44926</v>
      </c>
      <c r="E3" s="109">
        <f>DATE(YEAR(C3)-2,MONTH(C3),DAY(C3))</f>
        <v>44561</v>
      </c>
    </row>
    <row r="4" spans="1:9" ht="14.25">
      <c r="A4" s="157"/>
      <c r="B4" s="110" t="s">
        <v>528</v>
      </c>
      <c r="C4" s="110" t="s">
        <v>528</v>
      </c>
      <c r="D4" s="110" t="s">
        <v>528</v>
      </c>
      <c r="E4" s="110" t="s">
        <v>528</v>
      </c>
    </row>
    <row r="5" spans="1:9" ht="15.75" customHeight="1">
      <c r="A5" s="156" t="s">
        <v>529</v>
      </c>
      <c r="B5" s="156"/>
      <c r="C5" s="156"/>
      <c r="D5" s="156"/>
      <c r="E5" s="156"/>
      <c r="H5" s="12" t="s">
        <v>530</v>
      </c>
    </row>
    <row r="6" spans="1:9" ht="14.25">
      <c r="A6" s="111" t="s">
        <v>531</v>
      </c>
      <c r="B6" s="112">
        <f>ROUND(HLOOKUP($B$3,bs!$C$1:$AA$110,MATCH("*"&amp;A6&amp;"*",bs!$B$1:$B$110,),FALSE),0)/IF(LEN($G$6)&gt;4,10000,1)</f>
        <v>121.4174</v>
      </c>
      <c r="C6" s="112">
        <f>ROUND(HLOOKUP($C$3,bs!$C$1:$AA$110,MATCH("*"&amp;A6&amp;"*",bs!$B$1:$B$110,),FALSE),0)/IF(LEN($G$6)&gt;4,10000,1)</f>
        <v>638.14610000000005</v>
      </c>
      <c r="D6" s="112">
        <f>ROUND(HLOOKUP($D$3,bs!$C$1:$AA$110,MATCH("*"&amp;A6&amp;"*",bs!$B$1:$B$110,),FALSE),0)/IF(LEN($G$6)&gt;4,10000,1)</f>
        <v>7.1806000000000001</v>
      </c>
      <c r="E6" s="112">
        <f>ROUND(HLOOKUP($E$3,bs!$C$1:$AA$110,MATCH("*"&amp;A6&amp;"*",bs!$B$1:$B$110,),FALSE),0)/IF(LEN($G$6)&gt;4,10000,1)</f>
        <v>461.34780000000001</v>
      </c>
      <c r="G6" t="s">
        <v>532</v>
      </c>
      <c r="H6" s="113">
        <f>B6+C6+D6+E6</f>
        <v>1228.0919000000001</v>
      </c>
      <c r="I6" s="34"/>
    </row>
    <row r="7" spans="1:9" ht="14.25" hidden="1">
      <c r="A7" s="111" t="s">
        <v>533</v>
      </c>
      <c r="B7" s="112">
        <f>ROUND(HLOOKUP($B$3,bs!$C$1:$AA$110,MATCH("*"&amp;A7&amp;"*",bs!$B$1:$B$110,),FALSE),0)/IF(LEN($G$6)&gt;4,10000,1)</f>
        <v>0</v>
      </c>
      <c r="C7" s="112">
        <f>ROUND(HLOOKUP($C$3,bs!$C$1:$AA$110,MATCH("*"&amp;A7&amp;"*",bs!$B$1:$B$110,),FALSE),0)/IF(LEN($G$6)&gt;4,10000,1)</f>
        <v>0</v>
      </c>
      <c r="D7" s="112">
        <f>ROUND(HLOOKUP($D$3,bs!$C$1:$AA$110,MATCH("*"&amp;A7&amp;"*",bs!$B$1:$B$110,),FALSE),0)/IF(LEN($G$6)&gt;4,10000,1)</f>
        <v>0</v>
      </c>
      <c r="E7" s="112">
        <f>ROUND(HLOOKUP($E$3,bs!$C$1:$AA$110,MATCH("*"&amp;A7&amp;"*",bs!$B$1:$B$110,),FALSE),0)/IF(LEN($G$6)&gt;4,10000,1)</f>
        <v>0</v>
      </c>
      <c r="H7" s="113">
        <f t="shared" ref="H7:H70" si="0">B7+C7+D7+E7</f>
        <v>0</v>
      </c>
    </row>
    <row r="8" spans="1:9" ht="14.25" hidden="1">
      <c r="A8" s="111" t="s">
        <v>534</v>
      </c>
      <c r="B8" s="112">
        <f>ROUND(HLOOKUP($B$3,bs!$C$1:$AA$110,MATCH("*"&amp;A8&amp;"*",bs!$B$1:$B$110,),FALSE),0)/IF(LEN($G$6)&gt;4,10000,1)</f>
        <v>0</v>
      </c>
      <c r="C8" s="112">
        <f>ROUND(HLOOKUP($C$3,bs!$C$1:$AA$110,MATCH("*"&amp;A8&amp;"*",bs!$B$1:$B$110,),FALSE),0)/IF(LEN($G$6)&gt;4,10000,1)</f>
        <v>0</v>
      </c>
      <c r="D8" s="112">
        <f>ROUND(HLOOKUP($D$3,bs!$C$1:$AA$110,MATCH("*"&amp;A8&amp;"*",bs!$B$1:$B$110,),FALSE),0)/IF(LEN($G$6)&gt;4,10000,1)</f>
        <v>0</v>
      </c>
      <c r="E8" s="112">
        <f>ROUND(HLOOKUP($E$3,bs!$C$1:$AA$110,MATCH("*"&amp;A8&amp;"*",bs!$B$1:$B$110,),FALSE),0)/IF(LEN($G$6)&gt;4,10000,1)</f>
        <v>0</v>
      </c>
      <c r="H8" s="113">
        <f t="shared" si="0"/>
        <v>0</v>
      </c>
    </row>
    <row r="9" spans="1:9" ht="14.25" hidden="1">
      <c r="A9" s="111" t="s">
        <v>535</v>
      </c>
      <c r="B9" s="112">
        <f>ROUND(HLOOKUP($B$3,bs!$C$1:$AA$110,MATCH("*"&amp;A9&amp;"*",bs!$B$1:$B$110,),FALSE),0)/IF(LEN($G$6)&gt;4,10000,1)</f>
        <v>0</v>
      </c>
      <c r="C9" s="112">
        <f>ROUND(HLOOKUP($C$3,bs!$C$1:$AA$110,MATCH("*"&amp;A9&amp;"*",bs!$B$1:$B$110,),FALSE),0)/IF(LEN($G$6)&gt;4,10000,1)</f>
        <v>0</v>
      </c>
      <c r="D9" s="112">
        <f>ROUND(HLOOKUP($D$3,bs!$C$1:$AA$110,MATCH("*"&amp;A9&amp;"*",bs!$B$1:$B$110,),FALSE),0)/IF(LEN($G$6)&gt;4,10000,1)</f>
        <v>0</v>
      </c>
      <c r="E9" s="112">
        <f>ROUND(HLOOKUP($E$3,bs!$C$1:$AA$110,MATCH("*"&amp;A9&amp;"*",bs!$B$1:$B$110,),FALSE),0)/IF(LEN($G$6)&gt;4,10000,1)</f>
        <v>0</v>
      </c>
      <c r="H9" s="113">
        <f t="shared" si="0"/>
        <v>0</v>
      </c>
    </row>
    <row r="10" spans="1:9" ht="14.25" hidden="1">
      <c r="A10" s="111" t="s">
        <v>536</v>
      </c>
      <c r="B10" s="112">
        <f>ROUND(HLOOKUP($B$3,bs!$C$1:$AA$110,MATCH("*"&amp;A10&amp;"*",bs!$B$1:$B$110,),FALSE),0)/IF(LEN($G$6)&gt;4,10000,1)</f>
        <v>0</v>
      </c>
      <c r="C10" s="112">
        <f>ROUND(HLOOKUP($C$3,bs!$C$1:$AA$110,MATCH("*"&amp;A10&amp;"*",bs!$B$1:$B$110,),FALSE),0)/IF(LEN($G$6)&gt;4,10000,1)</f>
        <v>0</v>
      </c>
      <c r="D10" s="112">
        <f>ROUND(HLOOKUP($D$3,bs!$C$1:$AA$110,MATCH("*"&amp;A10&amp;"*",bs!$B$1:$B$110,),FALSE),0)/IF(LEN($G$6)&gt;4,10000,1)</f>
        <v>0</v>
      </c>
      <c r="E10" s="112">
        <f>ROUND(HLOOKUP($E$3,bs!$C$1:$AA$110,MATCH("*"&amp;A10&amp;"*",bs!$B$1:$B$110,),FALSE),0)/IF(LEN($G$6)&gt;4,10000,1)</f>
        <v>0</v>
      </c>
      <c r="H10" s="113">
        <f t="shared" si="0"/>
        <v>0</v>
      </c>
    </row>
    <row r="11" spans="1:9" ht="14.25" hidden="1">
      <c r="A11" s="111" t="s">
        <v>537</v>
      </c>
      <c r="B11" s="112">
        <f>ROUND(HLOOKUP($B$3,bs!$C$1:$AA$110,MATCH("*"&amp;A11&amp;"*",bs!$B$1:$B$110,),FALSE),0)/IF(LEN($G$6)&gt;4,10000,1)</f>
        <v>0</v>
      </c>
      <c r="C11" s="112">
        <f>ROUND(HLOOKUP($C$3,bs!$C$1:$AA$110,MATCH("*"&amp;A11&amp;"*",bs!$B$1:$B$110,),FALSE),0)/IF(LEN($G$6)&gt;4,10000,1)</f>
        <v>0</v>
      </c>
      <c r="D11" s="112">
        <f>ROUND(HLOOKUP($D$3,bs!$C$1:$AA$110,MATCH("*"&amp;A11&amp;"*",bs!$B$1:$B$110,),FALSE),0)/IF(LEN($G$6)&gt;4,10000,1)</f>
        <v>0</v>
      </c>
      <c r="E11" s="112">
        <f>ROUND(HLOOKUP($E$3,bs!$C$1:$AA$110,MATCH("*"&amp;A11&amp;"*",bs!$B$1:$B$110,),FALSE),0)/IF(LEN($G$6)&gt;4,10000,1)</f>
        <v>0</v>
      </c>
      <c r="H11" s="113">
        <f t="shared" si="0"/>
        <v>0</v>
      </c>
    </row>
    <row r="12" spans="1:9" ht="14.25">
      <c r="A12" s="111" t="s">
        <v>538</v>
      </c>
      <c r="B12" s="112">
        <f>ROUND(HLOOKUP($B$3,bs!$C$1:$AA$110,MATCH("*"&amp;A12&amp;"*",bs!$B$1:$B$110,),FALSE),0)/IF(LEN($G$6)&gt;4,10000,1)</f>
        <v>46.242600000000003</v>
      </c>
      <c r="C12" s="112">
        <f>ROUND(HLOOKUP($C$3,bs!$C$1:$AA$110,MATCH("*"&amp;A12&amp;"*",bs!$B$1:$B$110,),FALSE),0)/IF(LEN($G$6)&gt;4,10000,1)</f>
        <v>1001.3315</v>
      </c>
      <c r="D12" s="112">
        <f>ROUND(HLOOKUP($D$3,bs!$C$1:$AA$110,MATCH("*"&amp;A12&amp;"*",bs!$B$1:$B$110,),FALSE),0)/IF(LEN($G$6)&gt;4,10000,1)</f>
        <v>0</v>
      </c>
      <c r="E12" s="112">
        <f>ROUND(HLOOKUP($E$3,bs!$C$1:$AA$110,MATCH("*"&amp;A12&amp;"*",bs!$B$1:$B$110,),FALSE),0)/IF(LEN($G$6)&gt;4,10000,1)</f>
        <v>0</v>
      </c>
      <c r="H12" s="113">
        <f t="shared" si="0"/>
        <v>1047.5741</v>
      </c>
    </row>
    <row r="13" spans="1:9" ht="14.25" hidden="1">
      <c r="A13" s="111" t="s">
        <v>539</v>
      </c>
      <c r="B13" s="112">
        <f>ROUND(HLOOKUP($B$3,bs!$C$1:$AA$110,MATCH("*"&amp;A13&amp;"*",bs!$B$1:$B$110,),FALSE),0)/IF(LEN($G$6)&gt;4,10000,1)</f>
        <v>0</v>
      </c>
      <c r="C13" s="112">
        <f>ROUND(HLOOKUP($C$3,bs!$C$1:$AA$110,MATCH("*"&amp;A13&amp;"*",bs!$B$1:$B$110,),FALSE),0)/IF(LEN($G$6)&gt;4,10000,1)</f>
        <v>0</v>
      </c>
      <c r="D13" s="112">
        <f>ROUND(HLOOKUP($D$3,bs!$C$1:$AA$110,MATCH("*"&amp;A13&amp;"*",bs!$B$1:$B$110,),FALSE),0)/IF(LEN($G$6)&gt;4,10000,1)</f>
        <v>0</v>
      </c>
      <c r="E13" s="112">
        <f>ROUND(HLOOKUP($E$3,bs!$C$1:$AA$110,MATCH("*"&amp;A13&amp;"*",bs!$B$1:$B$110,),FALSE),0)/IF(LEN($G$6)&gt;4,10000,1)</f>
        <v>0</v>
      </c>
      <c r="H13" s="113">
        <f t="shared" si="0"/>
        <v>0</v>
      </c>
    </row>
    <row r="14" spans="1:9" ht="14.25">
      <c r="A14" s="111" t="s">
        <v>540</v>
      </c>
      <c r="B14" s="112">
        <f>ROUND(HLOOKUP($B$3,bs!$C$1:$AA$110,MATCH("*"&amp;A14&amp;"*",bs!$B$1:$B$110,),FALSE),0)/IF(LEN($G$6)&gt;4,10000,1)</f>
        <v>37243.801700000004</v>
      </c>
      <c r="C14" s="112">
        <f>ROUND(HLOOKUP($C$3,bs!$C$1:$AA$110,MATCH("*"&amp;A14&amp;"*",bs!$B$1:$B$110,),FALSE),0)/IF(LEN($G$6)&gt;4,10000,1)</f>
        <v>250.2946</v>
      </c>
      <c r="D14" s="112">
        <f>ROUND(HLOOKUP($D$3,bs!$C$1:$AA$110,MATCH("*"&amp;A14&amp;"*",bs!$B$1:$B$110,),FALSE),0)/IF(LEN($G$6)&gt;4,10000,1)</f>
        <v>34697.095699999998</v>
      </c>
      <c r="E14" s="112">
        <f>ROUND(HLOOKUP($E$3,bs!$C$1:$AA$110,MATCH("*"&amp;A14&amp;"*",bs!$B$1:$B$110,),FALSE),0)/IF(LEN($G$6)&gt;4,10000,1)</f>
        <v>13716.7917</v>
      </c>
      <c r="H14" s="113">
        <f t="shared" si="0"/>
        <v>85907.983700000012</v>
      </c>
    </row>
    <row r="15" spans="1:9" ht="14.25" hidden="1">
      <c r="A15" s="111" t="s">
        <v>541</v>
      </c>
      <c r="B15" s="112">
        <f>ROUND(HLOOKUP($B$3,bs!$C$1:$AA$110,MATCH("*"&amp;A15&amp;"*",bs!$B$1:$B$110,),FALSE),0)/IF(LEN($G$6)&gt;4,10000,1)</f>
        <v>0</v>
      </c>
      <c r="C15" s="112">
        <f>ROUND(HLOOKUP($C$3,bs!$C$1:$AA$110,MATCH("*"&amp;A15&amp;"*",bs!$B$1:$B$110,),FALSE),0)/IF(LEN($G$6)&gt;4,10000,1)</f>
        <v>0</v>
      </c>
      <c r="D15" s="112">
        <f>ROUND(HLOOKUP($D$3,bs!$C$1:$AA$110,MATCH("*"&amp;A15&amp;"*",bs!$B$1:$B$110,),FALSE),0)/IF(LEN($G$6)&gt;4,10000,1)</f>
        <v>0</v>
      </c>
      <c r="E15" s="112">
        <f>ROUND(HLOOKUP($E$3,bs!$C$1:$AA$110,MATCH("*"&amp;A15&amp;"*",bs!$B$1:$B$110,),FALSE),0)/IF(LEN($G$6)&gt;4,10000,1)</f>
        <v>0</v>
      </c>
      <c r="H15" s="113">
        <f t="shared" si="0"/>
        <v>0</v>
      </c>
    </row>
    <row r="16" spans="1:9" ht="14.25" hidden="1">
      <c r="A16" s="111" t="s">
        <v>542</v>
      </c>
      <c r="B16" s="112">
        <f>ROUND(HLOOKUP($B$3,bs!$C$1:$AA$110,MATCH("*"&amp;A16&amp;"*",bs!$B$1:$B$110,),FALSE),0)/IF(LEN($G$6)&gt;4,10000,1)</f>
        <v>0</v>
      </c>
      <c r="C16" s="112">
        <f>ROUND(HLOOKUP($C$3,bs!$C$1:$AA$110,MATCH("*"&amp;A16&amp;"*",bs!$B$1:$B$110,),FALSE),0)/IF(LEN($G$6)&gt;4,10000,1)</f>
        <v>0</v>
      </c>
      <c r="D16" s="112">
        <f>ROUND(HLOOKUP($D$3,bs!$C$1:$AA$110,MATCH("*"&amp;A16&amp;"*",bs!$B$1:$B$110,),FALSE),0)/IF(LEN($G$6)&gt;4,10000,1)</f>
        <v>0</v>
      </c>
      <c r="E16" s="112">
        <f>ROUND(HLOOKUP($E$3,bs!$C$1:$AA$110,MATCH("*"&amp;A16&amp;"*",bs!$B$1:$B$110,),FALSE),0)/IF(LEN($G$6)&gt;4,10000,1)</f>
        <v>0</v>
      </c>
      <c r="H16" s="113">
        <f t="shared" si="0"/>
        <v>0</v>
      </c>
    </row>
    <row r="17" spans="1:8" ht="14.25" hidden="1">
      <c r="A17" s="111" t="s">
        <v>543</v>
      </c>
      <c r="B17" s="112">
        <f>ROUND(HLOOKUP($B$3,bs!$C$1:$AA$110,MATCH("*"&amp;A17&amp;"*",bs!$B$1:$B$110,),FALSE),0)/IF(LEN($G$6)&gt;4,10000,1)</f>
        <v>0</v>
      </c>
      <c r="C17" s="112">
        <f>ROUND(HLOOKUP($C$3,bs!$C$1:$AA$110,MATCH("*"&amp;A17&amp;"*",bs!$B$1:$B$110,),FALSE),0)/IF(LEN($G$6)&gt;4,10000,1)</f>
        <v>0</v>
      </c>
      <c r="D17" s="112">
        <f>ROUND(HLOOKUP($D$3,bs!$C$1:$AA$110,MATCH("*"&amp;A17&amp;"*",bs!$B$1:$B$110,),FALSE),0)/IF(LEN($G$6)&gt;4,10000,1)</f>
        <v>0</v>
      </c>
      <c r="E17" s="112">
        <f>ROUND(HLOOKUP($E$3,bs!$C$1:$AA$110,MATCH("*"&amp;A17&amp;"*",bs!$B$1:$B$110,),FALSE),0)/IF(LEN($G$6)&gt;4,10000,1)</f>
        <v>0</v>
      </c>
      <c r="H17" s="113">
        <f t="shared" si="0"/>
        <v>0</v>
      </c>
    </row>
    <row r="18" spans="1:8" ht="14.25">
      <c r="A18" s="111" t="s">
        <v>544</v>
      </c>
      <c r="B18" s="112">
        <f>ROUND(HLOOKUP($B$3,bs!$C$1:$AA$110,MATCH("*"&amp;A18&amp;"*",bs!$B$1:$B$110,),FALSE),0)/IF(LEN($G$6)&gt;4,10000,1)</f>
        <v>1752.1315</v>
      </c>
      <c r="C18" s="112">
        <f>ROUND(HLOOKUP($C$3,bs!$C$1:$AA$110,MATCH("*"&amp;A18&amp;"*",bs!$B$1:$B$110,),FALSE),0)/IF(LEN($G$6)&gt;4,10000,1)</f>
        <v>2501.4011</v>
      </c>
      <c r="D18" s="112">
        <f>ROUND(HLOOKUP($D$3,bs!$C$1:$AA$110,MATCH("*"&amp;A18&amp;"*",bs!$B$1:$B$110,),FALSE),0)/IF(LEN($G$6)&gt;4,10000,1)</f>
        <v>0.35</v>
      </c>
      <c r="E18" s="112">
        <f>ROUND(HLOOKUP($E$3,bs!$C$1:$AA$110,MATCH("*"&amp;A18&amp;"*",bs!$B$1:$B$110,),FALSE),0)/IF(LEN($G$6)&gt;4,10000,1)</f>
        <v>0.2</v>
      </c>
      <c r="H18" s="113">
        <f t="shared" si="0"/>
        <v>4254.0826000000006</v>
      </c>
    </row>
    <row r="19" spans="1:8" ht="14.25" hidden="1">
      <c r="A19" s="111" t="s">
        <v>545</v>
      </c>
      <c r="B19" s="112">
        <f>ROUND(HLOOKUP($B$3,bs!$C$1:$AA$110,MATCH("*"&amp;A19&amp;"*",bs!$B$1:$B$110,),FALSE),0)/IF(LEN($G$6)&gt;4,10000,1)</f>
        <v>0</v>
      </c>
      <c r="C19" s="112">
        <f>ROUND(HLOOKUP($C$3,bs!$C$1:$AA$110,MATCH("*"&amp;A19&amp;"*",bs!$B$1:$B$110,),FALSE),0)/IF(LEN($G$6)&gt;4,10000,1)</f>
        <v>0</v>
      </c>
      <c r="D19" s="112">
        <f>ROUND(HLOOKUP($D$3,bs!$C$1:$AA$110,MATCH("*"&amp;A19&amp;"*",bs!$B$1:$B$110,),FALSE),0)/IF(LEN($G$6)&gt;4,10000,1)</f>
        <v>0</v>
      </c>
      <c r="E19" s="112">
        <f>ROUND(HLOOKUP($E$3,bs!$C$1:$AA$110,MATCH("*"&amp;A19&amp;"*",bs!$B$1:$B$110,),FALSE),0)/IF(LEN($G$6)&gt;4,10000,1)</f>
        <v>0</v>
      </c>
      <c r="H19" s="113">
        <f t="shared" si="0"/>
        <v>0</v>
      </c>
    </row>
    <row r="20" spans="1:8" ht="14.25" hidden="1">
      <c r="A20" s="111" t="s">
        <v>546</v>
      </c>
      <c r="B20" s="112">
        <f>ROUND(HLOOKUP($B$3,bs!$C$1:$AA$110,MATCH("*"&amp;A20&amp;"*",bs!$B$1:$B$110,),FALSE),0)/IF(LEN($G$6)&gt;4,10000,1)</f>
        <v>0</v>
      </c>
      <c r="C20" s="112">
        <f>ROUND(HLOOKUP($C$3,bs!$C$1:$AA$110,MATCH("*"&amp;A20&amp;"*",bs!$B$1:$B$110,),FALSE),0)/IF(LEN($G$6)&gt;4,10000,1)</f>
        <v>0</v>
      </c>
      <c r="D20" s="112">
        <f>ROUND(HLOOKUP($D$3,bs!$C$1:$AA$110,MATCH("*"&amp;A20&amp;"*",bs!$B$1:$B$110,),FALSE),0)/IF(LEN($G$6)&gt;4,10000,1)</f>
        <v>0</v>
      </c>
      <c r="E20" s="112">
        <f>ROUND(HLOOKUP($E$3,bs!$C$1:$AA$110,MATCH("*"&amp;A20&amp;"*",bs!$B$1:$B$110,),FALSE),0)/IF(LEN($G$6)&gt;4,10000,1)</f>
        <v>0</v>
      </c>
      <c r="H20" s="113">
        <f t="shared" si="0"/>
        <v>0</v>
      </c>
    </row>
    <row r="21" spans="1:8" ht="14.25" hidden="1">
      <c r="A21" s="111" t="s">
        <v>547</v>
      </c>
      <c r="B21" s="112">
        <f>ROUND(HLOOKUP($B$3,bs!$C$1:$AA$110,MATCH("*"&amp;A21&amp;"*",bs!$B$1:$B$110,),FALSE),0)/IF(LEN($G$6)&gt;4,10000,1)</f>
        <v>0</v>
      </c>
      <c r="C21" s="112">
        <f>ROUND(HLOOKUP($C$3,bs!$C$1:$AA$110,MATCH("*"&amp;A21&amp;"*",bs!$B$1:$B$110,),FALSE),0)/IF(LEN($G$6)&gt;4,10000,1)</f>
        <v>0</v>
      </c>
      <c r="D21" s="112">
        <f>ROUND(HLOOKUP($D$3,bs!$C$1:$AA$110,MATCH("*"&amp;A21&amp;"*",bs!$B$1:$B$110,),FALSE),0)/IF(LEN($G$6)&gt;4,10000,1)</f>
        <v>0</v>
      </c>
      <c r="E21" s="112">
        <f>ROUND(HLOOKUP($E$3,bs!$C$1:$AA$110,MATCH("*"&amp;A21&amp;"*",bs!$B$1:$B$110,),FALSE),0)/IF(LEN($G$6)&gt;4,10000,1)</f>
        <v>0</v>
      </c>
      <c r="H21" s="113">
        <f t="shared" si="0"/>
        <v>0</v>
      </c>
    </row>
    <row r="22" spans="1:8" ht="14.25">
      <c r="A22" s="111" t="s">
        <v>548</v>
      </c>
      <c r="B22" s="112">
        <f>ROUND(HLOOKUP($B$3,bs!$C$1:$AA$110,MATCH("*"&amp;A22&amp;"*",bs!$B$1:$B$110,),FALSE),0)/IF(LEN($G$6)&gt;4,10000,1)</f>
        <v>1192.5833</v>
      </c>
      <c r="C22" s="112">
        <f>ROUND(HLOOKUP($C$3,bs!$C$1:$AA$110,MATCH("*"&amp;A22&amp;"*",bs!$B$1:$B$110,),FALSE),0)/IF(LEN($G$6)&gt;4,10000,1)</f>
        <v>720.50289999999995</v>
      </c>
      <c r="D22" s="112">
        <f>ROUND(HLOOKUP($D$3,bs!$C$1:$AA$110,MATCH("*"&amp;A22&amp;"*",bs!$B$1:$B$110,),FALSE),0)/IF(LEN($G$6)&gt;4,10000,1)</f>
        <v>0</v>
      </c>
      <c r="E22" s="112">
        <f>ROUND(HLOOKUP($E$3,bs!$C$1:$AA$110,MATCH("*"&amp;A22&amp;"*",bs!$B$1:$B$110,),FALSE),0)/IF(LEN($G$6)&gt;4,10000,1)</f>
        <v>0</v>
      </c>
      <c r="H22" s="113">
        <f t="shared" si="0"/>
        <v>1913.0862</v>
      </c>
    </row>
    <row r="23" spans="1:8" ht="14.25" hidden="1">
      <c r="A23" s="111" t="s">
        <v>549</v>
      </c>
      <c r="B23" s="112">
        <f>ROUND(HLOOKUP($B$3,bs!$C$1:$AA$110,MATCH("*"&amp;A23&amp;"*",bs!$B$1:$B$110,),FALSE),0)/IF(LEN($G$6)&gt;4,10000,1)</f>
        <v>0</v>
      </c>
      <c r="C23" s="112">
        <f>ROUND(HLOOKUP($C$3,bs!$C$1:$AA$110,MATCH("*"&amp;A23&amp;"*",bs!$B$1:$B$110,),FALSE),0)/IF(LEN($G$6)&gt;4,10000,1)</f>
        <v>0</v>
      </c>
      <c r="D23" s="112">
        <f>ROUND(HLOOKUP($D$3,bs!$C$1:$AA$110,MATCH("*"&amp;A23&amp;"*",bs!$B$1:$B$110,),FALSE),0)/IF(LEN($G$6)&gt;4,10000,1)</f>
        <v>0</v>
      </c>
      <c r="E23" s="112">
        <f>ROUND(HLOOKUP($E$3,bs!$C$1:$AA$110,MATCH("*"&amp;A23&amp;"*",bs!$B$1:$B$110,),FALSE),0)/IF(LEN($G$6)&gt;4,10000,1)</f>
        <v>0</v>
      </c>
      <c r="H23" s="113">
        <f t="shared" si="0"/>
        <v>0</v>
      </c>
    </row>
    <row r="24" spans="1:8" ht="14.25" hidden="1">
      <c r="A24" s="111" t="s">
        <v>550</v>
      </c>
      <c r="B24" s="112">
        <f>ROUND(HLOOKUP($B$3,bs!$C$1:$AA$110,MATCH("*"&amp;A24&amp;"*",bs!$B$1:$B$110,),FALSE),0)/IF(LEN($G$6)&gt;4,10000,1)</f>
        <v>0</v>
      </c>
      <c r="C24" s="112">
        <f>ROUND(HLOOKUP($C$3,bs!$C$1:$AA$110,MATCH("*"&amp;A24&amp;"*",bs!$B$1:$B$110,),FALSE),0)/IF(LEN($G$6)&gt;4,10000,1)</f>
        <v>0</v>
      </c>
      <c r="D24" s="112">
        <f>ROUND(HLOOKUP($D$3,bs!$C$1:$AA$110,MATCH("*"&amp;A24&amp;"*",bs!$B$1:$B$110,),FALSE),0)/IF(LEN($G$6)&gt;4,10000,1)</f>
        <v>0</v>
      </c>
      <c r="E24" s="112">
        <f>ROUND(HLOOKUP($E$3,bs!$C$1:$AA$110,MATCH("*"&amp;A24&amp;"*",bs!$B$1:$B$110,),FALSE),0)/IF(LEN($G$6)&gt;4,10000,1)</f>
        <v>0</v>
      </c>
      <c r="H24" s="113">
        <f t="shared" si="0"/>
        <v>0</v>
      </c>
    </row>
    <row r="25" spans="1:8" ht="14.25" hidden="1">
      <c r="A25" s="111" t="s">
        <v>551</v>
      </c>
      <c r="B25" s="112">
        <f>ROUND(HLOOKUP($B$3,bs!$C$1:$AA$110,MATCH("*"&amp;A25&amp;"*",bs!$B$1:$B$110,),FALSE),0)/IF(LEN($G$6)&gt;4,10000,1)</f>
        <v>0</v>
      </c>
      <c r="C25" s="112">
        <f>ROUND(HLOOKUP($C$3,bs!$C$1:$AA$110,MATCH("*"&amp;A25&amp;"*",bs!$B$1:$B$110,),FALSE),0)/IF(LEN($G$6)&gt;4,10000,1)</f>
        <v>0</v>
      </c>
      <c r="D25" s="112">
        <f>ROUND(HLOOKUP($D$3,bs!$C$1:$AA$110,MATCH("*"&amp;A25&amp;"*",bs!$B$1:$B$110,),FALSE),0)/IF(LEN($G$6)&gt;4,10000,1)</f>
        <v>0</v>
      </c>
      <c r="E25" s="112">
        <f>ROUND(HLOOKUP($E$3,bs!$C$1:$AA$110,MATCH("*"&amp;A25&amp;"*",bs!$B$1:$B$110,),FALSE),0)/IF(LEN($G$6)&gt;4,10000,1)</f>
        <v>0</v>
      </c>
      <c r="H25" s="113">
        <f t="shared" si="0"/>
        <v>0</v>
      </c>
    </row>
    <row r="26" spans="1:8" ht="14.25">
      <c r="A26" s="111" t="s">
        <v>552</v>
      </c>
      <c r="B26" s="112">
        <f>ROUND(HLOOKUP($B$3,bs!$C$1:$AA$110,MATCH("*"&amp;A26&amp;"*",bs!$B$1:$B$110,),FALSE),0)/IF(LEN($G$6)&gt;4,10000,1)</f>
        <v>0</v>
      </c>
      <c r="C26" s="112">
        <f>ROUND(HLOOKUP($C$3,bs!$C$1:$AA$110,MATCH("*"&amp;A26&amp;"*",bs!$B$1:$B$110,),FALSE),0)/IF(LEN($G$6)&gt;4,10000,1)</f>
        <v>974.68510000000003</v>
      </c>
      <c r="D26" s="112">
        <f>ROUND(HLOOKUP($D$3,bs!$C$1:$AA$110,MATCH("*"&amp;A26&amp;"*",bs!$B$1:$B$110,),FALSE),0)/IF(LEN($G$6)&gt;4,10000,1)</f>
        <v>694.93349999999998</v>
      </c>
      <c r="E26" s="112">
        <f>ROUND(HLOOKUP($E$3,bs!$C$1:$AA$110,MATCH("*"&amp;A26&amp;"*",bs!$B$1:$B$110,),FALSE),0)/IF(LEN($G$6)&gt;4,10000,1)</f>
        <v>8.4120000000000008</v>
      </c>
      <c r="H26" s="113">
        <f t="shared" si="0"/>
        <v>1678.0306</v>
      </c>
    </row>
    <row r="27" spans="1:8" ht="14.25">
      <c r="A27" s="114" t="s">
        <v>553</v>
      </c>
      <c r="B27" s="112">
        <f>ROUND(HLOOKUP($B$3,bs!$C$1:$AA$110,MATCH("*"&amp;A27&amp;"*",bs!$B$1:$B$110,),FALSE),0)/IF(LEN($G$6)&gt;4,10000,1)</f>
        <v>40356.176599999999</v>
      </c>
      <c r="C27" s="112">
        <f>ROUND(HLOOKUP($C$3,bs!$C$1:$AA$110,MATCH("*"&amp;A27&amp;"*",bs!$B$1:$B$110,),FALSE),0)/IF(LEN($G$6)&gt;4,10000,1)</f>
        <v>6086.3612999999996</v>
      </c>
      <c r="D27" s="112">
        <f>ROUND(HLOOKUP($D$3,bs!$C$1:$AA$110,MATCH("*"&amp;A27&amp;"*",bs!$B$1:$B$110,),FALSE),0)/IF(LEN($G$6)&gt;4,10000,1)</f>
        <v>35399.559800000003</v>
      </c>
      <c r="E27" s="112">
        <f>ROUND(HLOOKUP($E$3,bs!$C$1:$AA$110,MATCH("*"&amp;A27&amp;"*",bs!$B$1:$B$110,),FALSE),0)/IF(LEN($G$6)&gt;4,10000,1)</f>
        <v>14186.751399999999</v>
      </c>
      <c r="H27" s="113">
        <f t="shared" si="0"/>
        <v>96028.849099999992</v>
      </c>
    </row>
    <row r="28" spans="1:8" ht="14.25" hidden="1">
      <c r="A28" s="111" t="s">
        <v>554</v>
      </c>
      <c r="B28" s="112">
        <f>ROUND(HLOOKUP($B$3,bs!$C$1:$AA$110,MATCH("*"&amp;A28&amp;"*",bs!$B$1:$B$110,),FALSE),0)/IF(LEN($G$6)&gt;4,10000,1)</f>
        <v>0</v>
      </c>
      <c r="C28" s="112">
        <f>ROUND(HLOOKUP($C$3,bs!$C$1:$AA$110,MATCH("*"&amp;A28&amp;"*",bs!$B$1:$B$110,),FALSE),0)/IF(LEN($G$6)&gt;4,10000,1)</f>
        <v>0</v>
      </c>
      <c r="D28" s="112">
        <f>ROUND(HLOOKUP($D$3,bs!$C$1:$AA$110,MATCH("*"&amp;A28&amp;"*",bs!$B$1:$B$110,),FALSE),0)/IF(LEN($G$6)&gt;4,10000,1)</f>
        <v>0</v>
      </c>
      <c r="E28" s="112">
        <f>ROUND(HLOOKUP($E$3,bs!$C$1:$AA$110,MATCH("*"&amp;A28&amp;"*",bs!$B$1:$B$110,),FALSE),0)/IF(LEN($G$6)&gt;4,10000,1)</f>
        <v>0</v>
      </c>
      <c r="H28" s="113">
        <f t="shared" si="0"/>
        <v>0</v>
      </c>
    </row>
    <row r="29" spans="1:8" ht="14.25" hidden="1">
      <c r="A29" s="111" t="s">
        <v>555</v>
      </c>
      <c r="B29" s="112">
        <f>ROUND(HLOOKUP($B$3,bs!$C$1:$AA$110,MATCH("*"&amp;A29&amp;"*",bs!$B$1:$B$110,),FALSE),0)/IF(LEN($G$6)&gt;4,10000,1)</f>
        <v>0</v>
      </c>
      <c r="C29" s="112">
        <f>ROUND(HLOOKUP($C$3,bs!$C$1:$AA$110,MATCH("*"&amp;A29&amp;"*",bs!$B$1:$B$110,),FALSE),0)/IF(LEN($G$6)&gt;4,10000,1)</f>
        <v>0</v>
      </c>
      <c r="D29" s="112">
        <f>ROUND(HLOOKUP($D$3,bs!$C$1:$AA$110,MATCH("*"&amp;A29&amp;"*",bs!$B$1:$B$110,),FALSE),0)/IF(LEN($G$6)&gt;4,10000,1)</f>
        <v>0</v>
      </c>
      <c r="E29" s="112">
        <f>ROUND(HLOOKUP($E$3,bs!$C$1:$AA$110,MATCH("*"&amp;A29&amp;"*",bs!$B$1:$B$110,),FALSE),0)/IF(LEN($G$6)&gt;4,10000,1)</f>
        <v>0</v>
      </c>
      <c r="H29" s="113">
        <f t="shared" si="0"/>
        <v>0</v>
      </c>
    </row>
    <row r="30" spans="1:8" ht="14.25" hidden="1">
      <c r="A30" s="111" t="s">
        <v>556</v>
      </c>
      <c r="B30" s="112">
        <f>ROUND(HLOOKUP($B$3,bs!$C$1:$AA$110,MATCH("*"&amp;A30&amp;"*",bs!$B$1:$B$110,),FALSE),0)/IF(LEN($G$6)&gt;4,10000,1)</f>
        <v>0</v>
      </c>
      <c r="C30" s="112">
        <f>ROUND(HLOOKUP($C$3,bs!$C$1:$AA$110,MATCH("*"&amp;A30&amp;"*",bs!$B$1:$B$110,),FALSE),0)/IF(LEN($G$6)&gt;4,10000,1)</f>
        <v>0</v>
      </c>
      <c r="D30" s="112">
        <f>ROUND(HLOOKUP($D$3,bs!$C$1:$AA$110,MATCH("*"&amp;A30&amp;"*",bs!$B$1:$B$110,),FALSE),0)/IF(LEN($G$6)&gt;4,10000,1)</f>
        <v>0</v>
      </c>
      <c r="E30" s="112">
        <f>ROUND(HLOOKUP($E$3,bs!$C$1:$AA$110,MATCH("*"&amp;A30&amp;"*",bs!$B$1:$B$110,),FALSE),0)/IF(LEN($G$6)&gt;4,10000,1)</f>
        <v>0</v>
      </c>
      <c r="H30" s="113">
        <f t="shared" si="0"/>
        <v>0</v>
      </c>
    </row>
    <row r="31" spans="1:8" ht="14.25" hidden="1">
      <c r="A31" s="111" t="s">
        <v>557</v>
      </c>
      <c r="B31" s="112">
        <f>ROUND(HLOOKUP($B$3,bs!$C$1:$AA$110,MATCH("*"&amp;A31&amp;"*",bs!$B$1:$B$110,),FALSE),0)/IF(LEN($G$6)&gt;4,10000,1)</f>
        <v>0</v>
      </c>
      <c r="C31" s="112">
        <f>ROUND(HLOOKUP($C$3,bs!$C$1:$AA$110,MATCH("*"&amp;A31&amp;"*",bs!$B$1:$B$110,),FALSE),0)/IF(LEN($G$6)&gt;4,10000,1)</f>
        <v>0</v>
      </c>
      <c r="D31" s="112">
        <f>ROUND(HLOOKUP($D$3,bs!$C$1:$AA$110,MATCH("*"&amp;A31&amp;"*",bs!$B$1:$B$110,),FALSE),0)/IF(LEN($G$6)&gt;4,10000,1)</f>
        <v>0</v>
      </c>
      <c r="E31" s="112">
        <f>ROUND(HLOOKUP($E$3,bs!$C$1:$AA$110,MATCH("*"&amp;A31&amp;"*",bs!$B$1:$B$110,),FALSE),0)/IF(LEN($G$6)&gt;4,10000,1)</f>
        <v>0</v>
      </c>
      <c r="H31" s="113">
        <f t="shared" si="0"/>
        <v>0</v>
      </c>
    </row>
    <row r="32" spans="1:8" ht="14.25" hidden="1">
      <c r="A32" s="111" t="s">
        <v>558</v>
      </c>
      <c r="B32" s="112">
        <f>ROUND(HLOOKUP($B$3,bs!$C$1:$AA$110,MATCH("*"&amp;A32&amp;"*",bs!$B$1:$B$110,),FALSE),0)/IF(LEN($G$6)&gt;4,10000,1)</f>
        <v>0</v>
      </c>
      <c r="C32" s="112">
        <f>ROUND(HLOOKUP($C$3,bs!$C$1:$AA$110,MATCH("*"&amp;A32&amp;"*",bs!$B$1:$B$110,),FALSE),0)/IF(LEN($G$6)&gt;4,10000,1)</f>
        <v>0</v>
      </c>
      <c r="D32" s="112">
        <f>ROUND(HLOOKUP($D$3,bs!$C$1:$AA$110,MATCH("*"&amp;A32&amp;"*",bs!$B$1:$B$110,),FALSE),0)/IF(LEN($G$6)&gt;4,10000,1)</f>
        <v>0</v>
      </c>
      <c r="E32" s="112">
        <f>ROUND(HLOOKUP($E$3,bs!$C$1:$AA$110,MATCH("*"&amp;A32&amp;"*",bs!$B$1:$B$110,),FALSE),0)/IF(LEN($G$6)&gt;4,10000,1)</f>
        <v>0</v>
      </c>
      <c r="H32" s="113">
        <f t="shared" si="0"/>
        <v>0</v>
      </c>
    </row>
    <row r="33" spans="1:8" ht="14.25" hidden="1">
      <c r="A33" s="111" t="s">
        <v>559</v>
      </c>
      <c r="B33" s="112">
        <f>ROUND(HLOOKUP($B$3,bs!$C$1:$AA$110,MATCH("*"&amp;A33&amp;"*",bs!$B$1:$B$110,),FALSE),0)/IF(LEN($G$6)&gt;4,10000,1)</f>
        <v>0</v>
      </c>
      <c r="C33" s="112">
        <f>ROUND(HLOOKUP($C$3,bs!$C$1:$AA$110,MATCH("*"&amp;A33&amp;"*",bs!$B$1:$B$110,),FALSE),0)/IF(LEN($G$6)&gt;4,10000,1)</f>
        <v>0</v>
      </c>
      <c r="D33" s="112">
        <f>ROUND(HLOOKUP($D$3,bs!$C$1:$AA$110,MATCH("*"&amp;A33&amp;"*",bs!$B$1:$B$110,),FALSE),0)/IF(LEN($G$6)&gt;4,10000,1)</f>
        <v>0</v>
      </c>
      <c r="E33" s="112">
        <f>ROUND(HLOOKUP($E$3,bs!$C$1:$AA$110,MATCH("*"&amp;A33&amp;"*",bs!$B$1:$B$110,),FALSE),0)/IF(LEN($G$6)&gt;4,10000,1)</f>
        <v>0</v>
      </c>
      <c r="H33" s="113">
        <f t="shared" si="0"/>
        <v>0</v>
      </c>
    </row>
    <row r="34" spans="1:8" ht="14.25" hidden="1">
      <c r="A34" s="111" t="s">
        <v>560</v>
      </c>
      <c r="B34" s="112">
        <f>ROUND(HLOOKUP($B$3,bs!$C$1:$AA$110,MATCH("*"&amp;A34&amp;"*",bs!$B$1:$B$110,),FALSE),0)/IF(LEN($G$6)&gt;4,10000,1)</f>
        <v>0</v>
      </c>
      <c r="C34" s="112">
        <f>ROUND(HLOOKUP($C$3,bs!$C$1:$AA$110,MATCH("*"&amp;A34&amp;"*",bs!$B$1:$B$110,),FALSE),0)/IF(LEN($G$6)&gt;4,10000,1)</f>
        <v>0</v>
      </c>
      <c r="D34" s="112">
        <f>ROUND(HLOOKUP($D$3,bs!$C$1:$AA$110,MATCH("*"&amp;A34&amp;"*",bs!$B$1:$B$110,),FALSE),0)/IF(LEN($G$6)&gt;4,10000,1)</f>
        <v>0</v>
      </c>
      <c r="E34" s="112">
        <f>ROUND(HLOOKUP($E$3,bs!$C$1:$AA$110,MATCH("*"&amp;A34&amp;"*",bs!$B$1:$B$110,),FALSE),0)/IF(LEN($G$6)&gt;4,10000,1)</f>
        <v>0</v>
      </c>
      <c r="H34" s="113">
        <f t="shared" si="0"/>
        <v>0</v>
      </c>
    </row>
    <row r="35" spans="1:8" ht="14.25" hidden="1">
      <c r="A35" s="111" t="s">
        <v>561</v>
      </c>
      <c r="B35" s="112">
        <f>ROUND(HLOOKUP($B$3,bs!$C$1:$AA$110,MATCH("*"&amp;A35&amp;"*",bs!$B$1:$B$110,),FALSE),0)/IF(LEN($G$6)&gt;4,10000,1)</f>
        <v>0</v>
      </c>
      <c r="C35" s="112">
        <f>ROUND(HLOOKUP($C$3,bs!$C$1:$AA$110,MATCH("*"&amp;A35&amp;"*",bs!$B$1:$B$110,),FALSE),0)/IF(LEN($G$6)&gt;4,10000,1)</f>
        <v>0</v>
      </c>
      <c r="D35" s="112">
        <f>ROUND(HLOOKUP($D$3,bs!$C$1:$AA$110,MATCH("*"&amp;A35&amp;"*",bs!$B$1:$B$110,),FALSE),0)/IF(LEN($G$6)&gt;4,10000,1)</f>
        <v>0</v>
      </c>
      <c r="E35" s="112">
        <f>ROUND(HLOOKUP($E$3,bs!$C$1:$AA$110,MATCH("*"&amp;A35&amp;"*",bs!$B$1:$B$110,),FALSE),0)/IF(LEN($G$6)&gt;4,10000,1)</f>
        <v>0</v>
      </c>
      <c r="H35" s="113">
        <f t="shared" si="0"/>
        <v>0</v>
      </c>
    </row>
    <row r="36" spans="1:8" ht="14.25" hidden="1">
      <c r="A36" s="111" t="s">
        <v>562</v>
      </c>
      <c r="B36" s="112">
        <f>ROUND(HLOOKUP($B$3,bs!$C$1:$AA$110,MATCH("*"&amp;A36&amp;"*",bs!$B$1:$B$110,),FALSE),0)/IF(LEN($G$6)&gt;4,10000,1)</f>
        <v>0</v>
      </c>
      <c r="C36" s="112">
        <f>ROUND(HLOOKUP($C$3,bs!$C$1:$AA$110,MATCH("*"&amp;A36&amp;"*",bs!$B$1:$B$110,),FALSE),0)/IF(LEN($G$6)&gt;4,10000,1)</f>
        <v>0</v>
      </c>
      <c r="D36" s="112">
        <f>ROUND(HLOOKUP($D$3,bs!$C$1:$AA$110,MATCH("*"&amp;A36&amp;"*",bs!$B$1:$B$110,),FALSE),0)/IF(LEN($G$6)&gt;4,10000,1)</f>
        <v>0</v>
      </c>
      <c r="E36" s="112">
        <f>ROUND(HLOOKUP($E$3,bs!$C$1:$AA$110,MATCH("*"&amp;A36&amp;"*",bs!$B$1:$B$110,),FALSE),0)/IF(LEN($G$6)&gt;4,10000,1)</f>
        <v>0</v>
      </c>
      <c r="H36" s="113">
        <f t="shared" si="0"/>
        <v>0</v>
      </c>
    </row>
    <row r="37" spans="1:8" ht="14.25" hidden="1">
      <c r="A37" s="111" t="s">
        <v>563</v>
      </c>
      <c r="B37" s="112">
        <f>ROUND(HLOOKUP($B$3,bs!$C$1:$AA$110,MATCH("*"&amp;A37&amp;"*",bs!$B$1:$B$110,),FALSE),0)/IF(LEN($G$6)&gt;4,10000,1)</f>
        <v>0</v>
      </c>
      <c r="C37" s="112">
        <f>ROUND(HLOOKUP($C$3,bs!$C$1:$AA$110,MATCH("*"&amp;A37&amp;"*",bs!$B$1:$B$110,),FALSE),0)/IF(LEN($G$6)&gt;4,10000,1)</f>
        <v>0</v>
      </c>
      <c r="D37" s="112">
        <f>ROUND(HLOOKUP($D$3,bs!$C$1:$AA$110,MATCH("*"&amp;A37&amp;"*",bs!$B$1:$B$110,),FALSE),0)/IF(LEN($G$6)&gt;4,10000,1)</f>
        <v>0</v>
      </c>
      <c r="E37" s="112">
        <f>ROUND(HLOOKUP($E$3,bs!$C$1:$AA$110,MATCH("*"&amp;A37&amp;"*",bs!$B$1:$B$110,),FALSE),0)/IF(LEN($G$6)&gt;4,10000,1)</f>
        <v>0</v>
      </c>
      <c r="H37" s="113">
        <f t="shared" si="0"/>
        <v>0</v>
      </c>
    </row>
    <row r="38" spans="1:8" ht="14.25">
      <c r="A38" s="111" t="s">
        <v>564</v>
      </c>
      <c r="B38" s="112">
        <f>ROUND(HLOOKUP($B$3,bs!$C$1:$AA$110,MATCH("*"&amp;A38&amp;"*",bs!$B$1:$B$110,),FALSE),0)/IF(LEN($G$6)&gt;4,10000,1)</f>
        <v>50242.962599999999</v>
      </c>
      <c r="C38" s="112">
        <f>ROUND(HLOOKUP($C$3,bs!$C$1:$AA$110,MATCH("*"&amp;A38&amp;"*",bs!$B$1:$B$110,),FALSE),0)/IF(LEN($G$6)&gt;4,10000,1)</f>
        <v>51234.7886</v>
      </c>
      <c r="D38" s="112">
        <f>ROUND(HLOOKUP($D$3,bs!$C$1:$AA$110,MATCH("*"&amp;A38&amp;"*",bs!$B$1:$B$110,),FALSE),0)/IF(LEN($G$6)&gt;4,10000,1)</f>
        <v>3.3908</v>
      </c>
      <c r="E38" s="112">
        <f>ROUND(HLOOKUP($E$3,bs!$C$1:$AA$110,MATCH("*"&amp;A38&amp;"*",bs!$B$1:$B$110,),FALSE),0)/IF(LEN($G$6)&gt;4,10000,1)</f>
        <v>1.6040000000000001</v>
      </c>
      <c r="H38" s="113">
        <f t="shared" si="0"/>
        <v>101482.746</v>
      </c>
    </row>
    <row r="39" spans="1:8" ht="14.25" hidden="1">
      <c r="A39" s="111" t="s">
        <v>565</v>
      </c>
      <c r="B39" s="112">
        <f>ROUND(HLOOKUP($B$3,bs!$C$1:$AA$110,MATCH("*"&amp;A39&amp;"*",bs!$B$1:$B$110,),FALSE),0)/IF(LEN($G$6)&gt;4,10000,1)</f>
        <v>0</v>
      </c>
      <c r="C39" s="112">
        <f>ROUND(HLOOKUP($C$3,bs!$C$1:$AA$110,MATCH("*"&amp;A39&amp;"*",bs!$B$1:$B$110,),FALSE),0)/IF(LEN($G$6)&gt;4,10000,1)</f>
        <v>0</v>
      </c>
      <c r="D39" s="112">
        <f>ROUND(HLOOKUP($D$3,bs!$C$1:$AA$110,MATCH("*"&amp;A39&amp;"*",bs!$B$1:$B$110,),FALSE),0)/IF(LEN($G$6)&gt;4,10000,1)</f>
        <v>0</v>
      </c>
      <c r="E39" s="112">
        <f>ROUND(HLOOKUP($E$3,bs!$C$1:$AA$110,MATCH("*"&amp;A39&amp;"*",bs!$B$1:$B$110,),FALSE),0)/IF(LEN($G$6)&gt;4,10000,1)</f>
        <v>0</v>
      </c>
      <c r="H39" s="113">
        <f t="shared" si="0"/>
        <v>0</v>
      </c>
    </row>
    <row r="40" spans="1:8" ht="14.25" hidden="1">
      <c r="A40" s="111" t="s">
        <v>566</v>
      </c>
      <c r="B40" s="112">
        <f>ROUND(HLOOKUP($B$3,bs!$C$1:$AA$110,MATCH("*"&amp;A40&amp;"*",bs!$B$1:$B$110,),FALSE),0)/IF(LEN($G$6)&gt;4,10000,1)</f>
        <v>0</v>
      </c>
      <c r="C40" s="112">
        <f>ROUND(HLOOKUP($C$3,bs!$C$1:$AA$110,MATCH("*"&amp;A40&amp;"*",bs!$B$1:$B$110,),FALSE),0)/IF(LEN($G$6)&gt;4,10000,1)</f>
        <v>0</v>
      </c>
      <c r="D40" s="112">
        <f>ROUND(HLOOKUP($D$3,bs!$C$1:$AA$110,MATCH("*"&amp;A40&amp;"*",bs!$B$1:$B$110,),FALSE),0)/IF(LEN($G$6)&gt;4,10000,1)</f>
        <v>0</v>
      </c>
      <c r="E40" s="112">
        <f>ROUND(HLOOKUP($E$3,bs!$C$1:$AA$110,MATCH("*"&amp;A40&amp;"*",bs!$B$1:$B$110,),FALSE),0)/IF(LEN($G$6)&gt;4,10000,1)</f>
        <v>0</v>
      </c>
      <c r="H40" s="113">
        <f t="shared" si="0"/>
        <v>0</v>
      </c>
    </row>
    <row r="41" spans="1:8" ht="14.25">
      <c r="A41" s="111" t="s">
        <v>567</v>
      </c>
      <c r="B41" s="112">
        <f>ROUND(HLOOKUP($B$3,bs!$C$1:$AA$110,MATCH("*"&amp;A41&amp;"*",bs!$B$1:$B$110,),FALSE),0)/IF(LEN($G$6)&gt;4,10000,1)</f>
        <v>50242.962599999999</v>
      </c>
      <c r="C41" s="112">
        <f>ROUND(HLOOKUP($C$3,bs!$C$1:$AA$110,MATCH("*"&amp;A41&amp;"*",bs!$B$1:$B$110,),FALSE),0)/IF(LEN($G$6)&gt;4,10000,1)</f>
        <v>51234.7886</v>
      </c>
      <c r="D41" s="112">
        <f>ROUND(HLOOKUP($D$3,bs!$C$1:$AA$110,MATCH("*"&amp;A41&amp;"*",bs!$B$1:$B$110,),FALSE),0)/IF(LEN($G$6)&gt;4,10000,1)</f>
        <v>3.3908</v>
      </c>
      <c r="E41" s="112">
        <f>ROUND(HLOOKUP($E$3,bs!$C$1:$AA$110,MATCH("*"&amp;A41&amp;"*",bs!$B$1:$B$110,),FALSE),0)/IF(LEN($G$6)&gt;4,10000,1)</f>
        <v>1.6040000000000001</v>
      </c>
      <c r="H41" s="113">
        <f t="shared" si="0"/>
        <v>101482.746</v>
      </c>
    </row>
    <row r="42" spans="1:8" ht="14.25" hidden="1">
      <c r="A42" s="111" t="s">
        <v>568</v>
      </c>
      <c r="B42" s="112">
        <f>ROUND(HLOOKUP($B$3,bs!$C$1:$AA$110,MATCH("*"&amp;A42&amp;"*",bs!$B$1:$B$110,),FALSE),0)/IF(LEN($G$6)&gt;4,10000,1)</f>
        <v>0</v>
      </c>
      <c r="C42" s="112">
        <f>ROUND(HLOOKUP($C$3,bs!$C$1:$AA$110,MATCH("*"&amp;A42&amp;"*",bs!$B$1:$B$110,),FALSE),0)/IF(LEN($G$6)&gt;4,10000,1)</f>
        <v>0</v>
      </c>
      <c r="D42" s="112">
        <f>ROUND(HLOOKUP($D$3,bs!$C$1:$AA$110,MATCH("*"&amp;A42&amp;"*",bs!$B$1:$B$110,),FALSE),0)/IF(LEN($G$6)&gt;4,10000,1)</f>
        <v>0</v>
      </c>
      <c r="E42" s="112">
        <f>ROUND(HLOOKUP($E$3,bs!$C$1:$AA$110,MATCH("*"&amp;A42&amp;"*",bs!$B$1:$B$110,),FALSE),0)/IF(LEN($G$6)&gt;4,10000,1)</f>
        <v>0</v>
      </c>
      <c r="H42" s="113">
        <f t="shared" si="0"/>
        <v>0</v>
      </c>
    </row>
    <row r="43" spans="1:8" ht="14.25" hidden="1">
      <c r="A43" s="111" t="s">
        <v>569</v>
      </c>
      <c r="B43" s="112">
        <f>ROUND(HLOOKUP($B$3,bs!$C$1:$AA$110,MATCH("*"&amp;A43&amp;"*",bs!$B$1:$B$110,),FALSE),0)/IF(LEN($G$6)&gt;4,10000,1)</f>
        <v>0</v>
      </c>
      <c r="C43" s="112">
        <f>ROUND(HLOOKUP($C$3,bs!$C$1:$AA$110,MATCH("*"&amp;A43&amp;"*",bs!$B$1:$B$110,),FALSE),0)/IF(LEN($G$6)&gt;4,10000,1)</f>
        <v>0</v>
      </c>
      <c r="D43" s="112">
        <f>ROUND(HLOOKUP($D$3,bs!$C$1:$AA$110,MATCH("*"&amp;A43&amp;"*",bs!$B$1:$B$110,),FALSE),0)/IF(LEN($G$6)&gt;4,10000,1)</f>
        <v>0</v>
      </c>
      <c r="E43" s="112">
        <f>ROUND(HLOOKUP($E$3,bs!$C$1:$AA$110,MATCH("*"&amp;A43&amp;"*",bs!$B$1:$B$110,),FALSE),0)/IF(LEN($G$6)&gt;4,10000,1)</f>
        <v>0</v>
      </c>
      <c r="H43" s="113">
        <f t="shared" si="0"/>
        <v>0</v>
      </c>
    </row>
    <row r="44" spans="1:8" ht="14.25">
      <c r="A44" s="111" t="s">
        <v>570</v>
      </c>
      <c r="B44" s="112">
        <f>ROUND(HLOOKUP($B$3,bs!$C$1:$AA$110,MATCH("*"&amp;A44&amp;"*",bs!$B$1:$B$110,),FALSE),0)/IF(LEN($G$6)&gt;4,10000,1)</f>
        <v>59.822699999999998</v>
      </c>
      <c r="C44" s="112">
        <f>ROUND(HLOOKUP($C$3,bs!$C$1:$AA$110,MATCH("*"&amp;A44&amp;"*",bs!$B$1:$B$110,),FALSE),0)/IF(LEN($G$6)&gt;4,10000,1)</f>
        <v>0</v>
      </c>
      <c r="D44" s="112">
        <f>ROUND(HLOOKUP($D$3,bs!$C$1:$AA$110,MATCH("*"&amp;A44&amp;"*",bs!$B$1:$B$110,),FALSE),0)/IF(LEN($G$6)&gt;4,10000,1)</f>
        <v>8353.8822</v>
      </c>
      <c r="E44" s="112">
        <f>ROUND(HLOOKUP($E$3,bs!$C$1:$AA$110,MATCH("*"&amp;A44&amp;"*",bs!$B$1:$B$110,),FALSE),0)/IF(LEN($G$6)&gt;4,10000,1)</f>
        <v>224.1755</v>
      </c>
      <c r="H44" s="113">
        <f t="shared" si="0"/>
        <v>8637.8804</v>
      </c>
    </row>
    <row r="45" spans="1:8" ht="14.25" hidden="1">
      <c r="A45" s="111" t="s">
        <v>571</v>
      </c>
      <c r="B45" s="112">
        <f>ROUND(HLOOKUP($B$3,bs!$C$1:$AA$110,MATCH("*"&amp;A45&amp;"*",bs!$B$1:$B$110,),FALSE),0)/IF(LEN($G$6)&gt;4,10000,1)</f>
        <v>0</v>
      </c>
      <c r="C45" s="112">
        <f>ROUND(HLOOKUP($C$3,bs!$C$1:$AA$110,MATCH("*"&amp;A45&amp;"*",bs!$B$1:$B$110,),FALSE),0)/IF(LEN($G$6)&gt;4,10000,1)</f>
        <v>0</v>
      </c>
      <c r="D45" s="112">
        <f>ROUND(HLOOKUP($D$3,bs!$C$1:$AA$110,MATCH("*"&amp;A45&amp;"*",bs!$B$1:$B$110,),FALSE),0)/IF(LEN($G$6)&gt;4,10000,1)</f>
        <v>0</v>
      </c>
      <c r="E45" s="112">
        <f>ROUND(HLOOKUP($E$3,bs!$C$1:$AA$110,MATCH("*"&amp;A45&amp;"*",bs!$B$1:$B$110,),FALSE),0)/IF(LEN($G$6)&gt;4,10000,1)</f>
        <v>0</v>
      </c>
      <c r="H45" s="113">
        <f t="shared" si="0"/>
        <v>0</v>
      </c>
    </row>
    <row r="46" spans="1:8" ht="14.25" hidden="1">
      <c r="A46" s="111" t="s">
        <v>572</v>
      </c>
      <c r="B46" s="112">
        <f>ROUND(HLOOKUP($B$3,bs!$C$1:$AA$110,MATCH("*"&amp;A46&amp;"*",bs!$B$1:$B$110,),FALSE),0)/IF(LEN($G$6)&gt;4,10000,1)</f>
        <v>0</v>
      </c>
      <c r="C46" s="112">
        <f>ROUND(HLOOKUP($C$3,bs!$C$1:$AA$110,MATCH("*"&amp;A46&amp;"*",bs!$B$1:$B$110,),FALSE),0)/IF(LEN($G$6)&gt;4,10000,1)</f>
        <v>0</v>
      </c>
      <c r="D46" s="112">
        <f>ROUND(HLOOKUP($D$3,bs!$C$1:$AA$110,MATCH("*"&amp;A46&amp;"*",bs!$B$1:$B$110,),FALSE),0)/IF(LEN($G$6)&gt;4,10000,1)</f>
        <v>0</v>
      </c>
      <c r="E46" s="112">
        <f>ROUND(HLOOKUP($E$3,bs!$C$1:$AA$110,MATCH("*"&amp;A46&amp;"*",bs!$B$1:$B$110,),FALSE),0)/IF(LEN($G$6)&gt;4,10000,1)</f>
        <v>0</v>
      </c>
      <c r="H46" s="113">
        <f t="shared" si="0"/>
        <v>0</v>
      </c>
    </row>
    <row r="47" spans="1:8" ht="14.25" hidden="1">
      <c r="A47" s="111" t="s">
        <v>573</v>
      </c>
      <c r="B47" s="112">
        <f>ROUND(HLOOKUP($B$3,bs!$C$1:$AA$110,MATCH("*"&amp;A47&amp;"*",bs!$B$1:$B$110,),FALSE),0)/IF(LEN($G$6)&gt;4,10000,1)</f>
        <v>0</v>
      </c>
      <c r="C47" s="112">
        <f>ROUND(HLOOKUP($C$3,bs!$C$1:$AA$110,MATCH("*"&amp;A47&amp;"*",bs!$B$1:$B$110,),FALSE),0)/IF(LEN($G$6)&gt;4,10000,1)</f>
        <v>0</v>
      </c>
      <c r="D47" s="112">
        <f>ROUND(HLOOKUP($D$3,bs!$C$1:$AA$110,MATCH("*"&amp;A47&amp;"*",bs!$B$1:$B$110,),FALSE),0)/IF(LEN($G$6)&gt;4,10000,1)</f>
        <v>0</v>
      </c>
      <c r="E47" s="112">
        <f>ROUND(HLOOKUP($E$3,bs!$C$1:$AA$110,MATCH("*"&amp;A47&amp;"*",bs!$B$1:$B$110,),FALSE),0)/IF(LEN($G$6)&gt;4,10000,1)</f>
        <v>0</v>
      </c>
      <c r="H47" s="113">
        <f t="shared" si="0"/>
        <v>0</v>
      </c>
    </row>
    <row r="48" spans="1:8" ht="14.25">
      <c r="A48" s="111" t="s">
        <v>574</v>
      </c>
      <c r="B48" s="112">
        <f>ROUND(HLOOKUP($B$3,bs!$C$1:$AA$110,MATCH("*"&amp;A48&amp;"*",bs!$B$1:$B$110,),FALSE),0)/IF(LEN($G$6)&gt;4,10000,1)</f>
        <v>3252.7388000000001</v>
      </c>
      <c r="C48" s="112">
        <f>ROUND(HLOOKUP($C$3,bs!$C$1:$AA$110,MATCH("*"&amp;A48&amp;"*",bs!$B$1:$B$110,),FALSE),0)/IF(LEN($G$6)&gt;4,10000,1)</f>
        <v>3281.3651</v>
      </c>
      <c r="D48" s="112">
        <f>ROUND(HLOOKUP($D$3,bs!$C$1:$AA$110,MATCH("*"&amp;A48&amp;"*",bs!$B$1:$B$110,),FALSE),0)/IF(LEN($G$6)&gt;4,10000,1)</f>
        <v>3034.0551</v>
      </c>
      <c r="E48" s="112">
        <f>ROUND(HLOOKUP($E$3,bs!$C$1:$AA$110,MATCH("*"&amp;A48&amp;"*",bs!$B$1:$B$110,),FALSE),0)/IF(LEN($G$6)&gt;4,10000,1)</f>
        <v>3096.1858999999999</v>
      </c>
      <c r="H48" s="113">
        <f t="shared" si="0"/>
        <v>12664.3449</v>
      </c>
    </row>
    <row r="49" spans="1:8" ht="14.25" hidden="1">
      <c r="A49" s="111" t="s">
        <v>575</v>
      </c>
      <c r="B49" s="112">
        <f>ROUND(HLOOKUP($B$3,bs!$C$1:$AA$110,MATCH("*"&amp;A49&amp;"*",bs!$B$1:$B$110,),FALSE),0)/IF(LEN($G$6)&gt;4,10000,1)</f>
        <v>0</v>
      </c>
      <c r="C49" s="112">
        <f>ROUND(HLOOKUP($C$3,bs!$C$1:$AA$110,MATCH("*"&amp;A49&amp;"*",bs!$B$1:$B$110,),FALSE),0)/IF(LEN($G$6)&gt;4,10000,1)</f>
        <v>0</v>
      </c>
      <c r="D49" s="112">
        <f>ROUND(HLOOKUP($D$3,bs!$C$1:$AA$110,MATCH("*"&amp;A49&amp;"*",bs!$B$1:$B$110,),FALSE),0)/IF(LEN($G$6)&gt;4,10000,1)</f>
        <v>0</v>
      </c>
      <c r="E49" s="112">
        <f>ROUND(HLOOKUP($E$3,bs!$C$1:$AA$110,MATCH("*"&amp;A49&amp;"*",bs!$B$1:$B$110,),FALSE),0)/IF(LEN($G$6)&gt;4,10000,1)</f>
        <v>0</v>
      </c>
      <c r="H49" s="113">
        <f t="shared" si="0"/>
        <v>0</v>
      </c>
    </row>
    <row r="50" spans="1:8" ht="14.25" hidden="1">
      <c r="A50" s="111" t="s">
        <v>576</v>
      </c>
      <c r="B50" s="112">
        <f>ROUND(HLOOKUP($B$3,bs!$C$1:$AA$110,MATCH("*"&amp;A50&amp;"*",bs!$B$1:$B$110,),FALSE),0)/IF(LEN($G$6)&gt;4,10000,1)</f>
        <v>0</v>
      </c>
      <c r="C50" s="112">
        <f>ROUND(HLOOKUP($C$3,bs!$C$1:$AA$110,MATCH("*"&amp;A50&amp;"*",bs!$B$1:$B$110,),FALSE),0)/IF(LEN($G$6)&gt;4,10000,1)</f>
        <v>0</v>
      </c>
      <c r="D50" s="112">
        <f>ROUND(HLOOKUP($D$3,bs!$C$1:$AA$110,MATCH("*"&amp;A50&amp;"*",bs!$B$1:$B$110,),FALSE),0)/IF(LEN($G$6)&gt;4,10000,1)</f>
        <v>0</v>
      </c>
      <c r="E50" s="112">
        <f>ROUND(HLOOKUP($E$3,bs!$C$1:$AA$110,MATCH("*"&amp;A50&amp;"*",bs!$B$1:$B$110,),FALSE),0)/IF(LEN($G$6)&gt;4,10000,1)</f>
        <v>0</v>
      </c>
      <c r="H50" s="113">
        <f t="shared" si="0"/>
        <v>0</v>
      </c>
    </row>
    <row r="51" spans="1:8" ht="14.25">
      <c r="A51" s="111" t="s">
        <v>577</v>
      </c>
      <c r="B51" s="112">
        <f>ROUND(HLOOKUP($B$3,bs!$C$1:$AA$110,MATCH("*"&amp;A51&amp;"*",bs!$B$1:$B$110,),FALSE),0)/IF(LEN($G$6)&gt;4,10000,1)</f>
        <v>234.8852</v>
      </c>
      <c r="C51" s="112">
        <f>ROUND(HLOOKUP($C$3,bs!$C$1:$AA$110,MATCH("*"&amp;A51&amp;"*",bs!$B$1:$B$110,),FALSE),0)/IF(LEN($G$6)&gt;4,10000,1)</f>
        <v>249.5299</v>
      </c>
      <c r="D51" s="112">
        <f>ROUND(HLOOKUP($D$3,bs!$C$1:$AA$110,MATCH("*"&amp;A51&amp;"*",bs!$B$1:$B$110,),FALSE),0)/IF(LEN($G$6)&gt;4,10000,1)</f>
        <v>2.3235000000000001</v>
      </c>
      <c r="E51" s="112">
        <f>ROUND(HLOOKUP($E$3,bs!$C$1:$AA$110,MATCH("*"&amp;A51&amp;"*",bs!$B$1:$B$110,),FALSE),0)/IF(LEN($G$6)&gt;4,10000,1)</f>
        <v>0</v>
      </c>
      <c r="H51" s="113">
        <f t="shared" si="0"/>
        <v>486.73860000000002</v>
      </c>
    </row>
    <row r="52" spans="1:8" ht="14.25" hidden="1">
      <c r="A52" s="111" t="s">
        <v>578</v>
      </c>
      <c r="B52" s="112">
        <f>ROUND(HLOOKUP($B$3,bs!$C$1:$AA$110,MATCH("*"&amp;A52&amp;"*",bs!$B$1:$B$110,),FALSE),0)/IF(LEN($G$6)&gt;4,10000,1)</f>
        <v>0</v>
      </c>
      <c r="C52" s="112">
        <f>ROUND(HLOOKUP($C$3,bs!$C$1:$AA$110,MATCH("*"&amp;A52&amp;"*",bs!$B$1:$B$110,),FALSE),0)/IF(LEN($G$6)&gt;4,10000,1)</f>
        <v>0</v>
      </c>
      <c r="D52" s="112">
        <f>ROUND(HLOOKUP($D$3,bs!$C$1:$AA$110,MATCH("*"&amp;A52&amp;"*",bs!$B$1:$B$110,),FALSE),0)/IF(LEN($G$6)&gt;4,10000,1)</f>
        <v>0</v>
      </c>
      <c r="E52" s="112">
        <f>ROUND(HLOOKUP($E$3,bs!$C$1:$AA$110,MATCH("*"&amp;A52&amp;"*",bs!$B$1:$B$110,),FALSE),0)/IF(LEN($G$6)&gt;4,10000,1)</f>
        <v>0</v>
      </c>
      <c r="H52" s="113">
        <f t="shared" si="0"/>
        <v>0</v>
      </c>
    </row>
    <row r="53" spans="1:8" ht="14.25" hidden="1">
      <c r="A53" s="111" t="s">
        <v>579</v>
      </c>
      <c r="B53" s="112">
        <f>ROUND(HLOOKUP($B$3,bs!$C$1:$AA$110,MATCH("*"&amp;A53&amp;"*",bs!$B$1:$B$110,),FALSE),0)/IF(LEN($G$6)&gt;4,10000,1)</f>
        <v>0</v>
      </c>
      <c r="C53" s="112">
        <f>ROUND(HLOOKUP($C$3,bs!$C$1:$AA$110,MATCH("*"&amp;A53&amp;"*",bs!$B$1:$B$110,),FALSE),0)/IF(LEN($G$6)&gt;4,10000,1)</f>
        <v>0</v>
      </c>
      <c r="D53" s="112">
        <f>ROUND(HLOOKUP($D$3,bs!$C$1:$AA$110,MATCH("*"&amp;A53&amp;"*",bs!$B$1:$B$110,),FALSE),0)/IF(LEN($G$6)&gt;4,10000,1)</f>
        <v>0</v>
      </c>
      <c r="E53" s="112">
        <f>ROUND(HLOOKUP($E$3,bs!$C$1:$AA$110,MATCH("*"&amp;A53&amp;"*",bs!$B$1:$B$110,),FALSE),0)/IF(LEN($G$6)&gt;4,10000,1)</f>
        <v>0</v>
      </c>
      <c r="H53" s="113">
        <f t="shared" si="0"/>
        <v>0</v>
      </c>
    </row>
    <row r="54" spans="1:8" ht="14.25">
      <c r="A54" s="114" t="s">
        <v>580</v>
      </c>
      <c r="B54" s="112">
        <f>ROUND(HLOOKUP($B$3,bs!$C$1:$AA$110,MATCH("*"&amp;A54&amp;"*",bs!$B$1:$B$110,),FALSE),0)/IF(LEN($G$6)&gt;4,10000,1)</f>
        <v>53790.409200000002</v>
      </c>
      <c r="C54" s="112">
        <f>ROUND(HLOOKUP($C$3,bs!$C$1:$AA$110,MATCH("*"&amp;A54&amp;"*",bs!$B$1:$B$110,),FALSE),0)/IF(LEN($G$6)&gt;4,10000,1)</f>
        <v>54765.683599999997</v>
      </c>
      <c r="D54" s="112">
        <f>ROUND(HLOOKUP($D$3,bs!$C$1:$AA$110,MATCH("*"&amp;A54&amp;"*",bs!$B$1:$B$110,),FALSE),0)/IF(LEN($G$6)&gt;4,10000,1)</f>
        <v>11393.6515</v>
      </c>
      <c r="E54" s="112">
        <f>ROUND(HLOOKUP($E$3,bs!$C$1:$AA$110,MATCH("*"&amp;A54&amp;"*",bs!$B$1:$B$110,),FALSE),0)/IF(LEN($G$6)&gt;4,10000,1)</f>
        <v>3321.9654</v>
      </c>
      <c r="H54" s="113">
        <f t="shared" si="0"/>
        <v>123271.70969999999</v>
      </c>
    </row>
    <row r="55" spans="1:8" ht="14.25">
      <c r="A55" s="114" t="s">
        <v>63</v>
      </c>
      <c r="B55" s="112">
        <f>ROUND(HLOOKUP($B$3,bs!$C$1:$AA$110,MATCH("*"&amp;A55&amp;"*",bs!$B$1:$B$110,),FALSE),0)/IF(LEN($G$6)&gt;4,10000,1)</f>
        <v>94146.585800000001</v>
      </c>
      <c r="C55" s="112">
        <f>ROUND(HLOOKUP($C$3,bs!$C$1:$AA$110,MATCH("*"&amp;A55&amp;"*",bs!$B$1:$B$110,),FALSE),0)/IF(LEN($G$6)&gt;4,10000,1)</f>
        <v>60852.044900000001</v>
      </c>
      <c r="D55" s="112">
        <f>ROUND(HLOOKUP($D$3,bs!$C$1:$AA$110,MATCH("*"&amp;A55&amp;"*",bs!$B$1:$B$110,),FALSE),0)/IF(LEN($G$6)&gt;4,10000,1)</f>
        <v>46793.211300000003</v>
      </c>
      <c r="E55" s="112">
        <f>ROUND(HLOOKUP($E$3,bs!$C$1:$AA$110,MATCH("*"&amp;A55&amp;"*",bs!$B$1:$B$110,),FALSE),0)/IF(LEN($G$6)&gt;4,10000,1)</f>
        <v>17508.716899999999</v>
      </c>
      <c r="H55" s="113">
        <f t="shared" si="0"/>
        <v>219300.5589</v>
      </c>
    </row>
    <row r="56" spans="1:8" ht="14.25" hidden="1">
      <c r="A56" s="111" t="s">
        <v>581</v>
      </c>
      <c r="B56" s="112">
        <f>ROUND(HLOOKUP($B$3,bs!$C$1:$AA$110,MATCH("*"&amp;A56&amp;"*",bs!$B$1:$B$110,),FALSE),0)/IF(LEN($G$6)&gt;4,10000,1)</f>
        <v>0</v>
      </c>
      <c r="C56" s="112">
        <f>ROUND(HLOOKUP($C$3,bs!$C$1:$AA$110,MATCH("*"&amp;A56&amp;"*",bs!$B$1:$B$110,),FALSE),0)/IF(LEN($G$6)&gt;4,10000,1)</f>
        <v>0</v>
      </c>
      <c r="D56" s="112">
        <f>ROUND(HLOOKUP($D$3,bs!$C$1:$AA$110,MATCH("*"&amp;A56&amp;"*",bs!$B$1:$B$110,),FALSE),0)/IF(LEN($G$6)&gt;4,10000,1)</f>
        <v>0</v>
      </c>
      <c r="E56" s="112">
        <f>ROUND(HLOOKUP($E$3,bs!$C$1:$AA$110,MATCH("*"&amp;A56&amp;"*",bs!$B$1:$B$110,),FALSE),0)/IF(LEN($G$6)&gt;4,10000,1)</f>
        <v>0</v>
      </c>
      <c r="H56" s="113">
        <f t="shared" si="0"/>
        <v>0</v>
      </c>
    </row>
    <row r="57" spans="1:8" ht="14.25" hidden="1">
      <c r="A57" s="111" t="s">
        <v>582</v>
      </c>
      <c r="B57" s="112">
        <f>ROUND(HLOOKUP($B$3,bs!$C$1:$AA$110,MATCH("*"&amp;A57&amp;"*",bs!$B$1:$B$110,),FALSE),0)/IF(LEN($G$6)&gt;4,10000,1)</f>
        <v>0</v>
      </c>
      <c r="C57" s="112">
        <f>ROUND(HLOOKUP($C$3,bs!$C$1:$AA$110,MATCH("*"&amp;A57&amp;"*",bs!$B$1:$B$110,),FALSE),0)/IF(LEN($G$6)&gt;4,10000,1)</f>
        <v>0</v>
      </c>
      <c r="D57" s="112">
        <f>ROUND(HLOOKUP($D$3,bs!$C$1:$AA$110,MATCH("*"&amp;A57&amp;"*",bs!$B$1:$B$110,),FALSE),0)/IF(LEN($G$6)&gt;4,10000,1)</f>
        <v>0</v>
      </c>
      <c r="E57" s="112">
        <f>ROUND(HLOOKUP($E$3,bs!$C$1:$AA$110,MATCH("*"&amp;A57&amp;"*",bs!$B$1:$B$110,),FALSE),0)/IF(LEN($G$6)&gt;4,10000,1)</f>
        <v>0</v>
      </c>
      <c r="H57" s="113">
        <f t="shared" si="0"/>
        <v>0</v>
      </c>
    </row>
    <row r="58" spans="1:8" ht="14.25" hidden="1">
      <c r="A58" s="111" t="s">
        <v>583</v>
      </c>
      <c r="B58" s="112">
        <f>ROUND(HLOOKUP($B$3,bs!$C$1:$AA$110,MATCH("*"&amp;A58&amp;"*",bs!$B$1:$B$110,),FALSE),0)/IF(LEN($G$6)&gt;4,10000,1)</f>
        <v>0</v>
      </c>
      <c r="C58" s="112">
        <f>ROUND(HLOOKUP($C$3,bs!$C$1:$AA$110,MATCH("*"&amp;A58&amp;"*",bs!$B$1:$B$110,),FALSE),0)/IF(LEN($G$6)&gt;4,10000,1)</f>
        <v>0</v>
      </c>
      <c r="D58" s="112">
        <f>ROUND(HLOOKUP($D$3,bs!$C$1:$AA$110,MATCH("*"&amp;A58&amp;"*",bs!$B$1:$B$110,),FALSE),0)/IF(LEN($G$6)&gt;4,10000,1)</f>
        <v>0</v>
      </c>
      <c r="E58" s="112">
        <f>ROUND(HLOOKUP($E$3,bs!$C$1:$AA$110,MATCH("*"&amp;A58&amp;"*",bs!$B$1:$B$110,),FALSE),0)/IF(LEN($G$6)&gt;4,10000,1)</f>
        <v>0</v>
      </c>
      <c r="H58" s="113">
        <f t="shared" si="0"/>
        <v>0</v>
      </c>
    </row>
    <row r="59" spans="1:8" ht="14.25" hidden="1">
      <c r="A59" s="111" t="s">
        <v>584</v>
      </c>
      <c r="B59" s="112">
        <f>ROUND(HLOOKUP($B$3,bs!$C$1:$AA$110,MATCH("*"&amp;A59&amp;"*",bs!$B$1:$B$110,),FALSE),0)/IF(LEN($G$6)&gt;4,10000,1)</f>
        <v>0</v>
      </c>
      <c r="C59" s="112">
        <f>ROUND(HLOOKUP($C$3,bs!$C$1:$AA$110,MATCH("*"&amp;A59&amp;"*",bs!$B$1:$B$110,),FALSE),0)/IF(LEN($G$6)&gt;4,10000,1)</f>
        <v>0</v>
      </c>
      <c r="D59" s="112">
        <f>ROUND(HLOOKUP($D$3,bs!$C$1:$AA$110,MATCH("*"&amp;A59&amp;"*",bs!$B$1:$B$110,),FALSE),0)/IF(LEN($G$6)&gt;4,10000,1)</f>
        <v>0</v>
      </c>
      <c r="E59" s="112">
        <f>ROUND(HLOOKUP($E$3,bs!$C$1:$AA$110,MATCH("*"&amp;A59&amp;"*",bs!$B$1:$B$110,),FALSE),0)/IF(LEN($G$6)&gt;4,10000,1)</f>
        <v>0</v>
      </c>
      <c r="H59" s="113">
        <f t="shared" si="0"/>
        <v>0</v>
      </c>
    </row>
    <row r="60" spans="1:8" ht="14.25" hidden="1">
      <c r="A60" s="111" t="s">
        <v>585</v>
      </c>
      <c r="B60" s="112">
        <f>ROUND(HLOOKUP($B$3,bs!$C$1:$AA$110,MATCH("*"&amp;A60&amp;"*",bs!$B$1:$B$110,),FALSE),0)/IF(LEN($G$6)&gt;4,10000,1)</f>
        <v>0</v>
      </c>
      <c r="C60" s="112">
        <f>ROUND(HLOOKUP($C$3,bs!$C$1:$AA$110,MATCH("*"&amp;A60&amp;"*",bs!$B$1:$B$110,),FALSE),0)/IF(LEN($G$6)&gt;4,10000,1)</f>
        <v>0</v>
      </c>
      <c r="D60" s="112">
        <f>ROUND(HLOOKUP($D$3,bs!$C$1:$AA$110,MATCH("*"&amp;A60&amp;"*",bs!$B$1:$B$110,),FALSE),0)/IF(LEN($G$6)&gt;4,10000,1)</f>
        <v>0</v>
      </c>
      <c r="E60" s="112">
        <f>ROUND(HLOOKUP($E$3,bs!$C$1:$AA$110,MATCH("*"&amp;A60&amp;"*",bs!$B$1:$B$110,),FALSE),0)/IF(LEN($G$6)&gt;4,10000,1)</f>
        <v>0</v>
      </c>
      <c r="H60" s="113">
        <f t="shared" si="0"/>
        <v>0</v>
      </c>
    </row>
    <row r="61" spans="1:8" ht="14.25" hidden="1">
      <c r="A61" s="111" t="s">
        <v>586</v>
      </c>
      <c r="B61" s="112">
        <f>ROUND(HLOOKUP($B$3,bs!$C$1:$AA$110,MATCH("*"&amp;A61&amp;"*",bs!$B$1:$B$110,),FALSE),0)/IF(LEN($G$6)&gt;4,10000,1)</f>
        <v>0</v>
      </c>
      <c r="C61" s="112">
        <f>ROUND(HLOOKUP($C$3,bs!$C$1:$AA$110,MATCH("*"&amp;A61&amp;"*",bs!$B$1:$B$110,),FALSE),0)/IF(LEN($G$6)&gt;4,10000,1)</f>
        <v>0</v>
      </c>
      <c r="D61" s="112">
        <f>ROUND(HLOOKUP($D$3,bs!$C$1:$AA$110,MATCH("*"&amp;A61&amp;"*",bs!$B$1:$B$110,),FALSE),0)/IF(LEN($G$6)&gt;4,10000,1)</f>
        <v>0</v>
      </c>
      <c r="E61" s="112">
        <f>ROUND(HLOOKUP($E$3,bs!$C$1:$AA$110,MATCH("*"&amp;A61&amp;"*",bs!$B$1:$B$110,),FALSE),0)/IF(LEN($G$6)&gt;4,10000,1)</f>
        <v>0</v>
      </c>
      <c r="H61" s="113">
        <f t="shared" si="0"/>
        <v>0</v>
      </c>
    </row>
    <row r="62" spans="1:8" ht="14.25">
      <c r="A62" s="111" t="s">
        <v>587</v>
      </c>
      <c r="B62" s="112">
        <f>ROUND(HLOOKUP($B$3,bs!$C$1:$AA$110,MATCH("*"&amp;A62&amp;"*",bs!$B$1:$B$110,),FALSE),0)/IF(LEN($G$6)&gt;4,10000,1)</f>
        <v>39319.546600000001</v>
      </c>
      <c r="C62" s="112">
        <f>ROUND(HLOOKUP($C$3,bs!$C$1:$AA$110,MATCH("*"&amp;A62&amp;"*",bs!$B$1:$B$110,),FALSE),0)/IF(LEN($G$6)&gt;4,10000,1)</f>
        <v>4344.8463000000002</v>
      </c>
      <c r="D62" s="112">
        <f>ROUND(HLOOKUP($D$3,bs!$C$1:$AA$110,MATCH("*"&amp;A62&amp;"*",bs!$B$1:$B$110,),FALSE),0)/IF(LEN($G$6)&gt;4,10000,1)</f>
        <v>0</v>
      </c>
      <c r="E62" s="112">
        <f>ROUND(HLOOKUP($E$3,bs!$C$1:$AA$110,MATCH("*"&amp;A62&amp;"*",bs!$B$1:$B$110,),FALSE),0)/IF(LEN($G$6)&gt;4,10000,1)</f>
        <v>0</v>
      </c>
      <c r="H62" s="113">
        <f t="shared" si="0"/>
        <v>43664.392899999999</v>
      </c>
    </row>
    <row r="63" spans="1:8" ht="14.25">
      <c r="A63" s="111" t="s">
        <v>588</v>
      </c>
      <c r="B63" s="112">
        <f>ROUND(HLOOKUP($B$3,bs!$C$1:$AA$110,MATCH("*"&amp;A63&amp;"*",bs!$B$1:$B$110,),FALSE),0)/IF(LEN($G$6)&gt;4,10000,1)</f>
        <v>5.6288999999999998</v>
      </c>
      <c r="C63" s="112">
        <f>ROUND(HLOOKUP($C$3,bs!$C$1:$AA$110,MATCH("*"&amp;A63&amp;"*",bs!$B$1:$B$110,),FALSE),0)/IF(LEN($G$6)&gt;4,10000,1)</f>
        <v>0</v>
      </c>
      <c r="D63" s="112">
        <f>ROUND(HLOOKUP($D$3,bs!$C$1:$AA$110,MATCH("*"&amp;A63&amp;"*",bs!$B$1:$B$110,),FALSE),0)/IF(LEN($G$6)&gt;4,10000,1)</f>
        <v>0</v>
      </c>
      <c r="E63" s="112">
        <f>ROUND(HLOOKUP($E$3,bs!$C$1:$AA$110,MATCH("*"&amp;A63&amp;"*",bs!$B$1:$B$110,),FALSE),0)/IF(LEN($G$6)&gt;4,10000,1)</f>
        <v>0</v>
      </c>
      <c r="H63" s="113">
        <f t="shared" si="0"/>
        <v>5.6288999999999998</v>
      </c>
    </row>
    <row r="64" spans="1:8" ht="14.25" hidden="1">
      <c r="A64" s="111" t="s">
        <v>589</v>
      </c>
      <c r="B64" s="112">
        <f>ROUND(HLOOKUP($B$3,bs!$C$1:$AA$110,MATCH("*"&amp;A64&amp;"*",bs!$B$1:$B$110,),FALSE),0)/IF(LEN($G$6)&gt;4,10000,1)</f>
        <v>0</v>
      </c>
      <c r="C64" s="112">
        <f>ROUND(HLOOKUP($C$3,bs!$C$1:$AA$110,MATCH("*"&amp;A64&amp;"*",bs!$B$1:$B$110,),FALSE),0)/IF(LEN($G$6)&gt;4,10000,1)</f>
        <v>0</v>
      </c>
      <c r="D64" s="112">
        <f>ROUND(HLOOKUP($D$3,bs!$C$1:$AA$110,MATCH("*"&amp;A64&amp;"*",bs!$B$1:$B$110,),FALSE),0)/IF(LEN($G$6)&gt;4,10000,1)</f>
        <v>0</v>
      </c>
      <c r="E64" s="112">
        <f>ROUND(HLOOKUP($E$3,bs!$C$1:$AA$110,MATCH("*"&amp;A64&amp;"*",bs!$B$1:$B$110,),FALSE),0)/IF(LEN($G$6)&gt;4,10000,1)</f>
        <v>0</v>
      </c>
      <c r="H64" s="113">
        <f t="shared" si="0"/>
        <v>0</v>
      </c>
    </row>
    <row r="65" spans="1:8" ht="14.25" hidden="1">
      <c r="A65" s="111" t="s">
        <v>590</v>
      </c>
      <c r="B65" s="112">
        <f>ROUND(HLOOKUP($B$3,bs!$C$1:$AA$110,MATCH("*"&amp;A65&amp;"*",bs!$B$1:$B$110,),FALSE),0)/IF(LEN($G$6)&gt;4,10000,1)</f>
        <v>0</v>
      </c>
      <c r="C65" s="112">
        <f>ROUND(HLOOKUP($C$3,bs!$C$1:$AA$110,MATCH("*"&amp;A65&amp;"*",bs!$B$1:$B$110,),FALSE),0)/IF(LEN($G$6)&gt;4,10000,1)</f>
        <v>0</v>
      </c>
      <c r="D65" s="112">
        <f>ROUND(HLOOKUP($D$3,bs!$C$1:$AA$110,MATCH("*"&amp;A65&amp;"*",bs!$B$1:$B$110,),FALSE),0)/IF(LEN($G$6)&gt;4,10000,1)</f>
        <v>0</v>
      </c>
      <c r="E65" s="112">
        <f>ROUND(HLOOKUP($E$3,bs!$C$1:$AA$110,MATCH("*"&amp;A65&amp;"*",bs!$B$1:$B$110,),FALSE),0)/IF(LEN($G$6)&gt;4,10000,1)</f>
        <v>0</v>
      </c>
      <c r="H65" s="113">
        <f t="shared" si="0"/>
        <v>0</v>
      </c>
    </row>
    <row r="66" spans="1:8" ht="14.25" hidden="1">
      <c r="A66" s="111" t="s">
        <v>591</v>
      </c>
      <c r="B66" s="112">
        <f>ROUND(HLOOKUP($B$3,bs!$C$1:$AA$110,MATCH("*"&amp;A66&amp;"*",bs!$B$1:$B$110,),FALSE),0)/IF(LEN($G$6)&gt;4,10000,1)</f>
        <v>0</v>
      </c>
      <c r="C66" s="112">
        <f>ROUND(HLOOKUP($C$3,bs!$C$1:$AA$110,MATCH("*"&amp;A66&amp;"*",bs!$B$1:$B$110,),FALSE),0)/IF(LEN($G$6)&gt;4,10000,1)</f>
        <v>0</v>
      </c>
      <c r="D66" s="112">
        <f>ROUND(HLOOKUP($D$3,bs!$C$1:$AA$110,MATCH("*"&amp;A66&amp;"*",bs!$B$1:$B$110,),FALSE),0)/IF(LEN($G$6)&gt;4,10000,1)</f>
        <v>0</v>
      </c>
      <c r="E66" s="112">
        <f>ROUND(HLOOKUP($E$3,bs!$C$1:$AA$110,MATCH("*"&amp;A66&amp;"*",bs!$B$1:$B$110,),FALSE),0)/IF(LEN($G$6)&gt;4,10000,1)</f>
        <v>0</v>
      </c>
      <c r="H66" s="113">
        <f t="shared" si="0"/>
        <v>0</v>
      </c>
    </row>
    <row r="67" spans="1:8" ht="14.25" hidden="1">
      <c r="A67" s="111" t="s">
        <v>592</v>
      </c>
      <c r="B67" s="112">
        <f>ROUND(HLOOKUP($B$3,bs!$C$1:$AA$110,MATCH("*"&amp;A67&amp;"*",bs!$B$1:$B$110,),FALSE),0)/IF(LEN($G$6)&gt;4,10000,1)</f>
        <v>0</v>
      </c>
      <c r="C67" s="112">
        <f>ROUND(HLOOKUP($C$3,bs!$C$1:$AA$110,MATCH("*"&amp;A67&amp;"*",bs!$B$1:$B$110,),FALSE),0)/IF(LEN($G$6)&gt;4,10000,1)</f>
        <v>0</v>
      </c>
      <c r="D67" s="112">
        <f>ROUND(HLOOKUP($D$3,bs!$C$1:$AA$110,MATCH("*"&amp;A67&amp;"*",bs!$B$1:$B$110,),FALSE),0)/IF(LEN($G$6)&gt;4,10000,1)</f>
        <v>0</v>
      </c>
      <c r="E67" s="112">
        <f>ROUND(HLOOKUP($E$3,bs!$C$1:$AA$110,MATCH("*"&amp;A67&amp;"*",bs!$B$1:$B$110,),FALSE),0)/IF(LEN($G$6)&gt;4,10000,1)</f>
        <v>0</v>
      </c>
      <c r="H67" s="113">
        <f t="shared" si="0"/>
        <v>0</v>
      </c>
    </row>
    <row r="68" spans="1:8" ht="14.25" hidden="1">
      <c r="A68" s="111" t="s">
        <v>593</v>
      </c>
      <c r="B68" s="112">
        <f>ROUND(HLOOKUP($B$3,bs!$C$1:$AA$110,MATCH("*"&amp;A68&amp;"*",bs!$B$1:$B$110,),FALSE),0)/IF(LEN($G$6)&gt;4,10000,1)</f>
        <v>0</v>
      </c>
      <c r="C68" s="112">
        <f>ROUND(HLOOKUP($C$3,bs!$C$1:$AA$110,MATCH("*"&amp;A68&amp;"*",bs!$B$1:$B$110,),FALSE),0)/IF(LEN($G$6)&gt;4,10000,1)</f>
        <v>0</v>
      </c>
      <c r="D68" s="112">
        <f>ROUND(HLOOKUP($D$3,bs!$C$1:$AA$110,MATCH("*"&amp;A68&amp;"*",bs!$B$1:$B$110,),FALSE),0)/IF(LEN($G$6)&gt;4,10000,1)</f>
        <v>0</v>
      </c>
      <c r="E68" s="112">
        <f>ROUND(HLOOKUP($E$3,bs!$C$1:$AA$110,MATCH("*"&amp;A68&amp;"*",bs!$B$1:$B$110,),FALSE),0)/IF(LEN($G$6)&gt;4,10000,1)</f>
        <v>0</v>
      </c>
      <c r="H68" s="113">
        <f t="shared" si="0"/>
        <v>0</v>
      </c>
    </row>
    <row r="69" spans="1:8" ht="14.25">
      <c r="A69" s="111" t="s">
        <v>594</v>
      </c>
      <c r="B69" s="112">
        <f>ROUND(HLOOKUP($B$3,bs!$C$1:$AA$110,MATCH("*"&amp;A69&amp;"*",bs!$B$1:$B$110,),FALSE),0)/IF(LEN($G$6)&gt;4,10000,1)</f>
        <v>0.1641</v>
      </c>
      <c r="C69" s="112">
        <f>ROUND(HLOOKUP($C$3,bs!$C$1:$AA$110,MATCH("*"&amp;A69&amp;"*",bs!$B$1:$B$110,),FALSE),0)/IF(LEN($G$6)&gt;4,10000,1)</f>
        <v>0.1512</v>
      </c>
      <c r="D69" s="112">
        <f>ROUND(HLOOKUP($D$3,bs!$C$1:$AA$110,MATCH("*"&amp;A69&amp;"*",bs!$B$1:$B$110,),FALSE),0)/IF(LEN($G$6)&gt;4,10000,1)</f>
        <v>0</v>
      </c>
      <c r="E69" s="112">
        <f>ROUND(HLOOKUP($E$3,bs!$C$1:$AA$110,MATCH("*"&amp;A69&amp;"*",bs!$B$1:$B$110,),FALSE),0)/IF(LEN($G$6)&gt;4,10000,1)</f>
        <v>0</v>
      </c>
      <c r="H69" s="113">
        <f t="shared" si="0"/>
        <v>0.31530000000000002</v>
      </c>
    </row>
    <row r="70" spans="1:8" ht="14.25">
      <c r="A70" s="111" t="s">
        <v>595</v>
      </c>
      <c r="B70" s="112">
        <f>ROUND(HLOOKUP($B$3,bs!$C$1:$AA$110,MATCH("*"&amp;A70&amp;"*",bs!$B$1:$B$110,),FALSE),0)/IF(LEN($G$6)&gt;4,10000,1)</f>
        <v>-1021.6765</v>
      </c>
      <c r="C70" s="112">
        <f>ROUND(HLOOKUP($C$3,bs!$C$1:$AA$110,MATCH("*"&amp;A70&amp;"*",bs!$B$1:$B$110,),FALSE),0)/IF(LEN($G$6)&gt;4,10000,1)</f>
        <v>33.869500000000002</v>
      </c>
      <c r="D70" s="112">
        <f>ROUND(HLOOKUP($D$3,bs!$C$1:$AA$110,MATCH("*"&amp;A70&amp;"*",bs!$B$1:$B$110,),FALSE),0)/IF(LEN($G$6)&gt;4,10000,1)</f>
        <v>38.653199999999998</v>
      </c>
      <c r="E70" s="112">
        <f>ROUND(HLOOKUP($E$3,bs!$C$1:$AA$110,MATCH("*"&amp;A70&amp;"*",bs!$B$1:$B$110,),FALSE),0)/IF(LEN($G$6)&gt;4,10000,1)</f>
        <v>0.95299999999999996</v>
      </c>
      <c r="H70" s="113">
        <f t="shared" si="0"/>
        <v>-948.20080000000007</v>
      </c>
    </row>
    <row r="71" spans="1:8" ht="14.25">
      <c r="A71" s="111" t="s">
        <v>596</v>
      </c>
      <c r="B71" s="112">
        <f>ROUND(HLOOKUP($B$3,bs!$C$1:$AA$110,MATCH("*"&amp;A71&amp;"*",bs!$B$1:$B$110,),FALSE),0)/IF(LEN($G$6)&gt;4,10000,1)</f>
        <v>20574.409800000001</v>
      </c>
      <c r="C71" s="112">
        <f>ROUND(HLOOKUP($C$3,bs!$C$1:$AA$110,MATCH("*"&amp;A71&amp;"*",bs!$B$1:$B$110,),FALSE),0)/IF(LEN($G$6)&gt;4,10000,1)</f>
        <v>21198.2575</v>
      </c>
      <c r="D71" s="112">
        <f>ROUND(HLOOKUP($D$3,bs!$C$1:$AA$110,MATCH("*"&amp;A71&amp;"*",bs!$B$1:$B$110,),FALSE),0)/IF(LEN($G$6)&gt;4,10000,1)</f>
        <v>105.0851</v>
      </c>
      <c r="E71" s="112">
        <f>ROUND(HLOOKUP($E$3,bs!$C$1:$AA$110,MATCH("*"&amp;A71&amp;"*",bs!$B$1:$B$110,),FALSE),0)/IF(LEN($G$6)&gt;4,10000,1)</f>
        <v>7509.2244000000001</v>
      </c>
      <c r="H71" s="113">
        <f t="shared" ref="H71:H134" si="1">B71+C71+D71+E71</f>
        <v>49386.976799999997</v>
      </c>
    </row>
    <row r="72" spans="1:8" ht="14.25" hidden="1">
      <c r="A72" s="111" t="s">
        <v>597</v>
      </c>
      <c r="B72" s="112">
        <f>ROUND(HLOOKUP($B$3,bs!$C$1:$AA$110,MATCH("*"&amp;A72&amp;"*",bs!$B$1:$B$110,),FALSE),0)/IF(LEN($G$6)&gt;4,10000,1)</f>
        <v>0</v>
      </c>
      <c r="C72" s="112">
        <f>ROUND(HLOOKUP($C$3,bs!$C$1:$AA$110,MATCH("*"&amp;A72&amp;"*",bs!$B$1:$B$110,),FALSE),0)/IF(LEN($G$6)&gt;4,10000,1)</f>
        <v>0</v>
      </c>
      <c r="D72" s="112">
        <f>ROUND(HLOOKUP($D$3,bs!$C$1:$AA$110,MATCH("*"&amp;A72&amp;"*",bs!$B$1:$B$110,),FALSE),0)/IF(LEN($G$6)&gt;4,10000,1)</f>
        <v>0</v>
      </c>
      <c r="E72" s="112">
        <f>ROUND(HLOOKUP($E$3,bs!$C$1:$AA$110,MATCH("*"&amp;A72&amp;"*",bs!$B$1:$B$110,),FALSE),0)/IF(LEN($G$6)&gt;4,10000,1)</f>
        <v>0</v>
      </c>
      <c r="H72" s="113">
        <f t="shared" si="1"/>
        <v>0</v>
      </c>
    </row>
    <row r="73" spans="1:8" ht="14.25" hidden="1">
      <c r="A73" s="111" t="s">
        <v>598</v>
      </c>
      <c r="B73" s="112">
        <f>ROUND(HLOOKUP($B$3,bs!$C$1:$AA$110,MATCH("*"&amp;A73&amp;"*",bs!$B$1:$B$110,),FALSE),0)/IF(LEN($G$6)&gt;4,10000,1)</f>
        <v>0</v>
      </c>
      <c r="C73" s="112">
        <f>ROUND(HLOOKUP($C$3,bs!$C$1:$AA$110,MATCH("*"&amp;A73&amp;"*",bs!$B$1:$B$110,),FALSE),0)/IF(LEN($G$6)&gt;4,10000,1)</f>
        <v>0</v>
      </c>
      <c r="D73" s="112">
        <f>ROUND(HLOOKUP($D$3,bs!$C$1:$AA$110,MATCH("*"&amp;A73&amp;"*",bs!$B$1:$B$110,),FALSE),0)/IF(LEN($G$6)&gt;4,10000,1)</f>
        <v>0</v>
      </c>
      <c r="E73" s="112">
        <f>ROUND(HLOOKUP($E$3,bs!$C$1:$AA$110,MATCH("*"&amp;A73&amp;"*",bs!$B$1:$B$110,),FALSE),0)/IF(LEN($G$6)&gt;4,10000,1)</f>
        <v>0</v>
      </c>
      <c r="H73" s="113">
        <f t="shared" si="1"/>
        <v>0</v>
      </c>
    </row>
    <row r="74" spans="1:8" ht="14.25" hidden="1">
      <c r="A74" s="111" t="s">
        <v>599</v>
      </c>
      <c r="B74" s="112">
        <f>ROUND(HLOOKUP($B$3,bs!$C$1:$AA$110,MATCH("*"&amp;A74&amp;"*",bs!$B$1:$B$110,),FALSE),0)/IF(LEN($G$6)&gt;4,10000,1)</f>
        <v>0</v>
      </c>
      <c r="C74" s="112">
        <f>ROUND(HLOOKUP($C$3,bs!$C$1:$AA$110,MATCH("*"&amp;A74&amp;"*",bs!$B$1:$B$110,),FALSE),0)/IF(LEN($G$6)&gt;4,10000,1)</f>
        <v>0</v>
      </c>
      <c r="D74" s="112">
        <f>ROUND(HLOOKUP($D$3,bs!$C$1:$AA$110,MATCH("*"&amp;A74&amp;"*",bs!$B$1:$B$110,),FALSE),0)/IF(LEN($G$6)&gt;4,10000,1)</f>
        <v>0</v>
      </c>
      <c r="E74" s="112">
        <f>ROUND(HLOOKUP($E$3,bs!$C$1:$AA$110,MATCH("*"&amp;A74&amp;"*",bs!$B$1:$B$110,),FALSE),0)/IF(LEN($G$6)&gt;4,10000,1)</f>
        <v>0</v>
      </c>
      <c r="H74" s="113">
        <f t="shared" si="1"/>
        <v>0</v>
      </c>
    </row>
    <row r="75" spans="1:8" ht="14.25" hidden="1">
      <c r="A75" s="111" t="s">
        <v>600</v>
      </c>
      <c r="B75" s="112">
        <f>ROUND(HLOOKUP($B$3,bs!$C$1:$AA$110,MATCH("*"&amp;A75&amp;"*",bs!$B$1:$B$110,),FALSE),0)/IF(LEN($G$6)&gt;4,10000,1)</f>
        <v>0</v>
      </c>
      <c r="C75" s="112">
        <f>ROUND(HLOOKUP($C$3,bs!$C$1:$AA$110,MATCH("*"&amp;A75&amp;"*",bs!$B$1:$B$110,),FALSE),0)/IF(LEN($G$6)&gt;4,10000,1)</f>
        <v>0</v>
      </c>
      <c r="D75" s="112">
        <f>ROUND(HLOOKUP($D$3,bs!$C$1:$AA$110,MATCH("*"&amp;A75&amp;"*",bs!$B$1:$B$110,),FALSE),0)/IF(LEN($G$6)&gt;4,10000,1)</f>
        <v>0</v>
      </c>
      <c r="E75" s="112">
        <f>ROUND(HLOOKUP($E$3,bs!$C$1:$AA$110,MATCH("*"&amp;A75&amp;"*",bs!$B$1:$B$110,),FALSE),0)/IF(LEN($G$6)&gt;4,10000,1)</f>
        <v>0</v>
      </c>
      <c r="H75" s="113">
        <f t="shared" si="1"/>
        <v>0</v>
      </c>
    </row>
    <row r="76" spans="1:8" ht="14.25" hidden="1">
      <c r="A76" s="111" t="s">
        <v>601</v>
      </c>
      <c r="B76" s="112">
        <f>ROUND(HLOOKUP($B$3,bs!$C$1:$AA$110,MATCH("*"&amp;A76&amp;"*",bs!$B$1:$B$110,),FALSE),0)/IF(LEN($G$6)&gt;4,10000,1)</f>
        <v>0</v>
      </c>
      <c r="C76" s="112">
        <f>ROUND(HLOOKUP($C$3,bs!$C$1:$AA$110,MATCH("*"&amp;A76&amp;"*",bs!$B$1:$B$110,),FALSE),0)/IF(LEN($G$6)&gt;4,10000,1)</f>
        <v>0</v>
      </c>
      <c r="D76" s="112">
        <f>ROUND(HLOOKUP($D$3,bs!$C$1:$AA$110,MATCH("*"&amp;A76&amp;"*",bs!$B$1:$B$110,),FALSE),0)/IF(LEN($G$6)&gt;4,10000,1)</f>
        <v>0</v>
      </c>
      <c r="E76" s="112">
        <f>ROUND(HLOOKUP($E$3,bs!$C$1:$AA$110,MATCH("*"&amp;A76&amp;"*",bs!$B$1:$B$110,),FALSE),0)/IF(LEN($G$6)&gt;4,10000,1)</f>
        <v>0</v>
      </c>
      <c r="H76" s="113">
        <f t="shared" si="1"/>
        <v>0</v>
      </c>
    </row>
    <row r="77" spans="1:8" ht="14.25" hidden="1">
      <c r="A77" s="111" t="s">
        <v>602</v>
      </c>
      <c r="B77" s="112">
        <f>ROUND(HLOOKUP($B$3,bs!$C$1:$AA$110,MATCH("*"&amp;A77&amp;"*",bs!$B$1:$B$110,),FALSE),0)/IF(LEN($G$6)&gt;4,10000,1)</f>
        <v>0</v>
      </c>
      <c r="C77" s="112">
        <f>ROUND(HLOOKUP($C$3,bs!$C$1:$AA$110,MATCH("*"&amp;A77&amp;"*",bs!$B$1:$B$110,),FALSE),0)/IF(LEN($G$6)&gt;4,10000,1)</f>
        <v>0</v>
      </c>
      <c r="D77" s="112">
        <f>ROUND(HLOOKUP($D$3,bs!$C$1:$AA$110,MATCH("*"&amp;A77&amp;"*",bs!$B$1:$B$110,),FALSE),0)/IF(LEN($G$6)&gt;4,10000,1)</f>
        <v>0</v>
      </c>
      <c r="E77" s="112">
        <f>ROUND(HLOOKUP($E$3,bs!$C$1:$AA$110,MATCH("*"&amp;A77&amp;"*",bs!$B$1:$B$110,),FALSE),0)/IF(LEN($G$6)&gt;4,10000,1)</f>
        <v>0</v>
      </c>
      <c r="H77" s="113">
        <f t="shared" si="1"/>
        <v>0</v>
      </c>
    </row>
    <row r="78" spans="1:8" ht="14.25" hidden="1">
      <c r="A78" s="111" t="s">
        <v>603</v>
      </c>
      <c r="B78" s="112">
        <f>ROUND(HLOOKUP($B$3,bs!$C$1:$AA$110,MATCH("*"&amp;A78&amp;"*",bs!$B$1:$B$110,),FALSE),0)/IF(LEN($G$6)&gt;4,10000,1)</f>
        <v>0</v>
      </c>
      <c r="C78" s="112">
        <f>ROUND(HLOOKUP($C$3,bs!$C$1:$AA$110,MATCH("*"&amp;A78&amp;"*",bs!$B$1:$B$110,),FALSE),0)/IF(LEN($G$6)&gt;4,10000,1)</f>
        <v>0</v>
      </c>
      <c r="D78" s="112">
        <f>ROUND(HLOOKUP($D$3,bs!$C$1:$AA$110,MATCH("*"&amp;A78&amp;"*",bs!$B$1:$B$110,),FALSE),0)/IF(LEN($G$6)&gt;4,10000,1)</f>
        <v>0</v>
      </c>
      <c r="E78" s="112">
        <f>ROUND(HLOOKUP($E$3,bs!$C$1:$AA$110,MATCH("*"&amp;A78&amp;"*",bs!$B$1:$B$110,),FALSE),0)/IF(LEN($G$6)&gt;4,10000,1)</f>
        <v>0</v>
      </c>
      <c r="H78" s="113">
        <f t="shared" si="1"/>
        <v>0</v>
      </c>
    </row>
    <row r="79" spans="1:8" ht="14.25">
      <c r="A79" s="114" t="s">
        <v>604</v>
      </c>
      <c r="B79" s="112">
        <f>ROUND(HLOOKUP($B$3,bs!$C$1:$AA$110,MATCH("*"&amp;A79&amp;"*",bs!$B$1:$B$110,),FALSE),0)/IF(LEN($G$6)&gt;4,10000,1)</f>
        <v>58878.072899999999</v>
      </c>
      <c r="C79" s="112">
        <f>ROUND(HLOOKUP($C$3,bs!$C$1:$AA$110,MATCH("*"&amp;A79&amp;"*",bs!$B$1:$B$110,),FALSE),0)/IF(LEN($G$6)&gt;4,10000,1)</f>
        <v>25577.124400000001</v>
      </c>
      <c r="D79" s="112">
        <f>ROUND(HLOOKUP($D$3,bs!$C$1:$AA$110,MATCH("*"&amp;A79&amp;"*",bs!$B$1:$B$110,),FALSE),0)/IF(LEN($G$6)&gt;4,10000,1)</f>
        <v>143.73820000000001</v>
      </c>
      <c r="E79" s="112">
        <f>ROUND(HLOOKUP($E$3,bs!$C$1:$AA$110,MATCH("*"&amp;A79&amp;"*",bs!$B$1:$B$110,),FALSE),0)/IF(LEN($G$6)&gt;4,10000,1)</f>
        <v>7510.1774999999998</v>
      </c>
      <c r="H79" s="113">
        <f t="shared" si="1"/>
        <v>92109.113000000012</v>
      </c>
    </row>
    <row r="80" spans="1:8" ht="14.25" hidden="1">
      <c r="A80" s="111" t="s">
        <v>605</v>
      </c>
      <c r="B80" s="112">
        <f>ROUND(HLOOKUP($B$3,bs!$C$1:$AA$110,MATCH("*"&amp;A80&amp;"*",bs!$B$1:$B$110,),FALSE),0)/IF(LEN($G$6)&gt;4,10000,1)</f>
        <v>0</v>
      </c>
      <c r="C80" s="112">
        <f>ROUND(HLOOKUP($C$3,bs!$C$1:$AA$110,MATCH("*"&amp;A80&amp;"*",bs!$B$1:$B$110,),FALSE),0)/IF(LEN($G$6)&gt;4,10000,1)</f>
        <v>0</v>
      </c>
      <c r="D80" s="112">
        <f>ROUND(HLOOKUP($D$3,bs!$C$1:$AA$110,MATCH("*"&amp;A80&amp;"*",bs!$B$1:$B$110,),FALSE),0)/IF(LEN($G$6)&gt;4,10000,1)</f>
        <v>0</v>
      </c>
      <c r="E80" s="112">
        <f>ROUND(HLOOKUP($E$3,bs!$C$1:$AA$110,MATCH("*"&amp;A80&amp;"*",bs!$B$1:$B$110,),FALSE),0)/IF(LEN($G$6)&gt;4,10000,1)</f>
        <v>0</v>
      </c>
      <c r="H80" s="113">
        <f t="shared" si="1"/>
        <v>0</v>
      </c>
    </row>
    <row r="81" spans="1:8" ht="14.25">
      <c r="A81" s="111" t="s">
        <v>606</v>
      </c>
      <c r="B81" s="112">
        <f>ROUND(HLOOKUP($B$3,bs!$C$1:$AA$110,MATCH("*"&amp;A81&amp;"*",bs!$B$1:$B$110,),FALSE),0)/IF(LEN($G$6)&gt;4,10000,1)</f>
        <v>25024.936699999998</v>
      </c>
      <c r="C81" s="112">
        <f>ROUND(HLOOKUP($C$3,bs!$C$1:$AA$110,MATCH("*"&amp;A81&amp;"*",bs!$B$1:$B$110,),FALSE),0)/IF(LEN($G$6)&gt;4,10000,1)</f>
        <v>23395.2065</v>
      </c>
      <c r="D81" s="112">
        <f>ROUND(HLOOKUP($D$3,bs!$C$1:$AA$110,MATCH("*"&amp;A81&amp;"*",bs!$B$1:$B$110,),FALSE),0)/IF(LEN($G$6)&gt;4,10000,1)</f>
        <v>36796.622799999997</v>
      </c>
      <c r="E81" s="112">
        <f>ROUND(HLOOKUP($E$3,bs!$C$1:$AA$110,MATCH("*"&amp;A81&amp;"*",bs!$B$1:$B$110,),FALSE),0)/IF(LEN($G$6)&gt;4,10000,1)</f>
        <v>0</v>
      </c>
      <c r="H81" s="113">
        <f t="shared" si="1"/>
        <v>85216.766000000003</v>
      </c>
    </row>
    <row r="82" spans="1:8" ht="14.25" hidden="1">
      <c r="A82" s="111" t="s">
        <v>607</v>
      </c>
      <c r="B82" s="112">
        <f>ROUND(HLOOKUP($B$3,bs!$C$1:$AA$110,MATCH("*"&amp;A82&amp;"*",bs!$B$1:$B$110,),FALSE),0)/IF(LEN($G$6)&gt;4,10000,1)</f>
        <v>0</v>
      </c>
      <c r="C82" s="112">
        <f>ROUND(HLOOKUP($C$3,bs!$C$1:$AA$110,MATCH("*"&amp;A82&amp;"*",bs!$B$1:$B$110,),FALSE),0)/IF(LEN($G$6)&gt;4,10000,1)</f>
        <v>0</v>
      </c>
      <c r="D82" s="112">
        <f>ROUND(HLOOKUP($D$3,bs!$C$1:$AA$110,MATCH("*"&amp;A82&amp;"*",bs!$B$1:$B$110,),FALSE),0)/IF(LEN($G$6)&gt;4,10000,1)</f>
        <v>0</v>
      </c>
      <c r="E82" s="112">
        <f>ROUND(HLOOKUP($E$3,bs!$C$1:$AA$110,MATCH("*"&amp;A82&amp;"*",bs!$B$1:$B$110,),FALSE),0)/IF(LEN($G$6)&gt;4,10000,1)</f>
        <v>0</v>
      </c>
      <c r="H82" s="113">
        <f t="shared" si="1"/>
        <v>0</v>
      </c>
    </row>
    <row r="83" spans="1:8" ht="14.25" hidden="1">
      <c r="A83" s="111" t="s">
        <v>389</v>
      </c>
      <c r="B83" s="112">
        <f>ROUND(HLOOKUP($B$3,bs!$C$1:$AA$110,MATCH("*"&amp;A83&amp;"*",bs!$B$1:$B$110,),FALSE),0)/IF(LEN($G$6)&gt;4,10000,1)</f>
        <v>0</v>
      </c>
      <c r="C83" s="112">
        <f>ROUND(HLOOKUP($C$3,bs!$C$1:$AA$110,MATCH("*"&amp;A83&amp;"*",bs!$B$1:$B$110,),FALSE),0)/IF(LEN($G$6)&gt;4,10000,1)</f>
        <v>0</v>
      </c>
      <c r="D83" s="112">
        <f>ROUND(HLOOKUP($D$3,bs!$C$1:$AA$110,MATCH("*"&amp;A83&amp;"*",bs!$B$1:$B$110,),FALSE),0)/IF(LEN($G$6)&gt;4,10000,1)</f>
        <v>0</v>
      </c>
      <c r="E83" s="112">
        <f>ROUND(HLOOKUP($E$3,bs!$C$1:$AA$110,MATCH("*"&amp;A83&amp;"*",bs!$B$1:$B$110,),FALSE),0)/IF(LEN($G$6)&gt;4,10000,1)</f>
        <v>0</v>
      </c>
      <c r="H83" s="113">
        <f t="shared" si="1"/>
        <v>0</v>
      </c>
    </row>
    <row r="84" spans="1:8" ht="14.25" hidden="1">
      <c r="A84" s="111" t="s">
        <v>608</v>
      </c>
      <c r="B84" s="112">
        <f>ROUND(HLOOKUP($B$3,bs!$C$1:$AA$110,MATCH("*"&amp;A84&amp;"*",bs!$B$1:$B$110,),FALSE),0)/IF(LEN($G$6)&gt;4,10000,1)</f>
        <v>0</v>
      </c>
      <c r="C84" s="112">
        <f>ROUND(HLOOKUP($C$3,bs!$C$1:$AA$110,MATCH("*"&amp;A84&amp;"*",bs!$B$1:$B$110,),FALSE),0)/IF(LEN($G$6)&gt;4,10000,1)</f>
        <v>0</v>
      </c>
      <c r="D84" s="112">
        <f>ROUND(HLOOKUP($D$3,bs!$C$1:$AA$110,MATCH("*"&amp;A84&amp;"*",bs!$B$1:$B$110,),FALSE),0)/IF(LEN($G$6)&gt;4,10000,1)</f>
        <v>0</v>
      </c>
      <c r="E84" s="112">
        <f>ROUND(HLOOKUP($E$3,bs!$C$1:$AA$110,MATCH("*"&amp;A84&amp;"*",bs!$B$1:$B$110,),FALSE),0)/IF(LEN($G$6)&gt;4,10000,1)</f>
        <v>0</v>
      </c>
      <c r="H84" s="113">
        <f t="shared" si="1"/>
        <v>0</v>
      </c>
    </row>
    <row r="85" spans="1:8" ht="14.25" hidden="1">
      <c r="A85" s="111" t="s">
        <v>609</v>
      </c>
      <c r="B85" s="112">
        <f>ROUND(HLOOKUP($B$3,bs!$C$1:$AA$110,MATCH("*"&amp;A85&amp;"*",bs!$B$1:$B$110,),FALSE),0)/IF(LEN($G$6)&gt;4,10000,1)</f>
        <v>0</v>
      </c>
      <c r="C85" s="112">
        <f>ROUND(HLOOKUP($C$3,bs!$C$1:$AA$110,MATCH("*"&amp;A85&amp;"*",bs!$B$1:$B$110,),FALSE),0)/IF(LEN($G$6)&gt;4,10000,1)</f>
        <v>0</v>
      </c>
      <c r="D85" s="112">
        <f>ROUND(HLOOKUP($D$3,bs!$C$1:$AA$110,MATCH("*"&amp;A85&amp;"*",bs!$B$1:$B$110,),FALSE),0)/IF(LEN($G$6)&gt;4,10000,1)</f>
        <v>0</v>
      </c>
      <c r="E85" s="112">
        <f>ROUND(HLOOKUP($E$3,bs!$C$1:$AA$110,MATCH("*"&amp;A85&amp;"*",bs!$B$1:$B$110,),FALSE),0)/IF(LEN($G$6)&gt;4,10000,1)</f>
        <v>0</v>
      </c>
      <c r="H85" s="113">
        <f t="shared" si="1"/>
        <v>0</v>
      </c>
    </row>
    <row r="86" spans="1:8" ht="14.25" hidden="1">
      <c r="A86" s="111" t="s">
        <v>610</v>
      </c>
      <c r="B86" s="112">
        <f>ROUND(HLOOKUP($B$3,bs!$C$1:$AA$110,MATCH("*"&amp;A86&amp;"*",bs!$B$1:$B$110,),FALSE),0)/IF(LEN($G$6)&gt;4,10000,1)</f>
        <v>0</v>
      </c>
      <c r="C86" s="112">
        <f>ROUND(HLOOKUP($C$3,bs!$C$1:$AA$110,MATCH("*"&amp;A86&amp;"*",bs!$B$1:$B$110,),FALSE),0)/IF(LEN($G$6)&gt;4,10000,1)</f>
        <v>0</v>
      </c>
      <c r="D86" s="112">
        <f>ROUND(HLOOKUP($D$3,bs!$C$1:$AA$110,MATCH("*"&amp;A86&amp;"*",bs!$B$1:$B$110,),FALSE),0)/IF(LEN($G$6)&gt;4,10000,1)</f>
        <v>0</v>
      </c>
      <c r="E86" s="112">
        <f>ROUND(HLOOKUP($E$3,bs!$C$1:$AA$110,MATCH("*"&amp;A86&amp;"*",bs!$B$1:$B$110,),FALSE),0)/IF(LEN($G$6)&gt;4,10000,1)</f>
        <v>0</v>
      </c>
      <c r="H86" s="113">
        <f t="shared" si="1"/>
        <v>0</v>
      </c>
    </row>
    <row r="87" spans="1:8" ht="14.25" hidden="1">
      <c r="A87" s="111" t="s">
        <v>611</v>
      </c>
      <c r="B87" s="112">
        <f>ROUND(HLOOKUP($B$3,bs!$C$1:$AA$110,MATCH("*"&amp;A87&amp;"*",bs!$B$1:$B$110,),FALSE),0)/IF(LEN($G$6)&gt;4,10000,1)</f>
        <v>0</v>
      </c>
      <c r="C87" s="112">
        <f>ROUND(HLOOKUP($C$3,bs!$C$1:$AA$110,MATCH("*"&amp;A87&amp;"*",bs!$B$1:$B$110,),FALSE),0)/IF(LEN($G$6)&gt;4,10000,1)</f>
        <v>0</v>
      </c>
      <c r="D87" s="112">
        <f>ROUND(HLOOKUP($D$3,bs!$C$1:$AA$110,MATCH("*"&amp;A87&amp;"*",bs!$B$1:$B$110,),FALSE),0)/IF(LEN($G$6)&gt;4,10000,1)</f>
        <v>0</v>
      </c>
      <c r="E87" s="112">
        <f>ROUND(HLOOKUP($E$3,bs!$C$1:$AA$110,MATCH("*"&amp;A87&amp;"*",bs!$B$1:$B$110,),FALSE),0)/IF(LEN($G$6)&gt;4,10000,1)</f>
        <v>0</v>
      </c>
      <c r="H87" s="113">
        <f t="shared" si="1"/>
        <v>0</v>
      </c>
    </row>
    <row r="88" spans="1:8" ht="14.25" hidden="1">
      <c r="A88" s="111" t="s">
        <v>612</v>
      </c>
      <c r="B88" s="112">
        <f>ROUND(HLOOKUP($B$3,bs!$C$1:$AA$110,MATCH("*"&amp;A88&amp;"*",bs!$B$1:$B$110,),FALSE),0)/IF(LEN($G$6)&gt;4,10000,1)</f>
        <v>0</v>
      </c>
      <c r="C88" s="112">
        <f>ROUND(HLOOKUP($C$3,bs!$C$1:$AA$110,MATCH("*"&amp;A88&amp;"*",bs!$B$1:$B$110,),FALSE),0)/IF(LEN($G$6)&gt;4,10000,1)</f>
        <v>0</v>
      </c>
      <c r="D88" s="112">
        <f>ROUND(HLOOKUP($D$3,bs!$C$1:$AA$110,MATCH("*"&amp;A88&amp;"*",bs!$B$1:$B$110,),FALSE),0)/IF(LEN($G$6)&gt;4,10000,1)</f>
        <v>0</v>
      </c>
      <c r="E88" s="112">
        <f>ROUND(HLOOKUP($E$3,bs!$C$1:$AA$110,MATCH("*"&amp;A88&amp;"*",bs!$B$1:$B$110,),FALSE),0)/IF(LEN($G$6)&gt;4,10000,1)</f>
        <v>0</v>
      </c>
      <c r="H88" s="113">
        <f t="shared" si="1"/>
        <v>0</v>
      </c>
    </row>
    <row r="89" spans="1:8" ht="14.25" hidden="1">
      <c r="A89" s="111" t="s">
        <v>613</v>
      </c>
      <c r="B89" s="112">
        <f>ROUND(HLOOKUP($B$3,bs!$C$1:$AA$110,MATCH("*"&amp;A89&amp;"*",bs!$B$1:$B$110,),FALSE),0)/IF(LEN($G$6)&gt;4,10000,1)</f>
        <v>0</v>
      </c>
      <c r="C89" s="112">
        <f>ROUND(HLOOKUP($C$3,bs!$C$1:$AA$110,MATCH("*"&amp;A89&amp;"*",bs!$B$1:$B$110,),FALSE),0)/IF(LEN($G$6)&gt;4,10000,1)</f>
        <v>0</v>
      </c>
      <c r="D89" s="112">
        <f>ROUND(HLOOKUP($D$3,bs!$C$1:$AA$110,MATCH("*"&amp;A89&amp;"*",bs!$B$1:$B$110,),FALSE),0)/IF(LEN($G$6)&gt;4,10000,1)</f>
        <v>0</v>
      </c>
      <c r="E89" s="112">
        <f>ROUND(HLOOKUP($E$3,bs!$C$1:$AA$110,MATCH("*"&amp;A89&amp;"*",bs!$B$1:$B$110,),FALSE),0)/IF(LEN($G$6)&gt;4,10000,1)</f>
        <v>0</v>
      </c>
      <c r="H89" s="113">
        <f t="shared" si="1"/>
        <v>0</v>
      </c>
    </row>
    <row r="90" spans="1:8" ht="14.25" hidden="1">
      <c r="A90" s="111" t="s">
        <v>614</v>
      </c>
      <c r="B90" s="112">
        <f>ROUND(HLOOKUP($B$3,bs!$C$1:$AA$110,MATCH("*"&amp;A90&amp;"*",bs!$B$1:$B$110,),FALSE),0)/IF(LEN($G$6)&gt;4,10000,1)</f>
        <v>0</v>
      </c>
      <c r="C90" s="112">
        <f>ROUND(HLOOKUP($C$3,bs!$C$1:$AA$110,MATCH("*"&amp;A90&amp;"*",bs!$B$1:$B$110,),FALSE),0)/IF(LEN($G$6)&gt;4,10000,1)</f>
        <v>0</v>
      </c>
      <c r="D90" s="112">
        <f>ROUND(HLOOKUP($D$3,bs!$C$1:$AA$110,MATCH("*"&amp;A90&amp;"*",bs!$B$1:$B$110,),FALSE),0)/IF(LEN($G$6)&gt;4,10000,1)</f>
        <v>0</v>
      </c>
      <c r="E90" s="112">
        <f>ROUND(HLOOKUP($E$3,bs!$C$1:$AA$110,MATCH("*"&amp;A90&amp;"*",bs!$B$1:$B$110,),FALSE),0)/IF(LEN($G$6)&gt;4,10000,1)</f>
        <v>0</v>
      </c>
      <c r="H90" s="113">
        <f t="shared" si="1"/>
        <v>0</v>
      </c>
    </row>
    <row r="91" spans="1:8" ht="14.25" hidden="1">
      <c r="A91" s="111" t="s">
        <v>615</v>
      </c>
      <c r="B91" s="112">
        <f>ROUND(HLOOKUP($B$3,bs!$C$1:$AA$110,MATCH("*"&amp;A91&amp;"*",bs!$B$1:$B$110,),FALSE),0)/IF(LEN($G$6)&gt;4,10000,1)</f>
        <v>0</v>
      </c>
      <c r="C91" s="112">
        <f>ROUND(HLOOKUP($C$3,bs!$C$1:$AA$110,MATCH("*"&amp;A91&amp;"*",bs!$B$1:$B$110,),FALSE),0)/IF(LEN($G$6)&gt;4,10000,1)</f>
        <v>0</v>
      </c>
      <c r="D91" s="112">
        <f>ROUND(HLOOKUP($D$3,bs!$C$1:$AA$110,MATCH("*"&amp;A91&amp;"*",bs!$B$1:$B$110,),FALSE),0)/IF(LEN($G$6)&gt;4,10000,1)</f>
        <v>0</v>
      </c>
      <c r="E91" s="112">
        <f>ROUND(HLOOKUP($E$3,bs!$C$1:$AA$110,MATCH("*"&amp;A91&amp;"*",bs!$B$1:$B$110,),FALSE),0)/IF(LEN($G$6)&gt;4,10000,1)</f>
        <v>0</v>
      </c>
      <c r="H91" s="113">
        <f t="shared" si="1"/>
        <v>0</v>
      </c>
    </row>
    <row r="92" spans="1:8" ht="14.25" hidden="1">
      <c r="A92" s="111" t="s">
        <v>616</v>
      </c>
      <c r="B92" s="112">
        <f>ROUND(HLOOKUP($B$3,bs!$C$1:$AA$110,MATCH("*"&amp;A92&amp;"*",bs!$B$1:$B$110,),FALSE),0)/IF(LEN($G$6)&gt;4,10000,1)</f>
        <v>0</v>
      </c>
      <c r="C92" s="112">
        <f>ROUND(HLOOKUP($C$3,bs!$C$1:$AA$110,MATCH("*"&amp;A92&amp;"*",bs!$B$1:$B$110,),FALSE),0)/IF(LEN($G$6)&gt;4,10000,1)</f>
        <v>0</v>
      </c>
      <c r="D92" s="112">
        <f>ROUND(HLOOKUP($D$3,bs!$C$1:$AA$110,MATCH("*"&amp;A92&amp;"*",bs!$B$1:$B$110,),FALSE),0)/IF(LEN($G$6)&gt;4,10000,1)</f>
        <v>0</v>
      </c>
      <c r="E92" s="112">
        <f>ROUND(HLOOKUP($E$3,bs!$C$1:$AA$110,MATCH("*"&amp;A92&amp;"*",bs!$B$1:$B$110,),FALSE),0)/IF(LEN($G$6)&gt;4,10000,1)</f>
        <v>0</v>
      </c>
      <c r="H92" s="113">
        <f t="shared" si="1"/>
        <v>0</v>
      </c>
    </row>
    <row r="93" spans="1:8" ht="14.25">
      <c r="A93" s="114" t="s">
        <v>617</v>
      </c>
      <c r="B93" s="112">
        <f>ROUND(HLOOKUP($B$3,bs!$C$1:$AA$110,MATCH("*"&amp;A93&amp;"*",bs!$B$1:$B$110,),FALSE),0)/IF(LEN($G$6)&gt;4,10000,1)</f>
        <v>25024.936699999998</v>
      </c>
      <c r="C93" s="112">
        <f>ROUND(HLOOKUP($C$3,bs!$C$1:$AA$110,MATCH("*"&amp;A93&amp;"*",bs!$B$1:$B$110,),FALSE),0)/IF(LEN($G$6)&gt;4,10000,1)</f>
        <v>23395.2065</v>
      </c>
      <c r="D93" s="112">
        <f>ROUND(HLOOKUP($D$3,bs!$C$1:$AA$110,MATCH("*"&amp;A93&amp;"*",bs!$B$1:$B$110,),FALSE),0)/IF(LEN($G$6)&gt;4,10000,1)</f>
        <v>36796.622799999997</v>
      </c>
      <c r="E93" s="112">
        <f>ROUND(HLOOKUP($E$3,bs!$C$1:$AA$110,MATCH("*"&amp;A93&amp;"*",bs!$B$1:$B$110,),FALSE),0)/IF(LEN($G$6)&gt;4,10000,1)</f>
        <v>0</v>
      </c>
      <c r="H93" s="113">
        <f t="shared" si="1"/>
        <v>85216.766000000003</v>
      </c>
    </row>
    <row r="94" spans="1:8" ht="14.25">
      <c r="A94" s="114" t="s">
        <v>618</v>
      </c>
      <c r="B94" s="112">
        <f>ROUND(HLOOKUP($B$3,bs!$C$1:$AA$110,MATCH("*"&amp;A94,bs!$B$1:$B$110,),FALSE),0)/IF(LEN($G$6)&gt;4,10000,1)</f>
        <v>83903.009600000005</v>
      </c>
      <c r="C94" s="112">
        <f>ROUND(HLOOKUP($C$3,bs!$C$1:$AA$110,MATCH("*"&amp;A94,bs!$B$1:$B$110,),FALSE),0)/IF(LEN($G$6)&gt;4,10000,1)</f>
        <v>48972.330999999998</v>
      </c>
      <c r="D94" s="112">
        <f>ROUND(HLOOKUP($D$3,bs!$C$1:$AA$110,MATCH("*"&amp;A94,bs!$B$1:$B$110,),FALSE),0)/IF(LEN($G$6)&gt;4,10000,1)</f>
        <v>36940.360999999997</v>
      </c>
      <c r="E94" s="112">
        <f>ROUND(HLOOKUP($E$3,bs!$C$1:$AA$110,MATCH("*"&amp;A94,bs!$B$1:$B$110,),FALSE),0)/IF(LEN($G$6)&gt;4,10000,1)</f>
        <v>7510.1774999999998</v>
      </c>
      <c r="F94" s="12" t="s">
        <v>619</v>
      </c>
      <c r="H94" s="113">
        <f t="shared" si="1"/>
        <v>177325.87909999999</v>
      </c>
    </row>
    <row r="95" spans="1:8" ht="14.25">
      <c r="A95" s="111" t="s">
        <v>620</v>
      </c>
      <c r="B95" s="112">
        <f>ROUND(HLOOKUP($B$3,bs!$C$1:$AA$110,MATCH("*"&amp;A95&amp;"*",bs!$B$1:$B$110,),FALSE),0)/IF(LEN($G$6)&gt;4,10000,1)</f>
        <v>10000</v>
      </c>
      <c r="C95" s="112">
        <f>ROUND(HLOOKUP($C$3,bs!$C$1:$AA$110,MATCH("*"&amp;A95&amp;"*",bs!$B$1:$B$110,),FALSE),0)/IF(LEN($G$6)&gt;4,10000,1)</f>
        <v>10000</v>
      </c>
      <c r="D95" s="112">
        <f>ROUND(HLOOKUP($D$3,bs!$C$1:$AA$110,MATCH("*"&amp;A95&amp;"*",bs!$B$1:$B$110,),FALSE),0)/IF(LEN($G$6)&gt;4,10000,1)</f>
        <v>10000</v>
      </c>
      <c r="E95" s="112">
        <f>ROUND(HLOOKUP($E$3,bs!$C$1:$AA$110,MATCH("*"&amp;A95&amp;"*",bs!$B$1:$B$110,),FALSE),0)/IF(LEN($G$6)&gt;4,10000,1)</f>
        <v>10000</v>
      </c>
      <c r="H95" s="113">
        <f t="shared" si="1"/>
        <v>40000</v>
      </c>
    </row>
    <row r="96" spans="1:8" ht="14.25" hidden="1">
      <c r="A96" s="111" t="s">
        <v>621</v>
      </c>
      <c r="B96" s="112">
        <f>ROUND(HLOOKUP($B$3,bs!$C$1:$AA$110,MATCH("*"&amp;A96&amp;"*",bs!$B$1:$B$110,),FALSE),0)/IF(LEN($G$6)&gt;4,10000,1)</f>
        <v>0</v>
      </c>
      <c r="C96" s="112">
        <f>ROUND(HLOOKUP($C$3,bs!$C$1:$AA$110,MATCH("*"&amp;A96&amp;"*",bs!$B$1:$B$110,),FALSE),0)/IF(LEN($G$6)&gt;4,10000,1)</f>
        <v>0</v>
      </c>
      <c r="D96" s="112">
        <f>ROUND(HLOOKUP($D$3,bs!$C$1:$AA$110,MATCH("*"&amp;A96&amp;"*",bs!$B$1:$B$110,),FALSE),0)/IF(LEN($G$6)&gt;4,10000,1)</f>
        <v>0</v>
      </c>
      <c r="E96" s="112">
        <f>ROUND(HLOOKUP($E$3,bs!$C$1:$AA$110,MATCH("*"&amp;A96&amp;"*",bs!$B$1:$B$110,),FALSE),0)/IF(LEN($G$6)&gt;4,10000,1)</f>
        <v>0</v>
      </c>
      <c r="H96" s="113">
        <f t="shared" si="1"/>
        <v>0</v>
      </c>
    </row>
    <row r="97" spans="1:10" ht="14.25" hidden="1">
      <c r="A97" s="111" t="s">
        <v>389</v>
      </c>
      <c r="B97" s="112">
        <f>ROUND(HLOOKUP($B$3,bs!$C$1:$AA$110,MATCH("*"&amp;A97&amp;"*",bs!$B$1:$B$110,),FALSE),0)/IF(LEN($G$6)&gt;4,10000,1)</f>
        <v>0</v>
      </c>
      <c r="C97" s="112">
        <f>ROUND(HLOOKUP($C$3,bs!$C$1:$AA$110,MATCH("*"&amp;A97&amp;"*",bs!$B$1:$B$110,),FALSE),0)/IF(LEN($G$6)&gt;4,10000,1)</f>
        <v>0</v>
      </c>
      <c r="D97" s="112">
        <f>ROUND(HLOOKUP($D$3,bs!$C$1:$AA$110,MATCH("*"&amp;A97&amp;"*",bs!$B$1:$B$110,),FALSE),0)/IF(LEN($G$6)&gt;4,10000,1)</f>
        <v>0</v>
      </c>
      <c r="E97" s="112">
        <f>ROUND(HLOOKUP($E$3,bs!$C$1:$AA$110,MATCH("*"&amp;A97&amp;"*",bs!$B$1:$B$110,),FALSE),0)/IF(LEN($G$6)&gt;4,10000,1)</f>
        <v>0</v>
      </c>
      <c r="H97" s="113">
        <f t="shared" si="1"/>
        <v>0</v>
      </c>
    </row>
    <row r="98" spans="1:10" ht="14.25" hidden="1">
      <c r="A98" s="111" t="s">
        <v>608</v>
      </c>
      <c r="B98" s="112">
        <f>ROUND(HLOOKUP($B$3,bs!$C$1:$AA$110,MATCH("*"&amp;A98&amp;"*",bs!$B$1:$B$110,),FALSE),0)/IF(LEN($G$6)&gt;4,10000,1)</f>
        <v>0</v>
      </c>
      <c r="C98" s="112">
        <f>ROUND(HLOOKUP($C$3,bs!$C$1:$AA$110,MATCH("*"&amp;A98&amp;"*",bs!$B$1:$B$110,),FALSE),0)/IF(LEN($G$6)&gt;4,10000,1)</f>
        <v>0</v>
      </c>
      <c r="D98" s="112">
        <f>ROUND(HLOOKUP($D$3,bs!$C$1:$AA$110,MATCH("*"&amp;A98&amp;"*",bs!$B$1:$B$110,),FALSE),0)/IF(LEN($G$6)&gt;4,10000,1)</f>
        <v>0</v>
      </c>
      <c r="E98" s="112">
        <f>ROUND(HLOOKUP($E$3,bs!$C$1:$AA$110,MATCH("*"&amp;A98&amp;"*",bs!$B$1:$B$110,),FALSE),0)/IF(LEN($G$6)&gt;4,10000,1)</f>
        <v>0</v>
      </c>
      <c r="H98" s="113">
        <f t="shared" si="1"/>
        <v>0</v>
      </c>
    </row>
    <row r="99" spans="1:10" ht="14.25" hidden="1">
      <c r="A99" s="111" t="s">
        <v>622</v>
      </c>
      <c r="B99" s="112">
        <f>ROUND(HLOOKUP($B$3,bs!$C$1:$AA$110,MATCH("*"&amp;A99&amp;"*",bs!$B$1:$B$110,),FALSE),0)/IF(LEN($G$6)&gt;4,10000,1)</f>
        <v>0</v>
      </c>
      <c r="C99" s="112">
        <f>ROUND(HLOOKUP($C$3,bs!$C$1:$AA$110,MATCH("*"&amp;A99&amp;"*",bs!$B$1:$B$110,),FALSE),0)/IF(LEN($G$6)&gt;4,10000,1)</f>
        <v>0</v>
      </c>
      <c r="D99" s="112">
        <f>ROUND(HLOOKUP($D$3,bs!$C$1:$AA$110,MATCH("*"&amp;A99&amp;"*",bs!$B$1:$B$110,),FALSE),0)/IF(LEN($G$6)&gt;4,10000,1)</f>
        <v>0</v>
      </c>
      <c r="E99" s="112">
        <f>ROUND(HLOOKUP($E$3,bs!$C$1:$AA$110,MATCH("*"&amp;A99&amp;"*",bs!$B$1:$B$110,),FALSE),0)/IF(LEN($G$6)&gt;4,10000,1)</f>
        <v>0</v>
      </c>
      <c r="H99" s="113">
        <f t="shared" si="1"/>
        <v>0</v>
      </c>
    </row>
    <row r="100" spans="1:10" ht="14.25" hidden="1">
      <c r="A100" s="111" t="s">
        <v>623</v>
      </c>
      <c r="B100" s="112">
        <f>ROUND(HLOOKUP($B$3,bs!$C$1:$AA$110,MATCH("*"&amp;A100&amp;"*",bs!$B$1:$B$110,),FALSE),0)/IF(LEN($G$6)&gt;4,10000,1)</f>
        <v>0</v>
      </c>
      <c r="C100" s="112">
        <f>ROUND(HLOOKUP($C$3,bs!$C$1:$AA$110,MATCH("*"&amp;A100&amp;"*",bs!$B$1:$B$110,),FALSE),0)/IF(LEN($G$6)&gt;4,10000,1)</f>
        <v>0</v>
      </c>
      <c r="D100" s="112">
        <f>ROUND(HLOOKUP($D$3,bs!$C$1:$AA$110,MATCH("*"&amp;A100&amp;"*",bs!$B$1:$B$110,),FALSE),0)/IF(LEN($G$6)&gt;4,10000,1)</f>
        <v>0</v>
      </c>
      <c r="E100" s="112">
        <f>ROUND(HLOOKUP($E$3,bs!$C$1:$AA$110,MATCH("*"&amp;A100&amp;"*",bs!$B$1:$B$110,),FALSE),0)/IF(LEN($G$6)&gt;4,10000,1)</f>
        <v>0</v>
      </c>
      <c r="H100" s="113">
        <f t="shared" si="1"/>
        <v>0</v>
      </c>
    </row>
    <row r="101" spans="1:10" ht="14.25" hidden="1">
      <c r="A101" s="111" t="s">
        <v>624</v>
      </c>
      <c r="B101" s="112">
        <f>ROUND(HLOOKUP($B$3,bs!$C$1:$AA$110,MATCH("*"&amp;A101&amp;"*",bs!$B$1:$B$110,),FALSE),0)/IF(LEN($G$6)&gt;4,10000,1)</f>
        <v>0</v>
      </c>
      <c r="C101" s="112">
        <f>ROUND(HLOOKUP($C$3,bs!$C$1:$AA$110,MATCH("*"&amp;A101&amp;"*",bs!$B$1:$B$110,),FALSE),0)/IF(LEN($G$6)&gt;4,10000,1)</f>
        <v>0</v>
      </c>
      <c r="D101" s="112">
        <f>ROUND(HLOOKUP($D$3,bs!$C$1:$AA$110,MATCH("*"&amp;A101&amp;"*",bs!$B$1:$B$110,),FALSE),0)/IF(LEN($G$6)&gt;4,10000,1)</f>
        <v>0</v>
      </c>
      <c r="E101" s="112">
        <f>ROUND(HLOOKUP($E$3,bs!$C$1:$AA$110,MATCH("*"&amp;A101&amp;"*",bs!$B$1:$B$110,),FALSE),0)/IF(LEN($G$6)&gt;4,10000,1)</f>
        <v>0</v>
      </c>
      <c r="H101" s="113">
        <f t="shared" si="1"/>
        <v>0</v>
      </c>
    </row>
    <row r="102" spans="1:10" ht="14.25" hidden="1">
      <c r="A102" s="111" t="s">
        <v>625</v>
      </c>
      <c r="B102" s="112">
        <f>ROUND(HLOOKUP($B$3,bs!$C$1:$AA$110,MATCH("*"&amp;A102&amp;"*",bs!$B$1:$B$110,),FALSE),0)/IF(LEN($G$6)&gt;4,10000,1)</f>
        <v>0</v>
      </c>
      <c r="C102" s="112">
        <f>ROUND(HLOOKUP($C$3,bs!$C$1:$AA$110,MATCH("*"&amp;A102&amp;"*",bs!$B$1:$B$110,),FALSE),0)/IF(LEN($G$6)&gt;4,10000,1)</f>
        <v>0</v>
      </c>
      <c r="D102" s="112">
        <f>ROUND(HLOOKUP($D$3,bs!$C$1:$AA$110,MATCH("*"&amp;A102&amp;"*",bs!$B$1:$B$110,),FALSE),0)/IF(LEN($G$6)&gt;4,10000,1)</f>
        <v>0</v>
      </c>
      <c r="E102" s="112">
        <f>ROUND(HLOOKUP($E$3,bs!$C$1:$AA$110,MATCH("*"&amp;A102&amp;"*",bs!$B$1:$B$110,),FALSE),0)/IF(LEN($G$6)&gt;4,10000,1)</f>
        <v>0</v>
      </c>
      <c r="H102" s="113">
        <f t="shared" si="1"/>
        <v>0</v>
      </c>
    </row>
    <row r="103" spans="1:10" ht="14.25" hidden="1">
      <c r="A103" s="111" t="s">
        <v>626</v>
      </c>
      <c r="B103" s="112">
        <f>ROUND(HLOOKUP($B$3,bs!$C$1:$AA$110,MATCH("*"&amp;A103&amp;"*",bs!$B$1:$B$110,),FALSE),0)/IF(LEN($G$6)&gt;4,10000,1)</f>
        <v>0</v>
      </c>
      <c r="C103" s="112">
        <f>ROUND(HLOOKUP($C$3,bs!$C$1:$AA$110,MATCH("*"&amp;A103&amp;"*",bs!$B$1:$B$110,),FALSE),0)/IF(LEN($G$6)&gt;4,10000,1)</f>
        <v>0</v>
      </c>
      <c r="D103" s="112">
        <f>ROUND(HLOOKUP($D$3,bs!$C$1:$AA$110,MATCH("*"&amp;A103&amp;"*",bs!$B$1:$B$110,),FALSE),0)/IF(LEN($G$6)&gt;4,10000,1)</f>
        <v>0</v>
      </c>
      <c r="E103" s="112">
        <f>ROUND(HLOOKUP($E$3,bs!$C$1:$AA$110,MATCH("*"&amp;A103&amp;"*",bs!$B$1:$B$110,),FALSE),0)/IF(LEN($G$6)&gt;4,10000,1)</f>
        <v>0</v>
      </c>
      <c r="H103" s="113">
        <f t="shared" si="1"/>
        <v>0</v>
      </c>
    </row>
    <row r="104" spans="1:10" ht="14.25" hidden="1">
      <c r="A104" s="111" t="s">
        <v>627</v>
      </c>
      <c r="B104" s="112">
        <f>ROUND(HLOOKUP($B$3,bs!$C$1:$AA$110,MATCH("*"&amp;A104&amp;"*",bs!$B$1:$B$110,),FALSE),0)/IF(LEN($G$6)&gt;4,10000,1)</f>
        <v>0</v>
      </c>
      <c r="C104" s="112">
        <f>ROUND(HLOOKUP($C$3,bs!$C$1:$AA$110,MATCH("*"&amp;A104&amp;"*",bs!$B$1:$B$110,),FALSE),0)/IF(LEN($G$6)&gt;4,10000,1)</f>
        <v>0</v>
      </c>
      <c r="D104" s="112">
        <f>ROUND(HLOOKUP($D$3,bs!$C$1:$AA$110,MATCH("*"&amp;A104&amp;"*",bs!$B$1:$B$110,),FALSE),0)/IF(LEN($G$6)&gt;4,10000,1)</f>
        <v>0</v>
      </c>
      <c r="E104" s="112">
        <f>ROUND(HLOOKUP($E$3,bs!$C$1:$AA$110,MATCH("*"&amp;A104&amp;"*",bs!$B$1:$B$110,),FALSE),0)/IF(LEN($G$6)&gt;4,10000,1)</f>
        <v>0</v>
      </c>
      <c r="H104" s="113">
        <f t="shared" si="1"/>
        <v>0</v>
      </c>
    </row>
    <row r="105" spans="1:10" ht="14.25">
      <c r="A105" s="111" t="s">
        <v>628</v>
      </c>
      <c r="B105" s="112">
        <f>ROUND(HLOOKUP($B$3,bs!$C$1:$AA$110,MATCH("*"&amp;A105&amp;"*",bs!$B$1:$B$110,),FALSE),0)/IF(LEN($G$6)&gt;4,10000,1)</f>
        <v>243.5762</v>
      </c>
      <c r="C105" s="112">
        <f>ROUND(HLOOKUP($C$3,bs!$C$1:$AA$110,MATCH("*"&amp;A105&amp;"*",bs!$B$1:$B$110,),FALSE),0)/IF(LEN($G$6)&gt;4,10000,1)</f>
        <v>1879.7139</v>
      </c>
      <c r="D105" s="112">
        <f>ROUND(HLOOKUP($D$3,bs!$C$1:$AA$110,MATCH("*"&amp;A105&amp;"*",bs!$B$1:$B$110,),FALSE),0)/IF(LEN($G$6)&gt;4,10000,1)</f>
        <v>-147.1497</v>
      </c>
      <c r="E105" s="112">
        <f>ROUND(HLOOKUP($E$3,bs!$C$1:$AA$110,MATCH("*"&amp;A105&amp;"*",bs!$B$1:$B$110,),FALSE),0)/IF(LEN($G$6)&gt;4,10000,1)</f>
        <v>-1.4605999999999999</v>
      </c>
      <c r="H105" s="113">
        <f t="shared" si="1"/>
        <v>1974.6798000000001</v>
      </c>
    </row>
    <row r="106" spans="1:10" ht="28.5">
      <c r="A106" s="111" t="s">
        <v>397</v>
      </c>
      <c r="B106" s="112">
        <f>ROUND(HLOOKUP($B$3,bs!$C$1:$AA$110,MATCH("*"&amp;A106&amp;"*",bs!$B$1:$B$110,),FALSE),0)/IF(LEN($G$6)&gt;4,10000,1)</f>
        <v>10243.5762</v>
      </c>
      <c r="C106" s="112">
        <f>ROUND(HLOOKUP($C$3,bs!$C$1:$AA$110,MATCH("*"&amp;A106&amp;"*",bs!$B$1:$B$110,),FALSE),0)/IF(LEN($G$6)&gt;4,10000,1)</f>
        <v>11879.713900000001</v>
      </c>
      <c r="D106" s="112">
        <f>ROUND(HLOOKUP($D$3,bs!$C$1:$AA$110,MATCH("*"&amp;A106&amp;"*",bs!$B$1:$B$110,),FALSE),0)/IF(LEN($G$6)&gt;4,10000,1)</f>
        <v>9852.8503000000001</v>
      </c>
      <c r="E106" s="112">
        <f>ROUND(HLOOKUP($E$3,bs!$C$1:$AA$110,MATCH("*"&amp;A106&amp;"*",bs!$B$1:$B$110,),FALSE),0)/IF(LEN($G$6)&gt;4,10000,1)</f>
        <v>9998.5393999999997</v>
      </c>
      <c r="H106" s="113">
        <f t="shared" si="1"/>
        <v>41974.679799999998</v>
      </c>
    </row>
    <row r="107" spans="1:10" ht="14.25" hidden="1">
      <c r="A107" s="111" t="s">
        <v>629</v>
      </c>
      <c r="B107" s="112">
        <f>ROUND(HLOOKUP($B$3,bs!$C$1:$AA$110,MATCH("*"&amp;A107&amp;"*",bs!$B$1:$B$110,),FALSE),0)/IF(LEN($G$6)&gt;4,10000,1)</f>
        <v>0</v>
      </c>
      <c r="C107" s="112">
        <f>ROUND(HLOOKUP($C$3,bs!$C$1:$AA$110,MATCH("*"&amp;A107&amp;"*",bs!$B$1:$B$110,),FALSE),0)/IF(LEN($G$6)&gt;4,10000,1)</f>
        <v>0</v>
      </c>
      <c r="D107" s="112">
        <f>ROUND(HLOOKUP($D$3,bs!$C$1:$AA$110,MATCH("*"&amp;A107&amp;"*",bs!$B$1:$B$110,),FALSE),0)/IF(LEN($G$6)&gt;4,10000,1)</f>
        <v>0</v>
      </c>
      <c r="E107" s="112">
        <f>ROUND(HLOOKUP($E$3,bs!$C$1:$AA$110,MATCH("*"&amp;A107&amp;"*",bs!$B$1:$B$110,),FALSE),0)/IF(LEN($G$6)&gt;4,10000,1)</f>
        <v>0</v>
      </c>
      <c r="H107" s="113">
        <f t="shared" si="1"/>
        <v>0</v>
      </c>
    </row>
    <row r="108" spans="1:10" ht="28.5">
      <c r="A108" s="114" t="s">
        <v>630</v>
      </c>
      <c r="B108" s="112">
        <f>ROUND(HLOOKUP($B$3,bs!$C$1:$AA$110,MATCH("*"&amp;A108&amp;"*",bs!$B$1:$B$110,),FALSE),0)/IF(LEN($G$6)&gt;4,10000,1)</f>
        <v>10243.5762</v>
      </c>
      <c r="C108" s="112">
        <f>ROUND(HLOOKUP($C$3,bs!$C$1:$AA$110,MATCH("*"&amp;A108&amp;"*",bs!$B$1:$B$110,),FALSE),0)/IF(LEN($G$6)&gt;4,10000,1)</f>
        <v>11879.713900000001</v>
      </c>
      <c r="D108" s="112">
        <f>ROUND(HLOOKUP($D$3,bs!$C$1:$AA$110,MATCH("*"&amp;A108&amp;"*",bs!$B$1:$B$110,),FALSE),0)/IF(LEN($G$6)&gt;4,10000,1)</f>
        <v>9852.8503000000001</v>
      </c>
      <c r="E108" s="112">
        <f>ROUND(HLOOKUP($E$3,bs!$C$1:$AA$110,MATCH("*"&amp;A108&amp;"*",bs!$B$1:$B$110,),FALSE),0)/IF(LEN($G$6)&gt;4,10000,1)</f>
        <v>9998.5393999999997</v>
      </c>
      <c r="F108" t="str">
        <f>LEFT(A108,5)</f>
        <v xml:space="preserve"> 所有者权</v>
      </c>
      <c r="G108">
        <f>MATCH("*"&amp;LEFT(A108,5)&amp;"*",bs!$B$1:$B$110,)</f>
        <v>109</v>
      </c>
      <c r="H108" s="113">
        <f t="shared" si="1"/>
        <v>41974.679799999998</v>
      </c>
    </row>
    <row r="109" spans="1:10" ht="15.75" customHeight="1">
      <c r="A109" s="156" t="s">
        <v>631</v>
      </c>
      <c r="B109" s="156"/>
      <c r="C109" s="156"/>
      <c r="D109" s="156"/>
      <c r="E109" s="156"/>
      <c r="H109" s="113"/>
    </row>
    <row r="110" spans="1:10" ht="14.25">
      <c r="A110" s="111" t="s">
        <v>632</v>
      </c>
      <c r="B110" s="112">
        <f>ROUND(HLOOKUP($B$3,pl!$C$1:$V$71,MATCH("*"&amp;A110&amp;"*",pl!$B$1:$B$71,),FALSE),0)/IF(LEN($G$6)&gt;4,10000,1)</f>
        <v>270.77390000000003</v>
      </c>
      <c r="C110" s="112">
        <f>ROUND(HLOOKUP($C$3,pl!$C$1:$V$71,MATCH("*"&amp;A110&amp;"*",pl!$B$1:$B$71,),FALSE),0)/IF(LEN($G$6)&gt;4,10000,1)</f>
        <v>925.07479999999998</v>
      </c>
      <c r="D110" s="112">
        <f>ROUND(HLOOKUP($D$3,pl!$C$1:$V$71,MATCH("*"&amp;A110&amp;"*",pl!$B$1:$B$71,),FALSE),0)/IF(LEN($G$6)&gt;4,10000,1)</f>
        <v>0</v>
      </c>
      <c r="E110" s="112">
        <f>ROUND(HLOOKUP($E$3,pl!$C$1:$V$71,MATCH("*"&amp;A110&amp;"*",pl!$B$1:$B$71,),FALSE),0)/IF(LEN($G$6)&gt;4,10000,1)</f>
        <v>0</v>
      </c>
      <c r="F110">
        <f>MATCH("*"&amp;A110&amp;"*",pl!$B$1:$B$71,)</f>
        <v>3</v>
      </c>
      <c r="G110">
        <f>HLOOKUP($E$3,pl!$C$1:$V$71,3,FALSE)</f>
        <v>0</v>
      </c>
      <c r="H110" s="113"/>
      <c r="J110" s="115" t="str">
        <f>CONCATENATE("近三年及一期，拟承租人",A110,"分别为",ROUND(E110/10000,2),"亿元、",ROUND(D110/10000,2),"亿元、",ROUND(C110/10000,2),"亿元及",ROUND(B110/10000,2),"亿元。")</f>
        <v>近三年及一期，拟承租人营业收入分别为0亿元、0亿元、0.09亿元及0.03亿元。</v>
      </c>
    </row>
    <row r="111" spans="1:10" ht="14.25">
      <c r="A111" s="111" t="s">
        <v>633</v>
      </c>
      <c r="B111" s="112">
        <f>ROUND(HLOOKUP($B$3,pl!$C$1:$V$71,MATCH("*"&amp;A111&amp;"*",pl!$B$1:$B$71,),FALSE),0)/IF(LEN($G$6)&gt;4,10000,1)</f>
        <v>804.21929999999998</v>
      </c>
      <c r="C111" s="112">
        <f>ROUND(HLOOKUP($C$3,pl!$C$1:$V$71,MATCH("*"&amp;A111&amp;"*",pl!$B$1:$B$71,),FALSE),0)/IF(LEN($G$6)&gt;4,10000,1)</f>
        <v>1194.5608999999999</v>
      </c>
      <c r="D111" s="112">
        <f>ROUND(HLOOKUP($D$3,pl!$C$1:$V$71,MATCH("*"&amp;A111&amp;"*",pl!$B$1:$B$71,),FALSE),0)/IF(LEN($G$6)&gt;4,10000,1)</f>
        <v>0</v>
      </c>
      <c r="E111" s="112">
        <f>ROUND(HLOOKUP($E$3,pl!$C$1:$V$71,MATCH("*"&amp;A111&amp;"*",pl!$B$1:$B$71,),FALSE),0)/IF(LEN($G$6)&gt;4,10000,1)</f>
        <v>0</v>
      </c>
      <c r="H111" s="113">
        <f t="shared" si="1"/>
        <v>1998.7801999999999</v>
      </c>
      <c r="J111" s="115" t="str">
        <f>CONCATENATE("近三年及一期，拟承租人",A111,"分别为",ROUND(E111/10000,2),"亿元、",ROUND(D111/10000,2),"亿元、",ROUND(C111/10000,2),"亿元及",ROUND(B111/10000,2),"亿元。")</f>
        <v>近三年及一期，拟承租人营业成本分别为0亿元、0亿元、0.12亿元及0.08亿元。</v>
      </c>
    </row>
    <row r="112" spans="1:10" ht="14.25">
      <c r="A112" s="111" t="s">
        <v>634</v>
      </c>
      <c r="B112" s="112">
        <f>ROUND(HLOOKUP($B$3,pl!$C$1:$V$71,MATCH("*"&amp;A112&amp;"*",pl!$B$1:$B$71,),FALSE),0)/IF(LEN($G$6)&gt;4,10000,1)</f>
        <v>0.2278</v>
      </c>
      <c r="C112" s="112">
        <f>ROUND(HLOOKUP($C$3,pl!$C$1:$V$71,MATCH("*"&amp;A112&amp;"*",pl!$B$1:$B$71,),FALSE),0)/IF(LEN($G$6)&gt;4,10000,1)</f>
        <v>108.7184</v>
      </c>
      <c r="D112" s="112">
        <f>ROUND(HLOOKUP($D$3,pl!$C$1:$V$71,MATCH("*"&amp;A112&amp;"*",pl!$B$1:$B$71,),FALSE),0)/IF(LEN($G$6)&gt;4,10000,1)</f>
        <v>147.1601</v>
      </c>
      <c r="E112" s="112">
        <f>ROUND(HLOOKUP($E$3,pl!$C$1:$V$71,MATCH("*"&amp;A112&amp;"*",pl!$B$1:$B$71,),FALSE),0)/IF(LEN($G$6)&gt;4,10000,1)</f>
        <v>6.9393000000000002</v>
      </c>
      <c r="H112" s="113">
        <f t="shared" si="1"/>
        <v>263.04560000000004</v>
      </c>
    </row>
    <row r="113" spans="1:8" ht="14.25">
      <c r="A113" s="111" t="s">
        <v>635</v>
      </c>
      <c r="B113" s="112">
        <f>ROUND(HLOOKUP($B$3,pl!$C$1:$V$71,MATCH("*"&amp;A113&amp;"*",pl!$B$1:$B$71,),FALSE),0)/IF(LEN($G$6)&gt;4,10000,1)</f>
        <v>1.5875999999999999</v>
      </c>
      <c r="C113" s="112">
        <f>ROUND(HLOOKUP($C$3,pl!$C$1:$V$71,MATCH("*"&amp;A113&amp;"*",pl!$B$1:$B$71,),FALSE),0)/IF(LEN($G$6)&gt;4,10000,1)</f>
        <v>2.496</v>
      </c>
      <c r="D113" s="112">
        <f>ROUND(HLOOKUP($D$3,pl!$C$1:$V$71,MATCH("*"&amp;A113&amp;"*",pl!$B$1:$B$71,),FALSE),0)/IF(LEN($G$6)&gt;4,10000,1)</f>
        <v>0</v>
      </c>
      <c r="E113" s="112">
        <f>ROUND(HLOOKUP($E$3,pl!$C$1:$V$71,MATCH("*"&amp;A113&amp;"*",pl!$B$1:$B$71,),FALSE),0)/IF(LEN($G$6)&gt;4,10000,1)</f>
        <v>0</v>
      </c>
      <c r="H113" s="113">
        <f t="shared" si="1"/>
        <v>4.0835999999999997</v>
      </c>
    </row>
    <row r="114" spans="1:8" ht="14.25">
      <c r="A114" s="111" t="s">
        <v>636</v>
      </c>
      <c r="B114" s="112">
        <f>ROUND(HLOOKUP($B$3,pl!$C$1:$V$71,MATCH("*"&amp;A114&amp;"*",pl!$B$1:$B$71,),FALSE),0)/IF(LEN($G$6)&gt;4,10000,1)</f>
        <v>41.8371</v>
      </c>
      <c r="C114" s="112">
        <f>ROUND(HLOOKUP($C$3,pl!$C$1:$V$71,MATCH("*"&amp;A114&amp;"*",pl!$B$1:$B$71,),FALSE),0)/IF(LEN($G$6)&gt;4,10000,1)</f>
        <v>90.454400000000007</v>
      </c>
      <c r="D114" s="112">
        <f>ROUND(HLOOKUP($D$3,pl!$C$1:$V$71,MATCH("*"&amp;A114&amp;"*",pl!$B$1:$B$71,),FALSE),0)/IF(LEN($G$6)&gt;4,10000,1)</f>
        <v>0</v>
      </c>
      <c r="E114" s="112">
        <f>ROUND(HLOOKUP($E$3,pl!$C$1:$V$71,MATCH("*"&amp;A114&amp;"*",pl!$B$1:$B$71,),FALSE),0)/IF(LEN($G$6)&gt;4,10000,1)</f>
        <v>0</v>
      </c>
      <c r="H114" s="113">
        <f t="shared" si="1"/>
        <v>132.29150000000001</v>
      </c>
    </row>
    <row r="115" spans="1:8" ht="14.25" hidden="1">
      <c r="A115" s="111" t="s">
        <v>637</v>
      </c>
      <c r="B115" s="112">
        <f>ROUND(HLOOKUP($B$3,pl!$C$1:$V$71,MATCH("*"&amp;A115&amp;"*",pl!$B$1:$B$71,),FALSE),0)/IF(LEN($G$6)&gt;4,10000,1)</f>
        <v>0</v>
      </c>
      <c r="C115" s="112">
        <f>ROUND(HLOOKUP($C$3,pl!$C$1:$V$71,MATCH("*"&amp;A115&amp;"*",pl!$B$1:$B$71,),FALSE),0)/IF(LEN($G$6)&gt;4,10000,1)</f>
        <v>0</v>
      </c>
      <c r="D115" s="112">
        <f>ROUND(HLOOKUP($D$3,pl!$C$1:$V$71,MATCH("*"&amp;A115&amp;"*",pl!$B$1:$B$71,),FALSE),0)/IF(LEN($G$6)&gt;4,10000,1)</f>
        <v>0</v>
      </c>
      <c r="E115" s="112">
        <f>ROUND(HLOOKUP($E$3,pl!$C$1:$V$71,MATCH("*"&amp;A115&amp;"*",pl!$B$1:$B$71,),FALSE),0)/IF(LEN($G$6)&gt;4,10000,1)</f>
        <v>0</v>
      </c>
      <c r="H115" s="113">
        <f t="shared" si="1"/>
        <v>0</v>
      </c>
    </row>
    <row r="116" spans="1:8" ht="14.25">
      <c r="A116" s="111" t="s">
        <v>638</v>
      </c>
      <c r="B116" s="112">
        <f>ROUND(HLOOKUP($B$3,pl!$C$1:$V$71,MATCH("*"&amp;A116&amp;"*",pl!$B$1:$B$71,),FALSE),0)/IF(LEN($G$6)&gt;4,10000,1)</f>
        <v>4.3799999999999999E-2</v>
      </c>
      <c r="C116" s="112">
        <f>ROUND(HLOOKUP($C$3,pl!$C$1:$V$71,MATCH("*"&amp;A116&amp;"*",pl!$B$1:$B$71,),FALSE),0)/IF(LEN($G$6)&gt;4,10000,1)</f>
        <v>2.0005000000000002</v>
      </c>
      <c r="D116" s="112">
        <f>ROUND(HLOOKUP($D$3,pl!$C$1:$V$71,MATCH("*"&amp;A116&amp;"*",pl!$B$1:$B$71,),FALSE),0)/IF(LEN($G$6)&gt;4,10000,1)</f>
        <v>-1.4710000000000001</v>
      </c>
      <c r="E116" s="112">
        <f>ROUND(HLOOKUP($E$3,pl!$C$1:$V$71,MATCH("*"&amp;A116&amp;"*",pl!$B$1:$B$71,),FALSE),0)/IF(LEN($G$6)&gt;4,10000,1)</f>
        <v>-5.4786999999999999</v>
      </c>
      <c r="H116" s="113">
        <f t="shared" si="1"/>
        <v>-4.9054000000000002</v>
      </c>
    </row>
    <row r="117" spans="1:8" ht="14.25">
      <c r="A117" s="111" t="s">
        <v>639</v>
      </c>
      <c r="B117" s="112">
        <f>ROUND(HLOOKUP($B$3,pl!$C$1:$V$71,MATCH("*"&amp;A117&amp;"*",pl!$B$1:$B$71,),FALSE),0)/IF(LEN($G$6)&gt;4,10000,1)</f>
        <v>0</v>
      </c>
      <c r="C117" s="112">
        <f>ROUND(HLOOKUP($C$3,pl!$C$1:$V$71,MATCH("*"&amp;A117&amp;"*",pl!$B$1:$B$71,),FALSE),0)/IF(LEN($G$6)&gt;4,10000,1)</f>
        <v>2500</v>
      </c>
      <c r="D117" s="112">
        <f>ROUND(HLOOKUP($D$3,pl!$C$1:$V$71,MATCH("*"&amp;A117&amp;"*",pl!$B$1:$B$71,),FALSE),0)/IF(LEN($G$6)&gt;4,10000,1)</f>
        <v>0</v>
      </c>
      <c r="E117" s="112">
        <f>ROUND(HLOOKUP($E$3,pl!$C$1:$V$71,MATCH("*"&amp;A117&amp;"*",pl!$B$1:$B$71,),FALSE),0)/IF(LEN($G$6)&gt;4,10000,1)</f>
        <v>0</v>
      </c>
      <c r="H117" s="113">
        <f t="shared" si="1"/>
        <v>2500</v>
      </c>
    </row>
    <row r="118" spans="1:8" ht="14.25" hidden="1">
      <c r="A118" s="111" t="s">
        <v>640</v>
      </c>
      <c r="B118" s="112">
        <f>ROUND(HLOOKUP($B$3,pl!$C$1:$V$71,MATCH("*"&amp;A118&amp;"*",pl!$B$1:$B$71,),FALSE),0)/IF(LEN($G$6)&gt;4,10000,1)</f>
        <v>0</v>
      </c>
      <c r="C118" s="112">
        <f>ROUND(HLOOKUP($C$3,pl!$C$1:$V$71,MATCH("*"&amp;A118&amp;"*",pl!$B$1:$B$71,),FALSE),0)/IF(LEN($G$6)&gt;4,10000,1)</f>
        <v>0</v>
      </c>
      <c r="D118" s="112">
        <f>ROUND(HLOOKUP($D$3,pl!$C$1:$V$71,MATCH("*"&amp;A118&amp;"*",pl!$B$1:$B$71,),FALSE),0)/IF(LEN($G$6)&gt;4,10000,1)</f>
        <v>0</v>
      </c>
      <c r="E118" s="112">
        <f>ROUND(HLOOKUP($E$3,pl!$C$1:$V$71,MATCH("*"&amp;A118&amp;"*",pl!$B$1:$B$71,),FALSE),0)/IF(LEN($G$6)&gt;4,10000,1)</f>
        <v>0</v>
      </c>
      <c r="H118" s="113">
        <f t="shared" si="1"/>
        <v>0</v>
      </c>
    </row>
    <row r="119" spans="1:8" ht="14.25">
      <c r="A119" s="114" t="s">
        <v>170</v>
      </c>
      <c r="B119" s="112">
        <f>ROUND(HLOOKUP($B$3,pl!$C$1:$V$71,MATCH("*"&amp;A119&amp;"*",pl!$B$1:$B$71,),FALSE),0)/IF(LEN($G$6)&gt;4,10000,1)</f>
        <v>-577.14170000000001</v>
      </c>
      <c r="C119" s="112">
        <f>ROUND(HLOOKUP($C$3,pl!$C$1:$V$71,MATCH("*"&amp;A119&amp;"*",pl!$B$1:$B$71,),FALSE),0)/IF(LEN($G$6)&gt;4,10000,1)</f>
        <v>2026.8445999999999</v>
      </c>
      <c r="D119" s="112">
        <f>ROUND(HLOOKUP($D$3,pl!$C$1:$V$71,MATCH("*"&amp;A119&amp;"*",pl!$B$1:$B$71,),FALSE),0)/IF(LEN($G$6)&gt;4,10000,1)</f>
        <v>-145.6891</v>
      </c>
      <c r="E119" s="112">
        <f>ROUND(HLOOKUP($E$3,pl!$C$1:$V$71,MATCH("*"&amp;A119&amp;"*",pl!$B$1:$B$71,),FALSE),0)/IF(LEN($G$6)&gt;4,10000,1)</f>
        <v>-1.4605999999999999</v>
      </c>
      <c r="H119" s="113">
        <f t="shared" si="1"/>
        <v>1302.5531999999996</v>
      </c>
    </row>
    <row r="120" spans="1:8" ht="14.25">
      <c r="A120" s="114" t="s">
        <v>176</v>
      </c>
      <c r="B120" s="112">
        <f>ROUND(HLOOKUP($B$3,pl!$C$1:$V$71,MATCH("*"&amp;A120&amp;"*",pl!$B$1:$B$71,),FALSE),0)/IF(LEN($G$6)&gt;4,10000,1)</f>
        <v>-577.12670000000003</v>
      </c>
      <c r="C120" s="112">
        <f>ROUND(HLOOKUP($C$3,pl!$C$1:$V$71,MATCH("*"&amp;A120&amp;"*",pl!$B$1:$B$71,),FALSE),0)/IF(LEN($G$6)&gt;4,10000,1)</f>
        <v>2026.8635999999999</v>
      </c>
      <c r="D120" s="112">
        <f>ROUND(HLOOKUP($D$3,pl!$C$1:$V$71,MATCH("*"&amp;A120&amp;"*",pl!$B$1:$B$71,),FALSE),0)/IF(LEN($G$6)&gt;4,10000,1)</f>
        <v>-145.6891</v>
      </c>
      <c r="E120" s="112">
        <f>ROUND(HLOOKUP($E$3,pl!$C$1:$V$71,MATCH("*"&amp;A120&amp;"*",pl!$B$1:$B$71,),FALSE),0)/IF(LEN($G$6)&gt;4,10000,1)</f>
        <v>-1.4605999999999999</v>
      </c>
      <c r="H120" s="113">
        <f t="shared" si="1"/>
        <v>1302.5871999999997</v>
      </c>
    </row>
    <row r="121" spans="1:8" ht="14.25" hidden="1">
      <c r="A121" s="111" t="s">
        <v>641</v>
      </c>
      <c r="B121" s="112">
        <f>ROUND(HLOOKUP($B$3,pl!$C$1:$V$71,MATCH("*"&amp;A121&amp;"*",pl!$B$1:$B$71,),FALSE),0)/IF(LEN($G$6)&gt;4,10000,1)</f>
        <v>0</v>
      </c>
      <c r="C121" s="112">
        <f>ROUND(HLOOKUP($C$3,pl!$C$1:$V$71,MATCH("*"&amp;A121&amp;"*",pl!$B$1:$B$71,),FALSE),0)/IF(LEN($G$6)&gt;4,10000,1)</f>
        <v>0</v>
      </c>
      <c r="D121" s="112">
        <f>ROUND(HLOOKUP($D$3,pl!$C$1:$V$71,MATCH("*"&amp;A121&amp;"*",pl!$B$1:$B$71,),FALSE),0)/IF(LEN($G$6)&gt;4,10000,1)</f>
        <v>0</v>
      </c>
      <c r="E121" s="112">
        <f>ROUND(HLOOKUP($E$3,pl!$C$1:$V$71,MATCH("*"&amp;A121&amp;"*",pl!$B$1:$B$71,),FALSE),0)/IF(LEN($G$6)&gt;4,10000,1)</f>
        <v>0</v>
      </c>
      <c r="H121" s="113">
        <f t="shared" si="1"/>
        <v>0</v>
      </c>
    </row>
    <row r="122" spans="1:8" ht="14.25">
      <c r="A122" s="114" t="s">
        <v>181</v>
      </c>
      <c r="B122" s="112">
        <f>ROUND(HLOOKUP($B$3,pl!$C$1:$V$71,MATCH("*"&amp;A122&amp;"*",pl!$B$1:$B$71,),FALSE),0)/IF(LEN($G$6)&gt;4,10000,1)</f>
        <v>-577.12670000000003</v>
      </c>
      <c r="C122" s="112">
        <f>ROUND(HLOOKUP($C$3,pl!$C$1:$V$71,MATCH("*"&amp;A122&amp;"*",pl!$B$1:$B$71,),FALSE),0)/IF(LEN($G$6)&gt;4,10000,1)</f>
        <v>2026.8635999999999</v>
      </c>
      <c r="D122" s="112">
        <f>ROUND(HLOOKUP($D$3,pl!$C$1:$V$71,MATCH("*"&amp;A122&amp;"*",pl!$B$1:$B$71,),FALSE),0)/IF(LEN($G$6)&gt;4,10000,1)</f>
        <v>-145.6891</v>
      </c>
      <c r="E122" s="112">
        <f>ROUND(HLOOKUP($E$3,pl!$C$1:$V$71,MATCH("*"&amp;A122&amp;"*",pl!$B$1:$B$71,),FALSE),0)/IF(LEN($G$6)&gt;4,10000,1)</f>
        <v>-1.4605999999999999</v>
      </c>
      <c r="H122" s="113">
        <f t="shared" si="1"/>
        <v>1302.5871999999997</v>
      </c>
    </row>
    <row r="123" spans="1:8" ht="44.25" hidden="1" customHeight="1">
      <c r="A123" s="114" t="s">
        <v>642</v>
      </c>
      <c r="B123" s="162"/>
      <c r="C123" s="162"/>
      <c r="D123" s="162"/>
      <c r="E123" s="162"/>
      <c r="H123" s="113">
        <f t="shared" si="1"/>
        <v>0</v>
      </c>
    </row>
    <row r="124" spans="1:8" ht="15.75" customHeight="1">
      <c r="A124" s="158" t="s">
        <v>643</v>
      </c>
      <c r="B124" s="158"/>
      <c r="C124" s="158"/>
      <c r="D124" s="158"/>
      <c r="E124" s="158"/>
      <c r="H124" s="113"/>
    </row>
    <row r="125" spans="1:8" ht="28.5">
      <c r="A125" s="114" t="s">
        <v>644</v>
      </c>
      <c r="B125" s="112">
        <f>ROUND(HLOOKUP($B$3,cf!$C$1:$Z$68,MATCH("*"&amp;A125&amp;"*",cf!$B$1:$B$68,),FALSE),0)/IF(LEN($G$6)&gt;4,10000,1)</f>
        <v>274</v>
      </c>
      <c r="C125" s="112">
        <f>ROUND(HLOOKUP($C$3,cf!$C$1:$Z$68,MATCH("*"&amp;A125&amp;"*",cf!$B$1:$B$68,),FALSE),0)/IF(LEN($G$6)&gt;4,10000,1)</f>
        <v>7</v>
      </c>
      <c r="D125" s="112">
        <f>ROUND(HLOOKUP($D$3,cf!$C$1:$Z$68,MATCH("*"&amp;A125&amp;"*",cf!$B$1:$B$68,),FALSE),0)/IF(LEN($G$6)&gt;4,10000,1)</f>
        <v>0</v>
      </c>
      <c r="E125" s="112">
        <f>ROUND(HLOOKUP($E$3,cf!$C$1:$Z$68,MATCH("*"&amp;A125&amp;"*",cf!$B$1:$B$68,),FALSE),0)/IF(LEN($G$6)&gt;4,10000,1)</f>
        <v>0</v>
      </c>
      <c r="F125">
        <f>MATCH("*"&amp;A125&amp;"*",cf!$B$1:$B$68,)</f>
        <v>3</v>
      </c>
      <c r="G125">
        <f>HLOOKUP($B$3,cf!$C$1:$Z$68,F125,FALSE)</f>
        <v>2740000</v>
      </c>
      <c r="H125" s="113">
        <f t="shared" si="1"/>
        <v>281</v>
      </c>
    </row>
    <row r="126" spans="1:8" ht="14.25">
      <c r="A126" s="111" t="s">
        <v>645</v>
      </c>
      <c r="B126" s="112">
        <f>ROUND(HLOOKUP($B$3,cf!$C$1:$Z$68,MATCH("*"&amp;A126&amp;"*",cf!$B$1:$B$68,),FALSE),0)/IF(LEN($G$6)&gt;4,10000,1)</f>
        <v>802.67669999999998</v>
      </c>
      <c r="C126" s="112">
        <f>ROUND(HLOOKUP($C$3,cf!$C$1:$Z$68,MATCH("*"&amp;A126&amp;"*",cf!$B$1:$B$68,),FALSE),0)/IF(LEN($G$6)&gt;4,10000,1)</f>
        <v>23346.308000000001</v>
      </c>
      <c r="D126" s="112">
        <f>ROUND(HLOOKUP($D$3,cf!$C$1:$Z$68,MATCH("*"&amp;A126&amp;"*",cf!$B$1:$B$68,),FALSE),0)/IF(LEN($G$6)&gt;4,10000,1)</f>
        <v>29487.016299999999</v>
      </c>
      <c r="E126" s="112">
        <f>ROUND(HLOOKUP($E$3,cf!$C$1:$Z$68,MATCH("*"&amp;A126&amp;"*",cf!$B$1:$B$68,),FALSE),0)/IF(LEN($G$6)&gt;4,10000,1)</f>
        <v>7515.0568000000003</v>
      </c>
      <c r="H126" s="113">
        <f t="shared" si="1"/>
        <v>61151.057800000002</v>
      </c>
    </row>
    <row r="127" spans="1:8" ht="14.25">
      <c r="A127" s="111" t="s">
        <v>646</v>
      </c>
      <c r="B127" s="112">
        <f>ROUND(HLOOKUP($B$3,cf!$C$1:$Z$68,MATCH("*"&amp;A127&amp;"*",cf!$B$1:$B$68,),FALSE),0)/IF(LEN($G$6)&gt;4,10000,1)</f>
        <v>825.30089999999996</v>
      </c>
      <c r="C127" s="112">
        <f>ROUND(HLOOKUP($C$3,cf!$C$1:$Z$68,MATCH("*"&amp;A127&amp;"*",cf!$B$1:$B$68,),FALSE),0)/IF(LEN($G$6)&gt;4,10000,1)</f>
        <v>3678.8996000000002</v>
      </c>
      <c r="D127" s="112">
        <f>ROUND(HLOOKUP($D$3,cf!$C$1:$Z$68,MATCH("*"&amp;A127&amp;"*",cf!$B$1:$B$68,),FALSE),0)/IF(LEN($G$6)&gt;4,10000,1)</f>
        <v>37768.325199999999</v>
      </c>
      <c r="E127" s="112">
        <f>ROUND(HLOOKUP($E$3,cf!$C$1:$Z$68,MATCH("*"&amp;A127&amp;"*",cf!$B$1:$B$68,),FALSE),0)/IF(LEN($G$6)&gt;4,10000,1)</f>
        <v>6.3399000000000001</v>
      </c>
      <c r="H127" s="113">
        <f t="shared" si="1"/>
        <v>42278.865599999997</v>
      </c>
    </row>
    <row r="128" spans="1:8" ht="28.5">
      <c r="A128" s="114" t="s">
        <v>496</v>
      </c>
      <c r="B128" s="112">
        <f>ROUND(HLOOKUP($B$3,cf!$C$1:$Z$68,MATCH("*"&amp;A128&amp;"*",cf!$B$1:$B$68,),FALSE),0)/IF(LEN($G$6)&gt;4,10000,1)</f>
        <v>-22.624199999999998</v>
      </c>
      <c r="C128" s="112">
        <f>ROUND(HLOOKUP($C$3,cf!$C$1:$Z$68,MATCH("*"&amp;A128&amp;"*",cf!$B$1:$B$68,),FALSE),0)/IF(LEN($G$6)&gt;4,10000,1)</f>
        <v>19667.4084</v>
      </c>
      <c r="D128" s="112">
        <f>ROUND(HLOOKUP($D$3,cf!$C$1:$Z$68,MATCH("*"&amp;A128&amp;"*",cf!$B$1:$B$68,),FALSE),0)/IF(LEN($G$6)&gt;4,10000,1)</f>
        <v>-8281.3089</v>
      </c>
      <c r="E128" s="112">
        <f>ROUND(HLOOKUP($E$3,cf!$C$1:$Z$68,MATCH("*"&amp;A128&amp;"*",cf!$B$1:$B$68,),FALSE),0)/IF(LEN($G$6)&gt;4,10000,1)</f>
        <v>7508.7169000000004</v>
      </c>
      <c r="H128" s="113">
        <f t="shared" si="1"/>
        <v>18872.192200000001</v>
      </c>
    </row>
    <row r="129" spans="1:8" ht="14.25" hidden="1">
      <c r="A129" s="111" t="s">
        <v>647</v>
      </c>
      <c r="B129" s="112">
        <f>ROUND(HLOOKUP($B$3,cf!$C$1:$Z$68,MATCH("*"&amp;A129&amp;"*",cf!$B$1:$B$68,),FALSE),0)/IF(LEN($G$6)&gt;4,10000,1)</f>
        <v>0</v>
      </c>
      <c r="C129" s="112">
        <f>ROUND(HLOOKUP($C$3,cf!$C$1:$Z$68,MATCH("*"&amp;A129&amp;"*",cf!$B$1:$B$68,),FALSE),0)/IF(LEN($G$6)&gt;4,10000,1)</f>
        <v>0</v>
      </c>
      <c r="D129" s="112">
        <f>ROUND(HLOOKUP($D$3,cf!$C$1:$Z$68,MATCH("*"&amp;A129&amp;"*",cf!$B$1:$B$68,),FALSE),0)/IF(LEN($G$6)&gt;4,10000,1)</f>
        <v>0</v>
      </c>
      <c r="E129" s="112">
        <f>ROUND(HLOOKUP($E$3,cf!$C$1:$Z$68,MATCH("*"&amp;A129&amp;"*",cf!$B$1:$B$68,),FALSE),0)/IF(LEN($G$6)&gt;4,10000,1)</f>
        <v>0</v>
      </c>
      <c r="H129" s="113">
        <f t="shared" si="1"/>
        <v>0</v>
      </c>
    </row>
    <row r="130" spans="1:8" ht="14.25">
      <c r="A130" s="111" t="s">
        <v>648</v>
      </c>
      <c r="B130" s="112">
        <f>ROUND(HLOOKUP($B$3,cf!$C$1:$Z$68,MATCH("*"&amp;A130&amp;"*",cf!$B$1:$B$68,),FALSE),0)/IF(LEN($G$6)&gt;4,10000,1)</f>
        <v>1</v>
      </c>
      <c r="C130" s="112">
        <f>ROUND(HLOOKUP($C$3,cf!$C$1:$Z$68,MATCH("*"&amp;A130&amp;"*",cf!$B$1:$B$68,),FALSE),0)/IF(LEN($G$6)&gt;4,10000,1)</f>
        <v>3809.6595000000002</v>
      </c>
      <c r="D130" s="112">
        <f>ROUND(HLOOKUP($D$3,cf!$C$1:$Z$68,MATCH("*"&amp;A130&amp;"*",cf!$B$1:$B$68,),FALSE),0)/IF(LEN($G$6)&gt;4,10000,1)</f>
        <v>28969.481100000001</v>
      </c>
      <c r="E130" s="112">
        <f>ROUND(HLOOKUP($E$3,cf!$C$1:$Z$68,MATCH("*"&amp;A130&amp;"*",cf!$B$1:$B$68,),FALSE),0)/IF(LEN($G$6)&gt;4,10000,1)</f>
        <v>17047.3691</v>
      </c>
      <c r="H130" s="113">
        <f t="shared" si="1"/>
        <v>49827.509699999995</v>
      </c>
    </row>
    <row r="131" spans="1:8" ht="28.5">
      <c r="A131" s="114" t="s">
        <v>510</v>
      </c>
      <c r="B131" s="112">
        <f>ROUND(HLOOKUP($B$3,cf!$C$1:$Z$68,MATCH("*"&amp;A131&amp;"*",cf!$B$1:$B$68,),FALSE),0)/IF(LEN($G$6)&gt;4,10000,1)</f>
        <v>-1</v>
      </c>
      <c r="C131" s="112">
        <f>ROUND(HLOOKUP($C$3,cf!$C$1:$Z$68,MATCH("*"&amp;A131&amp;"*",cf!$B$1:$B$68,),FALSE),0)/IF(LEN($G$6)&gt;4,10000,1)</f>
        <v>-3809.6595000000002</v>
      </c>
      <c r="D131" s="112">
        <f>ROUND(HLOOKUP($D$3,cf!$C$1:$Z$68,MATCH("*"&amp;A131&amp;"*",cf!$B$1:$B$68,),FALSE),0)/IF(LEN($G$6)&gt;4,10000,1)</f>
        <v>-28969.481100000001</v>
      </c>
      <c r="E131" s="112">
        <f>ROUND(HLOOKUP($E$3,cf!$C$1:$Z$68,MATCH("*"&amp;A131&amp;"*",cf!$B$1:$B$68,),FALSE),0)/IF(LEN($G$6)&gt;4,10000,1)</f>
        <v>-17047.3691</v>
      </c>
      <c r="H131" s="113">
        <f t="shared" si="1"/>
        <v>-49827.509699999995</v>
      </c>
    </row>
    <row r="132" spans="1:8" ht="14.25">
      <c r="A132" s="111" t="s">
        <v>649</v>
      </c>
      <c r="B132" s="112">
        <f>ROUND(HLOOKUP($B$3,cf!$C$1:$Z$68,MATCH("*"&amp;A132&amp;"*",cf!$B$1:$B$68,),FALSE),0)/IF(LEN($G$6)&gt;4,10000,1)</f>
        <v>0</v>
      </c>
      <c r="C132" s="112">
        <f>ROUND(HLOOKUP($C$3,cf!$C$1:$Z$68,MATCH("*"&amp;A132&amp;"*",cf!$B$1:$B$68,),FALSE),0)/IF(LEN($G$6)&gt;4,10000,1)</f>
        <v>1500.5838000000001</v>
      </c>
      <c r="D132" s="112">
        <f>ROUND(HLOOKUP($D$3,cf!$C$1:$Z$68,MATCH("*"&amp;A132&amp;"*",cf!$B$1:$B$68,),FALSE),0)/IF(LEN($G$6)&gt;4,10000,1)</f>
        <v>36796.622799999997</v>
      </c>
      <c r="E132" s="112">
        <f>ROUND(HLOOKUP($E$3,cf!$C$1:$Z$68,MATCH("*"&amp;A132&amp;"*",cf!$B$1:$B$68,),FALSE),0)/IF(LEN($G$6)&gt;4,10000,1)</f>
        <v>10000</v>
      </c>
      <c r="H132" s="113">
        <f t="shared" si="1"/>
        <v>48297.206599999998</v>
      </c>
    </row>
    <row r="133" spans="1:8" ht="14.25">
      <c r="A133" s="111" t="s">
        <v>650</v>
      </c>
      <c r="B133" s="112">
        <f>ROUND(HLOOKUP($B$3,cf!$C$1:$Z$68,MATCH("*"&amp;A133&amp;"*",cf!$B$1:$B$68,),FALSE),0)/IF(LEN($G$6)&gt;4,10000,1)</f>
        <v>0</v>
      </c>
      <c r="C133" s="112">
        <f>ROUND(HLOOKUP($C$3,cf!$C$1:$Z$68,MATCH("*"&amp;A133&amp;"*",cf!$B$1:$B$68,),FALSE),0)/IF(LEN($G$6)&gt;4,10000,1)</f>
        <v>16727.367200000001</v>
      </c>
      <c r="D133" s="112">
        <f>ROUND(HLOOKUP($D$3,cf!$C$1:$Z$68,MATCH("*"&amp;A133&amp;"*",cf!$B$1:$B$68,),FALSE),0)/IF(LEN($G$6)&gt;4,10000,1)</f>
        <v>0</v>
      </c>
      <c r="E133" s="112">
        <f>ROUND(HLOOKUP($E$3,cf!$C$1:$Z$68,MATCH("*"&amp;A133&amp;"*",cf!$B$1:$B$68,),FALSE),0)/IF(LEN($G$6)&gt;4,10000,1)</f>
        <v>0</v>
      </c>
      <c r="H133" s="113">
        <f t="shared" si="1"/>
        <v>16727.367200000001</v>
      </c>
    </row>
    <row r="134" spans="1:8" ht="28.5">
      <c r="A134" s="114" t="s">
        <v>651</v>
      </c>
      <c r="B134" s="112">
        <f>ROUND(HLOOKUP($B$3,cf!$C$1:$Z$68,MATCH("*"&amp;A134&amp;"*",cf!$B$1:$B$68,),FALSE),0)/IF(LEN($G$6)&gt;4,10000,1)</f>
        <v>0</v>
      </c>
      <c r="C134" s="112">
        <f>ROUND(HLOOKUP($C$3,cf!$C$1:$Z$68,MATCH("*"&amp;A134&amp;"*",cf!$B$1:$B$68,),FALSE),0)/IF(LEN($G$6)&gt;4,10000,1)</f>
        <v>-15226.7834</v>
      </c>
      <c r="D134" s="112">
        <f>ROUND(HLOOKUP($D$3,cf!$C$1:$Z$68,MATCH("*"&amp;A134&amp;"*",cf!$B$1:$B$68,),FALSE),0)/IF(LEN($G$6)&gt;4,10000,1)</f>
        <v>36796.622799999997</v>
      </c>
      <c r="E134" s="112">
        <f>ROUND(HLOOKUP($E$3,cf!$C$1:$Z$68,MATCH("*"&amp;A134&amp;"*",cf!$B$1:$B$68,),FALSE),0)/IF(LEN($G$6)&gt;4,10000,1)</f>
        <v>10000</v>
      </c>
      <c r="H134" s="113">
        <f t="shared" si="1"/>
        <v>31569.839399999997</v>
      </c>
    </row>
    <row r="135" spans="1:8" ht="28.5">
      <c r="A135" s="114" t="s">
        <v>252</v>
      </c>
      <c r="B135" s="112">
        <f>ROUND(HLOOKUP($B$3,cf!$C$1:$Z$68,MATCH("*"&amp;A135&amp;"*",cf!$B$1:$B$68,),FALSE),0)/IF(LEN($G$6)&gt;4,10000,1)</f>
        <v>-23.624199999999998</v>
      </c>
      <c r="C135" s="112">
        <f>ROUND(HLOOKUP($C$3,cf!$C$1:$Z$68,MATCH("*"&amp;A135&amp;"*",cf!$B$1:$B$68,),FALSE),0)/IF(LEN($G$6)&gt;4,10000,1)</f>
        <v>630.96550000000002</v>
      </c>
      <c r="D135" s="112">
        <f>ROUND(HLOOKUP($D$3,cf!$C$1:$Z$68,MATCH("*"&amp;A135&amp;"*",cf!$B$1:$B$68,),FALSE),0)/IF(LEN($G$6)&gt;4,10000,1)</f>
        <v>-454.16730000000001</v>
      </c>
      <c r="E135" s="112">
        <f>ROUND(HLOOKUP($E$3,cf!$C$1:$Z$68,MATCH("*"&amp;A135&amp;"*",cf!$B$1:$B$68,),FALSE),0)/IF(LEN($G$6)&gt;4,10000,1)</f>
        <v>461.34780000000001</v>
      </c>
      <c r="H135" s="113">
        <f t="shared" ref="H135:H163" si="2">B135+C135+D135+E135</f>
        <v>614.52179999999998</v>
      </c>
    </row>
    <row r="136" spans="1:8" ht="44.25" hidden="1" customHeight="1">
      <c r="A136" s="114" t="s">
        <v>652</v>
      </c>
      <c r="B136" s="159"/>
      <c r="C136" s="159"/>
      <c r="D136" s="159"/>
      <c r="E136" s="159"/>
      <c r="H136" s="113">
        <f t="shared" si="2"/>
        <v>0</v>
      </c>
    </row>
    <row r="137" spans="1:8" ht="15.75" customHeight="1">
      <c r="A137" s="156" t="s">
        <v>653</v>
      </c>
      <c r="B137" s="156"/>
      <c r="C137" s="156"/>
      <c r="D137" s="156"/>
      <c r="E137" s="156"/>
      <c r="H137" s="113"/>
    </row>
    <row r="138" spans="1:8" ht="14.25">
      <c r="A138" s="116" t="s">
        <v>654</v>
      </c>
      <c r="B138" s="117">
        <f>B27/B79</f>
        <v>0.68541945434494678</v>
      </c>
      <c r="C138" s="117">
        <f>C27/C79</f>
        <v>0.23796112513727302</v>
      </c>
      <c r="D138" s="117">
        <f>D27/D79</f>
        <v>246.27802351775659</v>
      </c>
      <c r="E138" s="117">
        <f>E27/E79</f>
        <v>1.8890034756169212</v>
      </c>
      <c r="G138" t="str">
        <f>CONCATENATE("从短期偿债能力指标看，近三年及一期，拟承租人",A138,"分别为",ROUND(E138,2),"、",ROUND(D138,2),"、",ROUND(C138,2),"和",ROUND(B138,2),"。")</f>
        <v>从短期偿债能力指标看，近三年及一期，拟承租人流动比率分别为1.89、246.28、0.24和0.69。</v>
      </c>
      <c r="H138" s="113">
        <f t="shared" si="2"/>
        <v>249.09040757285575</v>
      </c>
    </row>
    <row r="139" spans="1:8" ht="14.25">
      <c r="A139" s="116" t="s">
        <v>655</v>
      </c>
      <c r="B139" s="118">
        <f>(B27-B22)/B79</f>
        <v>0.66516431960190736</v>
      </c>
      <c r="C139" s="118">
        <f>(C27-C22)/C79</f>
        <v>0.20979130867424639</v>
      </c>
      <c r="D139" s="118">
        <f t="shared" ref="D139:E139" si="3">(D27-D22)/D79</f>
        <v>246.27802351775659</v>
      </c>
      <c r="E139" s="118">
        <f t="shared" si="3"/>
        <v>1.8890034756169212</v>
      </c>
      <c r="G139" t="str">
        <f>CONCATENATE("从短期偿债能力指标看，近三年及一期，拟承租人",A139,"分别为",ROUND(E139,2),"、",ROUND(D139,2),"、",ROUND(C139,2),"和",ROUND(B139,2),"。")</f>
        <v>从短期偿债能力指标看，近三年及一期，拟承租人速动比率分别为1.89、246.28、0.21和0.67。</v>
      </c>
      <c r="H139" s="113">
        <f t="shared" si="2"/>
        <v>249.04198262164968</v>
      </c>
    </row>
    <row r="140" spans="1:8" ht="14.25">
      <c r="A140" s="116" t="s">
        <v>656</v>
      </c>
      <c r="B140" s="119">
        <f>B94/B55</f>
        <v>0.89119545745651463</v>
      </c>
      <c r="C140" s="119">
        <f>C94/C55</f>
        <v>0.80477707989070379</v>
      </c>
      <c r="D140" s="119">
        <f>D94/D55</f>
        <v>0.78943846711371135</v>
      </c>
      <c r="E140" s="119">
        <f>E94/E55</f>
        <v>0.42893934163730751</v>
      </c>
      <c r="G140" t="str">
        <f>CONCATENATE("近三年及一期，拟承租人",A140,"分别为",TEXT(E140,"0.00%"),"、",TEXT(D140,"0.00%"),"、",TEXT(C140,"0.00%"),"和",TEXT(B140,"0.00%"),"。")</f>
        <v>近三年及一期，拟承租人资产负债率(%)分别为42.89%、78.94%、80.48%和89.12%。</v>
      </c>
      <c r="H140" s="113">
        <f t="shared" si="2"/>
        <v>2.9143503460982374</v>
      </c>
    </row>
    <row r="141" spans="1:8" ht="14.25" hidden="1">
      <c r="A141" s="116" t="s">
        <v>657</v>
      </c>
      <c r="B141" s="120"/>
      <c r="C141" s="120"/>
      <c r="D141" s="120"/>
      <c r="E141" s="120"/>
      <c r="G141" t="str">
        <f>CONCATENATE("近三年及一期，拟承租人",A141,"分别为",TEXT(E141,"0.00%"),"、",TEXT(D141,"0.00%"),"、",TEXT(C141,"0.00%"),"和",TEXT(B141,"0.00%"),"。")</f>
        <v>近三年及一期，拟承租人调整后的资产负债率（%）分别为0.00%、0.00%、0.00%和0.00%。</v>
      </c>
      <c r="H141" s="113">
        <f t="shared" si="2"/>
        <v>0</v>
      </c>
    </row>
    <row r="142" spans="1:8" ht="14.25">
      <c r="A142" s="116" t="s">
        <v>658</v>
      </c>
      <c r="B142" s="119">
        <f>B79/B94</f>
        <v>0.70173970136108199</v>
      </c>
      <c r="C142" s="119">
        <f>C79/C94</f>
        <v>0.52227704660413243</v>
      </c>
      <c r="D142" s="119">
        <f>D79/D94</f>
        <v>3.8910881244501108E-3</v>
      </c>
      <c r="E142" s="119">
        <f>E79/E94</f>
        <v>1</v>
      </c>
      <c r="G142" t="str">
        <f>CONCATENATE("近三年及一期，拟承租人",A142,"分别为",TEXT(E142,"0.00%"),"、",TEXT(D142,"0.00%"),"、",TEXT(C142,"0.00%"),"和",TEXT(B142,"0.00%"),"。")</f>
        <v>近三年及一期，拟承租人流动负债率(%)分别为100.00%、0.39%、52.23%和70.17%。</v>
      </c>
      <c r="H142" s="113">
        <f t="shared" si="2"/>
        <v>2.2279078360896643</v>
      </c>
    </row>
    <row r="143" spans="1:8" ht="15.75" customHeight="1">
      <c r="A143" s="156" t="s">
        <v>659</v>
      </c>
      <c r="B143" s="156"/>
      <c r="C143" s="156"/>
      <c r="D143" s="156"/>
      <c r="E143" s="156"/>
      <c r="H143" s="113"/>
    </row>
    <row r="144" spans="1:8" ht="14.25">
      <c r="A144" s="116" t="s">
        <v>660</v>
      </c>
      <c r="B144" s="121">
        <f>0+(B111/(B22+C22)*2)</f>
        <v>0.84075594711832635</v>
      </c>
      <c r="C144" s="121">
        <f>C111/(C22+D22)*2</f>
        <v>3.3159086521372783</v>
      </c>
      <c r="D144" s="121" t="e">
        <f>0+(D111/(D22+E22)*2)</f>
        <v>#DIV/0!</v>
      </c>
      <c r="E144" s="121" t="e">
        <f>E111/E22</f>
        <v>#DIV/0!</v>
      </c>
      <c r="H144" s="113" t="e">
        <f t="shared" si="2"/>
        <v>#DIV/0!</v>
      </c>
    </row>
    <row r="145" spans="1:8" ht="14.25">
      <c r="A145" s="116" t="s">
        <v>661</v>
      </c>
      <c r="B145" s="118">
        <f>0+(B110/(B55+C55)*2)</f>
        <v>3.4938876398731954E-3</v>
      </c>
      <c r="C145" s="118">
        <f>C110/(C55+D55)*2</f>
        <v>1.7187469892426154E-2</v>
      </c>
      <c r="D145" s="118">
        <f>D110/(D55+E55)*2</f>
        <v>0</v>
      </c>
      <c r="E145" s="118">
        <f>E110/E55</f>
        <v>0</v>
      </c>
      <c r="H145" s="113">
        <f t="shared" si="2"/>
        <v>2.0681357532299348E-2</v>
      </c>
    </row>
    <row r="146" spans="1:8" ht="14.25">
      <c r="A146" s="116" t="s">
        <v>662</v>
      </c>
      <c r="B146" s="118">
        <f>0+(B110/(B12+C12)*2)</f>
        <v>0.51695417059280102</v>
      </c>
      <c r="C146" s="118">
        <f>C110/(C12+D12)*2</f>
        <v>1.8476894015618204</v>
      </c>
      <c r="D146" s="118" t="e">
        <f>D110/(D12+E12)*2</f>
        <v>#DIV/0!</v>
      </c>
      <c r="E146" s="118" t="e">
        <f>E110/E12</f>
        <v>#DIV/0!</v>
      </c>
      <c r="H146" s="113" t="e">
        <f t="shared" si="2"/>
        <v>#DIV/0!</v>
      </c>
    </row>
    <row r="147" spans="1:8" ht="14.25">
      <c r="A147" s="116" t="s">
        <v>663</v>
      </c>
      <c r="B147" s="119">
        <f>0+(B111/B110)</f>
        <v>2.9700768796401715</v>
      </c>
      <c r="C147" s="119">
        <f>C111/C110</f>
        <v>1.2913127673567586</v>
      </c>
      <c r="D147" s="119" t="e">
        <f>D111/D110</f>
        <v>#DIV/0!</v>
      </c>
      <c r="E147" s="119" t="e">
        <f>E111/E110</f>
        <v>#DIV/0!</v>
      </c>
      <c r="H147" s="113" t="e">
        <f t="shared" si="2"/>
        <v>#DIV/0!</v>
      </c>
    </row>
    <row r="148" spans="1:8" ht="14.25">
      <c r="A148" s="116" t="s">
        <v>664</v>
      </c>
      <c r="B148" s="119">
        <f>0+(B113/B110)</f>
        <v>5.8631943477565592E-3</v>
      </c>
      <c r="C148" s="119">
        <f>C113/C110</f>
        <v>2.6981601920190671E-3</v>
      </c>
      <c r="D148" s="119" t="e">
        <f>D113/D110</f>
        <v>#DIV/0!</v>
      </c>
      <c r="E148" s="119" t="e">
        <f>E113/E110</f>
        <v>#DIV/0!</v>
      </c>
      <c r="H148" s="113" t="e">
        <f t="shared" si="2"/>
        <v>#DIV/0!</v>
      </c>
    </row>
    <row r="149" spans="1:8" ht="14.25">
      <c r="A149" s="116" t="s">
        <v>665</v>
      </c>
      <c r="B149" s="119">
        <f>0+(B114/B110)</f>
        <v>0.1545093526370156</v>
      </c>
      <c r="C149" s="119">
        <f>C114/C110</f>
        <v>9.7780633522824331E-2</v>
      </c>
      <c r="D149" s="119" t="e">
        <f>D114/D110</f>
        <v>#DIV/0!</v>
      </c>
      <c r="E149" s="119" t="e">
        <f>E114/E110</f>
        <v>#DIV/0!</v>
      </c>
      <c r="H149" s="113" t="e">
        <f t="shared" si="2"/>
        <v>#DIV/0!</v>
      </c>
    </row>
    <row r="150" spans="1:8" ht="14.25">
      <c r="A150" s="116" t="s">
        <v>666</v>
      </c>
      <c r="B150" s="119">
        <f>0+(B116/B110)</f>
        <v>1.6175857422004114E-4</v>
      </c>
      <c r="C150" s="119">
        <f>C116/C110</f>
        <v>2.1625278301819488E-3</v>
      </c>
      <c r="D150" s="119" t="e">
        <f>D116/D110</f>
        <v>#DIV/0!</v>
      </c>
      <c r="E150" s="119" t="e">
        <f>E116/E110</f>
        <v>#DIV/0!</v>
      </c>
      <c r="H150" s="113" t="e">
        <f t="shared" si="2"/>
        <v>#DIV/0!</v>
      </c>
    </row>
    <row r="151" spans="1:8" ht="15.75" customHeight="1">
      <c r="A151" s="156" t="s">
        <v>667</v>
      </c>
      <c r="B151" s="156"/>
      <c r="C151" s="156"/>
      <c r="D151" s="156"/>
      <c r="E151" s="156"/>
      <c r="H151" s="113"/>
    </row>
    <row r="152" spans="1:8" ht="14.25">
      <c r="A152" s="116" t="s">
        <v>668</v>
      </c>
      <c r="B152" s="119">
        <f>B122/B110</f>
        <v>-2.1313970807378406</v>
      </c>
      <c r="C152" s="119">
        <f>C122/C110</f>
        <v>2.1910267148126832</v>
      </c>
      <c r="D152" s="119" t="e">
        <f>D122/D110</f>
        <v>#DIV/0!</v>
      </c>
      <c r="E152" s="119" t="e">
        <f>E122/E110</f>
        <v>#DIV/0!</v>
      </c>
      <c r="H152" s="113" t="e">
        <f t="shared" si="2"/>
        <v>#DIV/0!</v>
      </c>
    </row>
    <row r="153" spans="1:8" ht="14.25">
      <c r="A153" s="116" t="s">
        <v>669</v>
      </c>
      <c r="B153" s="119">
        <f>(B110-B111)/B110</f>
        <v>-1.9700768796401718</v>
      </c>
      <c r="C153" s="119">
        <f>(C110-C111)/C110</f>
        <v>-0.2913127673567586</v>
      </c>
      <c r="D153" s="119" t="e">
        <f>(D110-D111)/D110</f>
        <v>#DIV/0!</v>
      </c>
      <c r="E153" s="119" t="e">
        <f>(E110-E111)/E110</f>
        <v>#DIV/0!</v>
      </c>
      <c r="G153" s="12" t="e">
        <f>CONCATENATE("近三年及一期，拟承租人营业毛利率分别为",TEXT(E153,"0.00%"),"、",TEXT(D153,"0.00%"),"、",TEXT(C153,"0.00%"),"及",TEXT(B153,"0.00%"),"。")</f>
        <v>#DIV/0!</v>
      </c>
      <c r="H153" s="113" t="e">
        <f t="shared" si="2"/>
        <v>#DIV/0!</v>
      </c>
    </row>
    <row r="154" spans="1:8" ht="14.25">
      <c r="A154" s="116" t="s">
        <v>670</v>
      </c>
      <c r="B154" s="119">
        <f>B119/(B55+C55)*2</f>
        <v>-7.4470554661487083E-3</v>
      </c>
      <c r="C154" s="119">
        <f>C119/(C55+D55)*2</f>
        <v>3.7657852682968486E-2</v>
      </c>
      <c r="D154" s="119">
        <f>D119/(D55+E55)*2</f>
        <v>-4.5314068824455558E-3</v>
      </c>
      <c r="E154" s="119">
        <f>E119/E55</f>
        <v>-8.3421304276157438E-5</v>
      </c>
      <c r="H154" s="113">
        <f t="shared" si="2"/>
        <v>2.5595969030098066E-2</v>
      </c>
    </row>
    <row r="155" spans="1:8" ht="14.25">
      <c r="A155" s="116" t="s">
        <v>671</v>
      </c>
      <c r="B155" s="119">
        <f>B122/(B55+C55)*2</f>
        <v>-7.4468619160517526E-3</v>
      </c>
      <c r="C155" s="119">
        <f>C122/(C55+D55)*2</f>
        <v>3.7658205694344381E-2</v>
      </c>
      <c r="D155" s="119">
        <f>D122/(D55+E55)*2</f>
        <v>-4.5314068824455558E-3</v>
      </c>
      <c r="E155" s="119">
        <f>E122/E55</f>
        <v>-8.3421304276157438E-5</v>
      </c>
      <c r="H155" s="113">
        <f t="shared" si="2"/>
        <v>2.5596515591570914E-2</v>
      </c>
    </row>
    <row r="156" spans="1:8" ht="14.25">
      <c r="A156" s="116" t="s">
        <v>672</v>
      </c>
      <c r="B156" s="119">
        <f>B122/(B108+C108)*2</f>
        <v>-5.2173677368177719E-2</v>
      </c>
      <c r="C156" s="119">
        <f>C122/(C108+D108)*2</f>
        <v>0.18652779132248001</v>
      </c>
      <c r="D156" s="119">
        <f>D122/(D108+E108)*2</f>
        <v>-1.4677974912758879E-2</v>
      </c>
      <c r="E156" s="119">
        <f>E122/E108</f>
        <v>-1.4608133664002963E-4</v>
      </c>
      <c r="H156" s="113">
        <f t="shared" si="2"/>
        <v>0.11953005770490339</v>
      </c>
    </row>
    <row r="157" spans="1:8" ht="15.75" customHeight="1">
      <c r="A157" s="156" t="s">
        <v>673</v>
      </c>
      <c r="B157" s="156"/>
      <c r="C157" s="156"/>
      <c r="D157" s="156"/>
      <c r="E157" s="156"/>
      <c r="H157" s="113"/>
    </row>
    <row r="158" spans="1:8" ht="14.25">
      <c r="A158" s="116" t="s">
        <v>674</v>
      </c>
      <c r="B158" s="119">
        <f>B108/B55</f>
        <v>0.10880454254348541</v>
      </c>
      <c r="C158" s="119">
        <f>C108/C55</f>
        <v>0.19522292010929612</v>
      </c>
      <c r="D158" s="119">
        <f>D108/D55</f>
        <v>0.21056153288628857</v>
      </c>
      <c r="E158" s="119">
        <f>E108/E55</f>
        <v>0.57106065836269249</v>
      </c>
      <c r="H158" s="113">
        <f t="shared" si="2"/>
        <v>1.0856496539017626</v>
      </c>
    </row>
    <row r="159" spans="1:8" ht="14.25">
      <c r="A159" s="116" t="s">
        <v>675</v>
      </c>
      <c r="B159" s="119">
        <f>B93/B55</f>
        <v>0.26580822328662712</v>
      </c>
      <c r="C159" s="119">
        <f>C93/C55</f>
        <v>0.38446048178735898</v>
      </c>
      <c r="D159" s="119">
        <f>D93/D55</f>
        <v>0.7863666924693411</v>
      </c>
      <c r="E159" s="119">
        <f>E93/E55</f>
        <v>0</v>
      </c>
      <c r="H159" s="113">
        <f t="shared" si="2"/>
        <v>1.4366353975433273</v>
      </c>
    </row>
    <row r="160" spans="1:8" ht="15.75" customHeight="1">
      <c r="A160" s="156" t="s">
        <v>676</v>
      </c>
      <c r="B160" s="156"/>
      <c r="C160" s="156"/>
      <c r="D160" s="156"/>
      <c r="E160" s="156"/>
      <c r="H160" s="113"/>
    </row>
    <row r="161" spans="1:8" ht="28.5">
      <c r="A161" s="122" t="s">
        <v>802</v>
      </c>
      <c r="B161" s="112">
        <f>B125/B110</f>
        <v>1.0119143684084766</v>
      </c>
      <c r="C161" s="112">
        <f>C125/C110</f>
        <v>7.5669556667201402E-3</v>
      </c>
      <c r="D161" s="112" t="e">
        <f>D125/D110</f>
        <v>#DIV/0!</v>
      </c>
      <c r="E161" s="112" t="e">
        <f>E125/E110</f>
        <v>#DIV/0!</v>
      </c>
      <c r="H161" s="113" t="e">
        <f t="shared" si="2"/>
        <v>#DIV/0!</v>
      </c>
    </row>
    <row r="162" spans="1:8" ht="28.5">
      <c r="A162" s="122" t="s">
        <v>677</v>
      </c>
      <c r="B162" s="112">
        <f>B128/B120</f>
        <v>3.9201443981018373E-2</v>
      </c>
      <c r="C162" s="112">
        <f>C128/C120</f>
        <v>9.7033704685406565</v>
      </c>
      <c r="D162" s="112">
        <f>D128/D120</f>
        <v>56.842336866656467</v>
      </c>
      <c r="E162" s="112">
        <f>E128/E120</f>
        <v>-5140.8441051622631</v>
      </c>
      <c r="H162" s="113">
        <f t="shared" si="2"/>
        <v>-5074.2591963830846</v>
      </c>
    </row>
    <row r="163" spans="1:8" ht="14.25">
      <c r="A163" s="122" t="s">
        <v>678</v>
      </c>
      <c r="B163" s="112">
        <f>B135/B120</f>
        <v>4.0934165755976977E-2</v>
      </c>
      <c r="C163" s="112">
        <f>C135/C120</f>
        <v>0.31130141169835013</v>
      </c>
      <c r="D163" s="112">
        <f>D135/D120</f>
        <v>3.1173732283334856</v>
      </c>
      <c r="E163" s="112">
        <f>E135/E120</f>
        <v>-315.86183760098595</v>
      </c>
      <c r="H163" s="113">
        <f t="shared" si="2"/>
        <v>-312.39222879519815</v>
      </c>
    </row>
  </sheetData>
  <autoFilter ref="F5:H163" xr:uid="{00000000-0009-0000-0000-000006000000}">
    <filterColumn colId="2">
      <filters blank="1">
        <filter val="#DIV/0!"/>
        <filter val="0.02"/>
        <filter val="0.03"/>
        <filter val="0.12"/>
        <filter val="0.32"/>
        <filter val="1,047.57"/>
        <filter val="1,228.09"/>
        <filter val="1,302.55"/>
        <filter val="1,302.59"/>
        <filter val="1,678.03"/>
        <filter val="1,913.09"/>
        <filter val="1,974.68"/>
        <filter val="1,998.78"/>
        <filter val="1.09"/>
        <filter val="1.44"/>
        <filter val="101,482.75"/>
        <filter val="12,664.34"/>
        <filter val="123,271.71"/>
        <filter val="132.29"/>
        <filter val="16,727.37"/>
        <filter val="177,325.88"/>
        <filter val="18,872.19"/>
        <filter val="2,500.00"/>
        <filter val="2.23"/>
        <filter val="2.91"/>
        <filter val="219,300.56"/>
        <filter val="249.04"/>
        <filter val="249.09"/>
        <filter val="263.05"/>
        <filter val="281.00"/>
        <filter val="31,569.84"/>
        <filter val="-312.39"/>
        <filter val="4,254.08"/>
        <filter val="4.08"/>
        <filter val="-4.91"/>
        <filter val="40,000.00"/>
        <filter val="41,974.68"/>
        <filter val="42,278.87"/>
        <filter val="43,664.39"/>
        <filter val="48,297.21"/>
        <filter val="486.74"/>
        <filter val="49,386.98"/>
        <filter val="49,827.51"/>
        <filter val="-49,827.51"/>
        <filter val="-5,074.26"/>
        <filter val="5.63"/>
        <filter val="61,151.06"/>
        <filter val="614.52"/>
        <filter val="8,637.88"/>
        <filter val="85,216.77"/>
        <filter val="85,907.98"/>
        <filter val="92,109.11"/>
        <filter val="-948.20"/>
        <filter val="96,028.85"/>
      </filters>
    </filterColumn>
  </autoFilter>
  <mergeCells count="13">
    <mergeCell ref="A1:E1"/>
    <mergeCell ref="A2:E2"/>
    <mergeCell ref="A5:E5"/>
    <mergeCell ref="A109:E109"/>
    <mergeCell ref="B123:E123"/>
    <mergeCell ref="A157:E157"/>
    <mergeCell ref="A160:E160"/>
    <mergeCell ref="A3:A4"/>
    <mergeCell ref="A124:E124"/>
    <mergeCell ref="B136:E136"/>
    <mergeCell ref="A137:E137"/>
    <mergeCell ref="A143:E143"/>
    <mergeCell ref="A151:E151"/>
  </mergeCells>
  <phoneticPr fontId="47" type="noConversion"/>
  <dataValidations count="1">
    <dataValidation type="list" allowBlank="1" showInputMessage="1" showErrorMessage="1" sqref="G6" xr:uid="{00000000-0002-0000-0600-000000000000}">
      <formula1>"单位：元,单位：万元"</formula1>
    </dataValidation>
  </dataValidations>
  <pageMargins left="0.75" right="0.75" top="1" bottom="1" header="0.5" footer="0.5"/>
  <pageSetup paperSize="9" scale="67" fitToHeight="0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G75"/>
  <sheetViews>
    <sheetView workbookViewId="0"/>
  </sheetViews>
  <sheetFormatPr defaultColWidth="10.28515625" defaultRowHeight="14.25"/>
  <cols>
    <col min="1" max="1" width="20.7109375" style="94" customWidth="1"/>
    <col min="2" max="5" width="13.5703125" style="95" customWidth="1"/>
    <col min="6" max="16384" width="10.28515625" style="94"/>
  </cols>
  <sheetData>
    <row r="1" spans="1:7">
      <c r="A1" s="96" t="s">
        <v>679</v>
      </c>
      <c r="B1" s="97">
        <v>43465</v>
      </c>
      <c r="C1" s="97">
        <f>DATE(YEAR(B1)+1,MONTH(B1),DAY(B1))</f>
        <v>43830</v>
      </c>
      <c r="D1" s="98">
        <f>DATE(YEAR(B1)+2,MONTH(B1),DAY(B1))</f>
        <v>44196</v>
      </c>
      <c r="E1" s="98" t="e">
        <f>bs!#REF!</f>
        <v>#REF!</v>
      </c>
    </row>
    <row r="2" spans="1:7">
      <c r="A2" s="99" t="s">
        <v>680</v>
      </c>
      <c r="B2" s="100" t="e">
        <f>ROUND(HLOOKUP(B1,bs!$C$1:$AA$110,ROW(bs!#REF!),FALSE),0)/IF(LEN($G$6)&gt;4,10000,1)</f>
        <v>#REF!</v>
      </c>
      <c r="C2" s="100" t="e">
        <f>ROUND(HLOOKUP(C1,bs!$C$1:$AA$110,ROW(bs!#REF!),FALSE),0)/IF(LEN($G$6)&gt;4,10000,1)</f>
        <v>#REF!</v>
      </c>
      <c r="D2" s="100" t="e">
        <f>ROUND(HLOOKUP(D1,bs!$C$1:$AA$110,ROW(bs!F7),FALSE),0)/IF(LEN($G$6)&gt;4,10000,1)</f>
        <v>#N/A</v>
      </c>
      <c r="E2" s="100" t="e">
        <f>ROUND(HLOOKUP(E1,bs!$C$1:$AA$110,ROW(bs!E7),FALSE),0)/IF(LEN($G$6)&gt;4,10000,1)</f>
        <v>#REF!</v>
      </c>
    </row>
    <row r="3" spans="1:7">
      <c r="A3" s="99" t="s">
        <v>681</v>
      </c>
      <c r="B3" s="100" t="e">
        <f>ROUND(HLOOKUP(B1,bs!$C$1:$AA$110,ROW(bs!#REF!),FALSE),0)/IF(LEN($G$6)&gt;4,10000,1)</f>
        <v>#REF!</v>
      </c>
      <c r="C3" s="100" t="e">
        <f>ROUND(HLOOKUP(C1,bs!$C$1:$AA$110,ROW(bs!#REF!),FALSE),0)/IF(LEN($G$6)&gt;4,10000,1)</f>
        <v>#REF!</v>
      </c>
      <c r="D3" s="100" t="e">
        <f>ROUND(HLOOKUP(D1,bs!$C$1:$AA$110,ROW(bs!F5),FALSE),0)/IF(LEN($G$6)&gt;4,10000,1)</f>
        <v>#N/A</v>
      </c>
      <c r="E3" s="100" t="e">
        <f>ROUND(HLOOKUP(E1,bs!$C$1:$AA$110,ROW(bs!E5),FALSE),0)/IF(LEN($G$6)&gt;4,10000,1)</f>
        <v>#REF!</v>
      </c>
    </row>
    <row r="4" spans="1:7">
      <c r="A4" s="99" t="s">
        <v>682</v>
      </c>
      <c r="B4" s="100" t="e">
        <f>ROUND(HLOOKUP(B1,bs!$C$1:$AA$110,ROW(bs!#REF!),FALSE),0)/IF(LEN($G$6)&gt;4,10000,1)</f>
        <v>#REF!</v>
      </c>
      <c r="C4" s="100" t="e">
        <f>ROUND(HLOOKUP(C1,bs!$C$1:$AA$110,ROW(bs!#REF!),FALSE),0)/IF(LEN($G$6)&gt;4,10000,1)</f>
        <v>#REF!</v>
      </c>
      <c r="D4" s="100" t="e">
        <f>ROUND(HLOOKUP(D1,bs!$C$1:$AA$110,ROW(bs!F24),FALSE),0)/IF(LEN($G$6)&gt;4,10000,1)</f>
        <v>#N/A</v>
      </c>
      <c r="E4" s="100" t="e">
        <f>ROUND(HLOOKUP(E1,bs!$C$1:$AA$110,ROW(bs!E24),FALSE),0)/IF(LEN($G$6)&gt;4,10000,1)</f>
        <v>#REF!</v>
      </c>
    </row>
    <row r="5" spans="1:7">
      <c r="A5" s="99" t="s">
        <v>683</v>
      </c>
      <c r="B5" s="100" t="e">
        <f>ROUND(HLOOKUP(B1,bs!$C$1:$AA$110,ROW(bs!#REF!),FALSE),0)/IF(LEN($G$6)&gt;4,10000,1)</f>
        <v>#REF!</v>
      </c>
      <c r="C5" s="100" t="e">
        <f>ROUND(HLOOKUP(C1,bs!$C$1:$AA$110,ROW(bs!#REF!),FALSE),0)/IF(LEN($G$6)&gt;4,10000,1)</f>
        <v>#REF!</v>
      </c>
      <c r="D5" s="100" t="e">
        <f>ROUND(HLOOKUP(D1,bs!$C$1:$AA$110,ROW(bs!F33),FALSE),0)/IF(LEN($G$6)&gt;4,10000,1)</f>
        <v>#N/A</v>
      </c>
      <c r="E5" s="100" t="e">
        <f>ROUND(HLOOKUP(E1,bs!$C$1:$AA$110,ROW(bs!E33),FALSE),0)/IF(LEN($G$6)&gt;4,10000,1)</f>
        <v>#REF!</v>
      </c>
    </row>
    <row r="6" spans="1:7">
      <c r="A6" s="99" t="s">
        <v>684</v>
      </c>
      <c r="B6" s="100" t="e">
        <f>ROUND(HLOOKUP(B1,bs!$C$1:$AA$110,ROW(bs!#REF!),FALSE),0)/IF(LEN($G$6)&gt;4,10000,1)</f>
        <v>#REF!</v>
      </c>
      <c r="C6" s="100" t="e">
        <f>ROUND(HLOOKUP(C1,bs!$C$1:$AA$110,ROW(bs!#REF!),FALSE),0)/IF(LEN($G$6)&gt;4,10000,1)</f>
        <v>#REF!</v>
      </c>
      <c r="D6" s="100" t="e">
        <f>ROUND(HLOOKUP(D1,bs!$C$1:$AA$110,ROW(bs!F35),FALSE),0)/IF(LEN($G$6)&gt;4,10000,1)</f>
        <v>#N/A</v>
      </c>
      <c r="E6" s="100" t="e">
        <f>ROUND(HLOOKUP(E1,bs!$C$1:$AA$110,ROW(bs!E35),FALSE),0)/IF(LEN($G$6)&gt;4,10000,1)</f>
        <v>#REF!</v>
      </c>
      <c r="G6" s="101" t="s">
        <v>532</v>
      </c>
    </row>
    <row r="7" spans="1:7">
      <c r="A7" s="99" t="s">
        <v>685</v>
      </c>
      <c r="B7" s="100" t="e">
        <f>ROUND(HLOOKUP(B1,bs!$C$1:$AA$110,ROW(bs!#REF!),FALSE),0)/IF(LEN($G$6)&gt;4,10000,1)</f>
        <v>#REF!</v>
      </c>
      <c r="C7" s="100" t="e">
        <f>ROUND(HLOOKUP(C1,bs!$C$1:$AA$110,ROW(bs!#REF!),FALSE),0)/IF(LEN($G$6)&gt;4,10000,1)</f>
        <v>#REF!</v>
      </c>
      <c r="D7" s="100" t="e">
        <f>ROUND(HLOOKUP(D1,bs!$C$1:$AA$110,ROW(bs!F53),FALSE),0)/IF(LEN($G$6)&gt;4,10000,1)</f>
        <v>#N/A</v>
      </c>
      <c r="E7" s="100" t="e">
        <f>ROUND(HLOOKUP(E1,bs!$C$1:$AA$110,ROW(bs!E53),FALSE),0)/IF(LEN($G$6)&gt;4,10000,1)</f>
        <v>#REF!</v>
      </c>
    </row>
    <row r="8" spans="1:7">
      <c r="A8" s="99" t="s">
        <v>686</v>
      </c>
      <c r="B8" s="100" t="e">
        <f>ROUND(HLOOKUP(B1,bs!$C$1:$AA$110,ROW(bs!#REF!),FALSE),0)/IF(LEN($G$6)&gt;4,10000,1)</f>
        <v>#REF!</v>
      </c>
      <c r="C8" s="100" t="e">
        <f>ROUND(HLOOKUP(C1,bs!$C$1:$AA$110,ROW(bs!#REF!),FALSE),0)/IF(LEN($G$6)&gt;4,10000,1)</f>
        <v>#REF!</v>
      </c>
      <c r="D8" s="100" t="e">
        <f>ROUND(HLOOKUP(D1,bs!$C$1:$AA$110,ROW(bs!F54),FALSE),0)/IF(LEN($G$6)&gt;4,10000,1)</f>
        <v>#N/A</v>
      </c>
      <c r="E8" s="100" t="e">
        <f>ROUND(HLOOKUP(E1,bs!$C$1:$AA$110,ROW(bs!E54),FALSE),0)/IF(LEN($G$6)&gt;4,10000,1)</f>
        <v>#REF!</v>
      </c>
    </row>
    <row r="9" spans="1:7">
      <c r="A9" s="99" t="s">
        <v>687</v>
      </c>
      <c r="B9" s="100" t="e">
        <f>ROUND(HLOOKUP(B1,bs!$C$1:$AA$110,ROW(bs!#REF!),FALSE),0)/IF(LEN($G$6)&gt;4,10000,1)</f>
        <v>#REF!</v>
      </c>
      <c r="C9" s="100" t="e">
        <f>ROUND(HLOOKUP(C1,bs!$C$1:$AA$110,ROW(bs!#REF!),FALSE),0)/IF(LEN($G$6)&gt;4,10000,1)</f>
        <v>#REF!</v>
      </c>
      <c r="D9" s="100" t="e">
        <f>ROUND(HLOOKUP(D1,bs!$C$1:$AA$110,ROW(bs!F63),FALSE),0)/IF(LEN($G$6)&gt;4,10000,1)</f>
        <v>#N/A</v>
      </c>
      <c r="E9" s="100" t="e">
        <f>ROUND(HLOOKUP(E1,bs!$C$1:$AA$110,ROW(bs!E63),FALSE),0)/IF(LEN($G$6)&gt;4,10000,1)</f>
        <v>#REF!</v>
      </c>
    </row>
    <row r="10" spans="1:7">
      <c r="A10" s="99" t="s">
        <v>688</v>
      </c>
      <c r="B10" s="100" t="e">
        <f>ROUND(HLOOKUP(B1,bs!$C$1:$AA$110,ROW(bs!#REF!),FALSE),0)/IF(LEN($G$6)&gt;4,10000,1)</f>
        <v>#REF!</v>
      </c>
      <c r="C10" s="100" t="e">
        <f>ROUND(HLOOKUP(C1,bs!$C$1:$AA$110,ROW(bs!#REF!),FALSE),0)/IF(LEN($G$6)&gt;4,10000,1)</f>
        <v>#REF!</v>
      </c>
      <c r="D10" s="100" t="e">
        <f>ROUND(HLOOKUP(D1,bs!$C$1:$AA$110,ROW(bs!F78),FALSE),0)/IF(LEN($G$6)&gt;4,10000,1)</f>
        <v>#N/A</v>
      </c>
      <c r="E10" s="100" t="e">
        <f>ROUND(HLOOKUP(E1,bs!$C$1:$AA$110,ROW(bs!E78),FALSE),0)/IF(LEN($G$6)&gt;4,10000,1)</f>
        <v>#REF!</v>
      </c>
    </row>
    <row r="11" spans="1:7">
      <c r="A11" s="99" t="s">
        <v>689</v>
      </c>
      <c r="B11" s="100" t="e">
        <f>ROUND(HLOOKUP(B1,bs!$C$1:$AA$110,ROW(bs!#REF!),FALSE),0)/IF(LEN($G$6)&gt;4,10000,1)</f>
        <v>#REF!</v>
      </c>
      <c r="C11" s="100" t="e">
        <f>ROUND(HLOOKUP(C1,bs!$C$1:$AA$110,ROW(bs!#REF!),FALSE),0)/IF(LEN($G$6)&gt;4,10000,1)</f>
        <v>#REF!</v>
      </c>
      <c r="D11" s="100" t="e">
        <f>ROUND(HLOOKUP(D1,bs!$C$1:$AA$110,ROW(bs!F79),FALSE),0)/IF(LEN($G$6)&gt;4,10000,1)</f>
        <v>#N/A</v>
      </c>
      <c r="E11" s="100" t="e">
        <f>ROUND(HLOOKUP(E1,bs!$C$1:$AA$110,ROW(bs!E79),FALSE),0)/IF(LEN($G$6)&gt;4,10000,1)</f>
        <v>#REF!</v>
      </c>
    </row>
    <row r="12" spans="1:7">
      <c r="A12" s="99" t="s">
        <v>690</v>
      </c>
      <c r="B12" s="100" t="e">
        <f>ROUND(HLOOKUP(B1,bs!$C$1:$AA$110,ROW(bs!#REF!),FALSE),0)/IF(LEN($G$6)&gt;4,10000,1)</f>
        <v>#REF!</v>
      </c>
      <c r="C12" s="100" t="e">
        <f>ROUND(HLOOKUP(C1,bs!$C$1:$AA$110,ROW(bs!#REF!),FALSE),0)/IF(LEN($G$6)&gt;4,10000,1)</f>
        <v>#REF!</v>
      </c>
      <c r="D12" s="100" t="e">
        <f>ROUND(HLOOKUP(D1,bs!$C$1:$AA$110,ROW(bs!F81),FALSE),0)/IF(LEN($G$6)&gt;4,10000,1)</f>
        <v>#N/A</v>
      </c>
      <c r="E12" s="100" t="e">
        <f>ROUND(HLOOKUP(E1,bs!$C$1:$AA$110,ROW(bs!E81),FALSE),0)/IF(LEN($G$6)&gt;4,10000,1)</f>
        <v>#REF!</v>
      </c>
    </row>
    <row r="13" spans="1:7">
      <c r="A13" s="99" t="s">
        <v>691</v>
      </c>
      <c r="B13" s="100" t="e">
        <f>ROUND(HLOOKUP(B1,bs!$C$1:$AA$110,ROW(bs!#REF!),FALSE),0)/IF(LEN($G$6)&gt;4,10000,1)</f>
        <v>#REF!</v>
      </c>
      <c r="C13" s="100" t="e">
        <f>ROUND(HLOOKUP(C1,bs!$C$1:$AA$110,ROW(bs!#REF!),FALSE),0)/IF(LEN($G$6)&gt;4,10000,1)</f>
        <v>#REF!</v>
      </c>
      <c r="D13" s="100" t="e">
        <f>ROUND(HLOOKUP(D1,bs!$C$1:$AA$110,ROW(bs!F93),FALSE),0)/IF(LEN($G$6)&gt;4,10000,1)</f>
        <v>#N/A</v>
      </c>
      <c r="E13" s="100" t="e">
        <f>ROUND(HLOOKUP(E1,bs!$C$1:$AA$110,ROW(bs!E93),FALSE),0)/IF(LEN($G$6)&gt;4,10000,1)</f>
        <v>#REF!</v>
      </c>
    </row>
    <row r="14" spans="1:7">
      <c r="A14" s="99" t="s">
        <v>692</v>
      </c>
      <c r="B14" s="100" t="e">
        <f>ROUND(HLOOKUP(B1,bs!$C$1:$AA$110,ROW(bs!#REF!),FALSE),0)/IF(LEN($G$6)&gt;4,10000,1)</f>
        <v>#REF!</v>
      </c>
      <c r="C14" s="100" t="e">
        <f>ROUND(HLOOKUP(C1,bs!$C$1:$AA$110,ROW(bs!#REF!),FALSE),0)/IF(LEN($G$6)&gt;4,10000,1)</f>
        <v>#REF!</v>
      </c>
      <c r="D14" s="100" t="e">
        <f>ROUND(HLOOKUP(D1,bs!$C$1:$AA$110,ROW(bs!F94),FALSE),0)/IF(LEN($G$6)&gt;4,10000,1)</f>
        <v>#N/A</v>
      </c>
      <c r="E14" s="100" t="e">
        <f>ROUND(HLOOKUP(E1,bs!$C$1:$AA$110,ROW(bs!E94),FALSE),0)/IF(LEN($G$6)&gt;4,10000,1)</f>
        <v>#REF!</v>
      </c>
    </row>
    <row r="15" spans="1:7">
      <c r="A15" s="99" t="s">
        <v>693</v>
      </c>
      <c r="B15" s="100" t="e">
        <f>ROUND(HLOOKUP(B1,bs!$C$1:$AA$110,ROW(bs!#REF!),FALSE),0)/IF(LEN($G$6)&gt;4,10000,1)</f>
        <v>#REF!</v>
      </c>
      <c r="C15" s="100" t="e">
        <f>ROUND(HLOOKUP(C1,bs!$C$1:$AA$110,ROW(bs!#REF!),FALSE),0)/IF(LEN($G$6)&gt;4,10000,1)</f>
        <v>#REF!</v>
      </c>
      <c r="D15" s="100" t="e">
        <f>ROUND(HLOOKUP(D1,bs!$C$1:$AA$110,ROW(bs!F109),FALSE),0)/IF(LEN($G$6)&gt;4,10000,1)</f>
        <v>#N/A</v>
      </c>
      <c r="E15" s="100" t="e">
        <f>ROUND(HLOOKUP(E1,bs!$C$1:$AA$110,ROW(bs!E109),FALSE),0)/IF(LEN($G$6)&gt;4,10000,1)</f>
        <v>#REF!</v>
      </c>
    </row>
    <row r="16" spans="1:7">
      <c r="A16" s="99" t="s">
        <v>694</v>
      </c>
      <c r="B16" s="100" t="e">
        <f>ROUND(HLOOKUP(B1,pl!$C$1:$CE$46,ROW(pl!#REF!),FALSE),0)/IF(LEN($G$6)&gt;4,10000,1)</f>
        <v>#REF!</v>
      </c>
      <c r="C16" s="100" t="e">
        <f>ROUND(HLOOKUP(C1,pl!$C$1:$CE$46,ROW(pl!#REF!),FALSE),0)/IF(LEN($G$6)&gt;4,10000,1)</f>
        <v>#REF!</v>
      </c>
      <c r="D16" s="100" t="e">
        <f>ROUND(HLOOKUP(D1,pl!$C$1:$CE$46,ROW(pl!#REF!),FALSE),0)/IF(LEN($G$6)&gt;4,10000,1)</f>
        <v>#REF!</v>
      </c>
      <c r="E16" s="100" t="e">
        <f>ROUND(HLOOKUP(E1,pl!$C$1:$CE$46,ROW(pl!F2),FALSE),0)/IF(LEN($G$6)&gt;4,10000,1)</f>
        <v>#REF!</v>
      </c>
    </row>
    <row r="17" spans="1:7">
      <c r="A17" s="99" t="s">
        <v>695</v>
      </c>
      <c r="B17" s="100" t="e">
        <f>ROUND(HLOOKUP(B1,pl!$C$1:$CE$46,ROW(pl!#REF!),FALSE),0)/IF(LEN($G$6)&gt;4,10000,1)</f>
        <v>#REF!</v>
      </c>
      <c r="C17" s="100" t="e">
        <f>ROUND(HLOOKUP(C1,pl!$C$1:$CE$46,ROW(pl!#REF!),FALSE),0)/IF(LEN($G$6)&gt;4,10000,1)</f>
        <v>#REF!</v>
      </c>
      <c r="D17" s="100" t="e">
        <f>ROUND(HLOOKUP(D1,pl!$C$1:$CE$46,ROW(pl!#REF!),FALSE),0)/IF(LEN($G$6)&gt;4,10000,1)</f>
        <v>#REF!</v>
      </c>
      <c r="E17" s="100" t="e">
        <f>ROUND(HLOOKUP(E1,pl!$C$1:$CE$46,ROW(pl!F8),FALSE),0)/IF(LEN($G$6)&gt;4,10000,1)</f>
        <v>#REF!</v>
      </c>
    </row>
    <row r="18" spans="1:7">
      <c r="A18" s="99" t="s">
        <v>696</v>
      </c>
      <c r="B18" s="100" t="e">
        <f>ROUND(HLOOKUP(B1,pl!$C$1:$CE$46,ROW(pl!#REF!),FALSE),0)/IF(LEN($G$6)&gt;4,10000,1)</f>
        <v>#REF!</v>
      </c>
      <c r="C18" s="100" t="e">
        <f>ROUND(HLOOKUP(C1,pl!$C$1:$CE$46,ROW(pl!#REF!),FALSE),0)/IF(LEN($G$6)&gt;4,10000,1)</f>
        <v>#REF!</v>
      </c>
      <c r="D18" s="100" t="e">
        <f>ROUND(HLOOKUP(D1,pl!$C$1:$CE$46,ROW(pl!#REF!),FALSE),0)/IF(LEN($G$6)&gt;4,10000,1)</f>
        <v>#REF!</v>
      </c>
      <c r="E18" s="100" t="e">
        <f>ROUND(HLOOKUP(E1,pl!$C$1:$CE$46,ROW(pl!F12),FALSE),0)/IF(LEN($G$6)&gt;4,10000,1)</f>
        <v>#REF!</v>
      </c>
    </row>
    <row r="19" spans="1:7">
      <c r="A19" s="99" t="s">
        <v>636</v>
      </c>
      <c r="B19" s="100" t="e">
        <f>ROUND(HLOOKUP(B1,pl!$C$1:$CE$46,ROW(pl!#REF!),FALSE),0)/IF(LEN($G$6)&gt;4,10000,1)</f>
        <v>#REF!</v>
      </c>
      <c r="C19" s="100" t="e">
        <f>ROUND(HLOOKUP(C1,pl!$C$1:$CE$46,ROW(pl!#REF!),FALSE),0)/IF(LEN($G$6)&gt;4,10000,1)</f>
        <v>#REF!</v>
      </c>
      <c r="D19" s="100" t="e">
        <f>ROUND(HLOOKUP(D1,pl!$C$1:$CE$46,ROW(pl!#REF!),FALSE),0)/IF(LEN($G$6)&gt;4,10000,1)</f>
        <v>#REF!</v>
      </c>
      <c r="E19" s="100" t="e">
        <f>ROUND(HLOOKUP(E1,pl!$C$1:$CE$46,ROW(pl!F13),FALSE),0)/IF(LEN($G$6)&gt;4,10000,1)</f>
        <v>#REF!</v>
      </c>
    </row>
    <row r="20" spans="1:7">
      <c r="A20" s="99" t="s">
        <v>638</v>
      </c>
      <c r="B20" s="100" t="e">
        <f>ROUND(HLOOKUP(B1,pl!$C$1:$CE$46,ROW(pl!#REF!),FALSE),0)/IF(LEN($G$6)&gt;4,10000,1)</f>
        <v>#REF!</v>
      </c>
      <c r="C20" s="100" t="e">
        <f>ROUND(HLOOKUP(C1,pl!$C$1:$CE$46,ROW(pl!#REF!),FALSE),0)/IF(LEN($G$6)&gt;4,10000,1)</f>
        <v>#REF!</v>
      </c>
      <c r="D20" s="100" t="e">
        <f>ROUND(HLOOKUP(D1,pl!$C$1:$CE$46,ROW(pl!#REF!),FALSE),0)/IF(LEN($G$6)&gt;4,10000,1)</f>
        <v>#REF!</v>
      </c>
      <c r="E20" s="100" t="e">
        <f>ROUND(HLOOKUP(E1,pl!$C$1:$CE$46,ROW(pl!F14),FALSE),0)/IF(LEN($G$6)&gt;4,10000,1)</f>
        <v>#REF!</v>
      </c>
      <c r="F20" s="102"/>
      <c r="G20" s="102"/>
    </row>
    <row r="21" spans="1:7">
      <c r="A21" s="99" t="s">
        <v>170</v>
      </c>
      <c r="B21" s="100" t="e">
        <f>ROUND(HLOOKUP(B1,pl!$C$1:$CE$46,ROW(pl!#REF!),FALSE),0)/IF(LEN($G$6)&gt;4,10000,1)</f>
        <v>#REF!</v>
      </c>
      <c r="C21" s="100" t="e">
        <f>ROUND(HLOOKUP(C1,pl!$C$1:$CE$46,ROW(pl!#REF!),FALSE),0)/IF(LEN($G$6)&gt;4,10000,1)</f>
        <v>#REF!</v>
      </c>
      <c r="D21" s="100" t="e">
        <f>ROUND(HLOOKUP(D1,pl!$C$1:$CE$46,ROW(pl!#REF!),FALSE),0)/IF(LEN($G$6)&gt;4,10000,1)</f>
        <v>#REF!</v>
      </c>
      <c r="E21" s="100" t="e">
        <f>ROUND(HLOOKUP(E1,pl!$C$1:$CE$46,ROW(pl!F18),FALSE),0)/IF(LEN($G$6)&gt;4,10000,1)</f>
        <v>#REF!</v>
      </c>
    </row>
    <row r="22" spans="1:7">
      <c r="A22" s="99" t="s">
        <v>176</v>
      </c>
      <c r="B22" s="100" t="e">
        <f>ROUND(HLOOKUP(B1,pl!$C$1:$CE$46,ROW(pl!#REF!),FALSE),0)/IF(LEN($G$6)&gt;4,10000,1)</f>
        <v>#REF!</v>
      </c>
      <c r="C22" s="100" t="e">
        <f>ROUND(HLOOKUP(C1,pl!$C$1:$CE$46,ROW(pl!#REF!),FALSE),0)/IF(LEN($G$6)&gt;4,10000,1)</f>
        <v>#REF!</v>
      </c>
      <c r="D22" s="100" t="e">
        <f>ROUND(HLOOKUP(D1,pl!$C$1:$CE$46,ROW(pl!#REF!),FALSE),0)/IF(LEN($G$6)&gt;4,10000,1)</f>
        <v>#REF!</v>
      </c>
      <c r="E22" s="100" t="e">
        <f>ROUND(HLOOKUP(E1,pl!$C$1:$CE$46,ROW(pl!F21),FALSE),0)/IF(LEN($G$6)&gt;4,10000,1)</f>
        <v>#REF!</v>
      </c>
    </row>
    <row r="23" spans="1:7">
      <c r="A23" s="99" t="s">
        <v>181</v>
      </c>
      <c r="B23" s="100" t="e">
        <f>ROUND(HLOOKUP(B1,pl!$C$1:$CE$46,ROW(pl!#REF!),FALSE),0)/IF(LEN($G$6)&gt;4,10000,1)</f>
        <v>#REF!</v>
      </c>
      <c r="C23" s="100" t="e">
        <f>ROUND(HLOOKUP(C1,pl!$C$1:$CE$46,ROW(pl!#REF!),FALSE),0)/IF(LEN($G$6)&gt;4,10000,1)</f>
        <v>#REF!</v>
      </c>
      <c r="D23" s="100" t="e">
        <f>ROUND(HLOOKUP(D1,pl!$C$1:$CE$46,ROW(pl!#REF!),FALSE),0)/IF(LEN($G$6)&gt;4,10000,1)</f>
        <v>#REF!</v>
      </c>
      <c r="E23" s="100" t="e">
        <f>ROUND(HLOOKUP(E1,pl!$C$1:$CE$46,ROW(pl!F23),FALSE),0)/IF(LEN($G$6)&gt;4,10000,1)</f>
        <v>#REF!</v>
      </c>
    </row>
    <row r="24" spans="1:7">
      <c r="A24" s="99" t="s">
        <v>697</v>
      </c>
      <c r="B24" s="100" t="e">
        <f>ROUND(HLOOKUP(B1,cf!$C$1:$CI$39,ROW(pl!#REF!),FALSE),0)/IF(LEN($G$6)&gt;4,10000,1)</f>
        <v>#REF!</v>
      </c>
      <c r="C24" s="100" t="e">
        <f>ROUND(HLOOKUP(C1,cf!$C$1:$CI$39,ROW(pl!#REF!),FALSE),0)/IF(LEN($G$6)&gt;4,10000,1)</f>
        <v>#REF!</v>
      </c>
      <c r="D24" s="100" t="e">
        <f>ROUND(HLOOKUP(D1,cf!$C$1:$CI$39,ROW(pl!#REF!),FALSE),0)/IF(LEN($G$6)&gt;4,10000,1)</f>
        <v>#REF!</v>
      </c>
      <c r="E24" s="100" t="e">
        <f>ROUND(HLOOKUP(E1,cf!$C$1:$CI$39,ROW(pl!#REF!),FALSE),0)/IF(LEN($G$6)&gt;4,10000,1)</f>
        <v>#REF!</v>
      </c>
    </row>
    <row r="25" spans="1:7">
      <c r="A25" s="99" t="s">
        <v>698</v>
      </c>
      <c r="B25" s="100" t="e">
        <f>ROUND(HLOOKUP(B1,cf!$C$1:$CI$39,ROW(pl!#REF!),FALSE),0)/IF(LEN($G$6)&gt;4,10000,1)</f>
        <v>#REF!</v>
      </c>
      <c r="C25" s="100" t="e">
        <f>ROUND(HLOOKUP(C1,cf!$C$1:$CI$39,ROW(pl!#REF!),FALSE),0)/IF(LEN($G$6)&gt;4,10000,1)</f>
        <v>#REF!</v>
      </c>
      <c r="D25" s="100" t="e">
        <f>ROUND(HLOOKUP(D1,cf!$C$1:$CI$39,ROW(pl!#REF!),FALSE),0)/IF(LEN($G$6)&gt;4,10000,1)</f>
        <v>#REF!</v>
      </c>
      <c r="E25" s="100" t="e">
        <f>ROUND(HLOOKUP(E1,cf!$C$1:$CI$39,ROW(pl!#REF!),FALSE),0)/IF(LEN($G$6)&gt;4,10000,1)</f>
        <v>#REF!</v>
      </c>
    </row>
    <row r="26" spans="1:7">
      <c r="A26" s="166" t="s">
        <v>653</v>
      </c>
      <c r="B26" s="167"/>
      <c r="C26" s="167"/>
      <c r="D26" s="167"/>
      <c r="E26" s="167"/>
    </row>
    <row r="27" spans="1:7">
      <c r="A27" s="99" t="s">
        <v>654</v>
      </c>
      <c r="B27" s="103" t="e">
        <f>B4/B10</f>
        <v>#REF!</v>
      </c>
      <c r="C27" s="103" t="e">
        <f>C4/C10</f>
        <v>#REF!</v>
      </c>
      <c r="D27" s="103" t="e">
        <f>D4/D10</f>
        <v>#N/A</v>
      </c>
      <c r="E27" s="103" t="e">
        <f>E4/E10</f>
        <v>#REF!</v>
      </c>
    </row>
    <row r="28" spans="1:7">
      <c r="A28" s="99" t="s">
        <v>655</v>
      </c>
      <c r="B28" s="103" t="e">
        <f>(B4-B2)/B10</f>
        <v>#REF!</v>
      </c>
      <c r="C28" s="103" t="e">
        <f>(C4-C2)/C10</f>
        <v>#REF!</v>
      </c>
      <c r="D28" s="103" t="e">
        <f>(D4-D2)/D10</f>
        <v>#N/A</v>
      </c>
      <c r="E28" s="103" t="e">
        <f>(E4-E2)/E10</f>
        <v>#REF!</v>
      </c>
    </row>
    <row r="29" spans="1:7">
      <c r="A29" s="99" t="s">
        <v>674</v>
      </c>
      <c r="B29" s="104" t="e">
        <f>B15/B7</f>
        <v>#REF!</v>
      </c>
      <c r="C29" s="105" t="e">
        <f>C15/C7</f>
        <v>#REF!</v>
      </c>
      <c r="D29" s="106" t="e">
        <f>D15/D7</f>
        <v>#N/A</v>
      </c>
      <c r="E29" s="106" t="e">
        <f>E15/E7</f>
        <v>#REF!</v>
      </c>
    </row>
    <row r="30" spans="1:7">
      <c r="A30" s="99" t="s">
        <v>656</v>
      </c>
      <c r="B30" s="104" t="e">
        <f>B14/B7</f>
        <v>#REF!</v>
      </c>
      <c r="C30" s="105" t="e">
        <f>C14/C7</f>
        <v>#REF!</v>
      </c>
      <c r="D30" s="106" t="e">
        <f>D14/D7</f>
        <v>#N/A</v>
      </c>
      <c r="E30" s="106" t="e">
        <f>E14/E7</f>
        <v>#REF!</v>
      </c>
    </row>
    <row r="31" spans="1:7">
      <c r="A31" s="99" t="s">
        <v>658</v>
      </c>
      <c r="B31" s="104" t="e">
        <f>B10/B14</f>
        <v>#REF!</v>
      </c>
      <c r="C31" s="105" t="e">
        <f>C10/C14</f>
        <v>#REF!</v>
      </c>
      <c r="D31" s="106" t="e">
        <f>D10/D14</f>
        <v>#N/A</v>
      </c>
      <c r="E31" s="106" t="e">
        <f>E10/E14</f>
        <v>#REF!</v>
      </c>
    </row>
    <row r="32" spans="1:7">
      <c r="A32" s="99" t="s">
        <v>699</v>
      </c>
      <c r="B32" s="103" t="e">
        <f>(B22+B20)/B20</f>
        <v>#REF!</v>
      </c>
      <c r="C32" s="103" t="e">
        <f>(C22+C20)/C20</f>
        <v>#REF!</v>
      </c>
      <c r="D32" s="103" t="e">
        <f>(D22+D20)/D20</f>
        <v>#REF!</v>
      </c>
      <c r="E32" s="103" t="e">
        <f>(E22+E20)/E20</f>
        <v>#REF!</v>
      </c>
    </row>
    <row r="33" spans="1:5">
      <c r="A33" s="163" t="s">
        <v>659</v>
      </c>
      <c r="B33" s="164"/>
      <c r="C33" s="164"/>
      <c r="D33" s="164"/>
      <c r="E33" s="164"/>
    </row>
    <row r="34" spans="1:5">
      <c r="A34" s="99" t="s">
        <v>660</v>
      </c>
      <c r="B34" s="103" t="e">
        <f>0+(B17/(B2+C2)*2)</f>
        <v>#REF!</v>
      </c>
      <c r="C34" s="103" t="e">
        <f>C17/(C2+D2)*2</f>
        <v>#REF!</v>
      </c>
      <c r="D34" s="103" t="e">
        <f>D17/(D2+E2)*2</f>
        <v>#REF!</v>
      </c>
      <c r="E34" s="103" t="e">
        <f>E17/E2</f>
        <v>#REF!</v>
      </c>
    </row>
    <row r="35" spans="1:5">
      <c r="A35" s="99" t="s">
        <v>661</v>
      </c>
      <c r="B35" s="103" t="e">
        <f>0+(B16/(B7+C7)*2)</f>
        <v>#REF!</v>
      </c>
      <c r="C35" s="103" t="e">
        <f>C16/(C7+D7)*2</f>
        <v>#REF!</v>
      </c>
      <c r="D35" s="103" t="e">
        <f>D16/(D7+E7)*2</f>
        <v>#REF!</v>
      </c>
      <c r="E35" s="103" t="e">
        <f>E16/E7</f>
        <v>#REF!</v>
      </c>
    </row>
    <row r="36" spans="1:5">
      <c r="A36" s="99" t="s">
        <v>700</v>
      </c>
      <c r="B36" s="103" t="e">
        <f>0+(B16/(B3+C3)*2)</f>
        <v>#REF!</v>
      </c>
      <c r="C36" s="103" t="e">
        <f>C16/(C3+D3)*2</f>
        <v>#REF!</v>
      </c>
      <c r="D36" s="103" t="e">
        <f>D16/(D3+E3)*2</f>
        <v>#REF!</v>
      </c>
      <c r="E36" s="103" t="e">
        <f>E16/E3</f>
        <v>#REF!</v>
      </c>
    </row>
    <row r="37" spans="1:5">
      <c r="A37" s="99" t="s">
        <v>663</v>
      </c>
      <c r="B37" s="104" t="e">
        <f>0+(B17/B16)</f>
        <v>#REF!</v>
      </c>
      <c r="C37" s="105" t="e">
        <f>C17/C16</f>
        <v>#REF!</v>
      </c>
      <c r="D37" s="106" t="e">
        <f>D17/D16</f>
        <v>#REF!</v>
      </c>
      <c r="E37" s="106" t="e">
        <f>E17/E16</f>
        <v>#REF!</v>
      </c>
    </row>
    <row r="38" spans="1:5">
      <c r="A38" s="99" t="s">
        <v>664</v>
      </c>
      <c r="B38" s="104" t="e">
        <f>0+(B18/B16)</f>
        <v>#REF!</v>
      </c>
      <c r="C38" s="105" t="e">
        <f>C18/C16</f>
        <v>#REF!</v>
      </c>
      <c r="D38" s="106" t="e">
        <f>D18/D16</f>
        <v>#REF!</v>
      </c>
      <c r="E38" s="106" t="e">
        <f>E18/E16</f>
        <v>#REF!</v>
      </c>
    </row>
    <row r="39" spans="1:5">
      <c r="A39" s="99" t="s">
        <v>665</v>
      </c>
      <c r="B39" s="104" t="e">
        <f>0+(B19/B16)</f>
        <v>#REF!</v>
      </c>
      <c r="C39" s="105" t="e">
        <f>C19/C16</f>
        <v>#REF!</v>
      </c>
      <c r="D39" s="106" t="e">
        <f>D19/D16</f>
        <v>#REF!</v>
      </c>
      <c r="E39" s="106" t="e">
        <f>E19/E16</f>
        <v>#REF!</v>
      </c>
    </row>
    <row r="40" spans="1:5">
      <c r="A40" s="99" t="s">
        <v>666</v>
      </c>
      <c r="B40" s="104" t="e">
        <f>0+(B20/B16)</f>
        <v>#REF!</v>
      </c>
      <c r="C40" s="105" t="e">
        <f>C20/C16</f>
        <v>#REF!</v>
      </c>
      <c r="D40" s="106" t="e">
        <f>D20/D16</f>
        <v>#REF!</v>
      </c>
      <c r="E40" s="106" t="e">
        <f>E20/E16</f>
        <v>#REF!</v>
      </c>
    </row>
    <row r="41" spans="1:5">
      <c r="A41" s="163" t="s">
        <v>667</v>
      </c>
      <c r="B41" s="164"/>
      <c r="C41" s="164"/>
      <c r="D41" s="164"/>
      <c r="E41" s="164"/>
    </row>
    <row r="42" spans="1:5">
      <c r="A42" s="99" t="s">
        <v>668</v>
      </c>
      <c r="B42" s="104" t="e">
        <f>B23/B16</f>
        <v>#REF!</v>
      </c>
      <c r="C42" s="105" t="e">
        <f>C23/C16</f>
        <v>#REF!</v>
      </c>
      <c r="D42" s="106" t="e">
        <f>D23/D16</f>
        <v>#REF!</v>
      </c>
      <c r="E42" s="106" t="e">
        <f>E23/E16</f>
        <v>#REF!</v>
      </c>
    </row>
    <row r="43" spans="1:5">
      <c r="A43" s="99" t="s">
        <v>701</v>
      </c>
      <c r="B43" s="104" t="e">
        <f>B21/B16</f>
        <v>#REF!</v>
      </c>
      <c r="C43" s="105" t="e">
        <f>C21/C16</f>
        <v>#REF!</v>
      </c>
      <c r="D43" s="106" t="e">
        <f>D21/D16</f>
        <v>#REF!</v>
      </c>
      <c r="E43" s="106" t="e">
        <f>E21/E16</f>
        <v>#REF!</v>
      </c>
    </row>
    <row r="44" spans="1:5">
      <c r="A44" s="99" t="s">
        <v>670</v>
      </c>
      <c r="B44" s="104" t="e">
        <f>B22/(B7+C7)*2</f>
        <v>#REF!</v>
      </c>
      <c r="C44" s="105" t="e">
        <f>C22/(C7+D7)*2</f>
        <v>#REF!</v>
      </c>
      <c r="D44" s="106" t="e">
        <f>D22/(D7+E7)*2</f>
        <v>#REF!</v>
      </c>
      <c r="E44" s="106" t="e">
        <f>E22/E7</f>
        <v>#REF!</v>
      </c>
    </row>
    <row r="45" spans="1:5">
      <c r="A45" s="99" t="s">
        <v>671</v>
      </c>
      <c r="B45" s="104" t="e">
        <f>B23/(B7+C7)*2</f>
        <v>#REF!</v>
      </c>
      <c r="C45" s="105" t="e">
        <f>C23/(C7+D7)*2</f>
        <v>#REF!</v>
      </c>
      <c r="D45" s="106" t="e">
        <f>D23/(D7+E7)*2</f>
        <v>#REF!</v>
      </c>
      <c r="E45" s="106" t="e">
        <f>E23/E7</f>
        <v>#REF!</v>
      </c>
    </row>
    <row r="46" spans="1:5">
      <c r="A46" s="99" t="s">
        <v>672</v>
      </c>
      <c r="B46" s="104" t="e">
        <f>B23/(B15+C15)*2</f>
        <v>#REF!</v>
      </c>
      <c r="C46" s="105" t="e">
        <f>C23/(C15+D15)*2</f>
        <v>#REF!</v>
      </c>
      <c r="D46" s="106" t="e">
        <f>D23/(D15+E15)*2</f>
        <v>#REF!</v>
      </c>
      <c r="E46" s="106" t="e">
        <f>E23/E15</f>
        <v>#REF!</v>
      </c>
    </row>
    <row r="47" spans="1:5">
      <c r="A47" s="163" t="s">
        <v>702</v>
      </c>
      <c r="B47" s="164"/>
      <c r="C47" s="164"/>
      <c r="D47" s="164"/>
      <c r="E47" s="164"/>
    </row>
    <row r="48" spans="1:5">
      <c r="A48" s="99" t="s">
        <v>703</v>
      </c>
      <c r="B48" s="104" t="e">
        <f>(B16-C16)/C16</f>
        <v>#REF!</v>
      </c>
      <c r="C48" s="106" t="e">
        <f>(C16-D16)/D16</f>
        <v>#REF!</v>
      </c>
      <c r="D48" s="106" t="e">
        <f>(D16-E16)/E16</f>
        <v>#REF!</v>
      </c>
      <c r="E48" s="106" t="str">
        <f>IFERROR((E16-F16)/F16,"-")</f>
        <v>-</v>
      </c>
    </row>
    <row r="49" spans="1:5">
      <c r="A49" s="99" t="s">
        <v>704</v>
      </c>
      <c r="B49" s="104" t="e">
        <f>(B23-C23)/C23</f>
        <v>#REF!</v>
      </c>
      <c r="C49" s="106" t="e">
        <f>(C23-D23)/D23</f>
        <v>#REF!</v>
      </c>
      <c r="D49" s="106" t="e">
        <f>(D23-E23)/E23</f>
        <v>#REF!</v>
      </c>
      <c r="E49" s="106" t="str">
        <f>IFERROR((E23-F23)/F23,"-")</f>
        <v>-</v>
      </c>
    </row>
    <row r="50" spans="1:5">
      <c r="A50" s="99" t="s">
        <v>705</v>
      </c>
      <c r="B50" s="104" t="e">
        <f>(B7-C7)/C7</f>
        <v>#REF!</v>
      </c>
      <c r="C50" s="106" t="e">
        <f>(C7-D7)/D7</f>
        <v>#REF!</v>
      </c>
      <c r="D50" s="106" t="e">
        <f>(D7-E7)/E7</f>
        <v>#N/A</v>
      </c>
      <c r="E50" s="106" t="str">
        <f>IFERROR((E7-F7)/F7,"-")</f>
        <v>-</v>
      </c>
    </row>
    <row r="51" spans="1:5">
      <c r="A51" s="99" t="s">
        <v>706</v>
      </c>
      <c r="B51" s="104" t="e">
        <f>(B15-C15)/C15</f>
        <v>#REF!</v>
      </c>
      <c r="C51" s="106" t="e">
        <f>(C15-D15)/D15</f>
        <v>#REF!</v>
      </c>
      <c r="D51" s="106" t="e">
        <f>(D15-E15)/E15</f>
        <v>#N/A</v>
      </c>
      <c r="E51" s="106" t="str">
        <f>IFERROR((E15-F15)/F15,"-")</f>
        <v>-</v>
      </c>
    </row>
    <row r="52" spans="1:5">
      <c r="A52" s="99" t="s">
        <v>707</v>
      </c>
      <c r="B52" s="104" t="e">
        <f t="shared" ref="B52:D53" si="0">(B21-C21)/C21</f>
        <v>#REF!</v>
      </c>
      <c r="C52" s="106" t="e">
        <f t="shared" si="0"/>
        <v>#REF!</v>
      </c>
      <c r="D52" s="106" t="e">
        <f t="shared" si="0"/>
        <v>#REF!</v>
      </c>
      <c r="E52" s="106" t="str">
        <f>IFERROR((E21-F21)/F21,"-")</f>
        <v>-</v>
      </c>
    </row>
    <row r="53" spans="1:5">
      <c r="A53" s="99" t="s">
        <v>708</v>
      </c>
      <c r="B53" s="104" t="e">
        <f t="shared" si="0"/>
        <v>#REF!</v>
      </c>
      <c r="C53" s="106" t="e">
        <f t="shared" si="0"/>
        <v>#REF!</v>
      </c>
      <c r="D53" s="106" t="e">
        <f t="shared" si="0"/>
        <v>#REF!</v>
      </c>
      <c r="E53" s="106" t="str">
        <f>IFERROR((E22-F22)/F22,"-")</f>
        <v>-</v>
      </c>
    </row>
    <row r="54" spans="1:5">
      <c r="A54" s="163" t="s">
        <v>673</v>
      </c>
      <c r="B54" s="164"/>
      <c r="C54" s="164"/>
      <c r="D54" s="164"/>
      <c r="E54" s="164"/>
    </row>
    <row r="55" spans="1:5">
      <c r="A55" s="99" t="s">
        <v>656</v>
      </c>
      <c r="B55" s="104" t="e">
        <f>B14/B7</f>
        <v>#REF!</v>
      </c>
      <c r="C55" s="106" t="e">
        <f>C14/C7</f>
        <v>#REF!</v>
      </c>
      <c r="D55" s="106" t="e">
        <f>D14/D7</f>
        <v>#N/A</v>
      </c>
      <c r="E55" s="106" t="e">
        <f>E14/E7</f>
        <v>#REF!</v>
      </c>
    </row>
    <row r="56" spans="1:5">
      <c r="A56" s="99" t="s">
        <v>675</v>
      </c>
      <c r="B56" s="104" t="e">
        <f>B13/B7</f>
        <v>#REF!</v>
      </c>
      <c r="C56" s="106" t="e">
        <f>C13/C7</f>
        <v>#REF!</v>
      </c>
      <c r="D56" s="106" t="e">
        <f>D13/D7</f>
        <v>#N/A</v>
      </c>
      <c r="E56" s="106" t="e">
        <f>E13/E7</f>
        <v>#REF!</v>
      </c>
    </row>
    <row r="57" spans="1:5">
      <c r="A57" s="163" t="s">
        <v>676</v>
      </c>
      <c r="B57" s="164"/>
      <c r="C57" s="164"/>
      <c r="D57" s="164"/>
      <c r="E57" s="164"/>
    </row>
    <row r="58" spans="1:5" ht="25.5">
      <c r="A58" s="99" t="s">
        <v>709</v>
      </c>
      <c r="B58" s="103" t="e">
        <f>B25/B23</f>
        <v>#REF!</v>
      </c>
      <c r="C58" s="103" t="e">
        <f>C25/C23</f>
        <v>#REF!</v>
      </c>
      <c r="D58" s="103" t="e">
        <f>D25/D23</f>
        <v>#REF!</v>
      </c>
      <c r="E58" s="103" t="e">
        <f>E25/E23</f>
        <v>#REF!</v>
      </c>
    </row>
    <row r="60" spans="1:5">
      <c r="A60" s="165" t="str">
        <f>A41</f>
        <v>盈利能力分析</v>
      </c>
      <c r="B60" s="165"/>
      <c r="C60" s="165"/>
      <c r="D60" s="165"/>
      <c r="E60" s="165"/>
    </row>
    <row r="61" spans="1:5">
      <c r="A61" s="107" t="str">
        <f>A1</f>
        <v>项目</v>
      </c>
      <c r="B61" s="108">
        <f>B1</f>
        <v>43465</v>
      </c>
      <c r="C61" s="108">
        <f>C1</f>
        <v>43830</v>
      </c>
      <c r="D61" s="108">
        <f t="shared" ref="D61:E61" si="1">D1</f>
        <v>44196</v>
      </c>
      <c r="E61" s="108" t="e">
        <f t="shared" si="1"/>
        <v>#REF!</v>
      </c>
    </row>
    <row r="62" spans="1:5">
      <c r="A62" s="99" t="s">
        <v>668</v>
      </c>
      <c r="B62" s="104" t="e">
        <f>B42</f>
        <v>#REF!</v>
      </c>
      <c r="C62" s="104" t="e">
        <f t="shared" ref="C62:E62" si="2">C42</f>
        <v>#REF!</v>
      </c>
      <c r="D62" s="104" t="e">
        <f t="shared" si="2"/>
        <v>#REF!</v>
      </c>
      <c r="E62" s="104" t="e">
        <f t="shared" si="2"/>
        <v>#REF!</v>
      </c>
    </row>
    <row r="63" spans="1:5">
      <c r="A63" s="99" t="s">
        <v>701</v>
      </c>
      <c r="B63" s="104" t="e">
        <f t="shared" ref="B63:E66" si="3">B43</f>
        <v>#REF!</v>
      </c>
      <c r="C63" s="104" t="e">
        <f t="shared" si="3"/>
        <v>#REF!</v>
      </c>
      <c r="D63" s="104" t="e">
        <f t="shared" si="3"/>
        <v>#REF!</v>
      </c>
      <c r="E63" s="104" t="e">
        <f t="shared" si="3"/>
        <v>#REF!</v>
      </c>
    </row>
    <row r="64" spans="1:5">
      <c r="A64" s="99" t="s">
        <v>670</v>
      </c>
      <c r="B64" s="104" t="e">
        <f t="shared" si="3"/>
        <v>#REF!</v>
      </c>
      <c r="C64" s="104" t="e">
        <f t="shared" si="3"/>
        <v>#REF!</v>
      </c>
      <c r="D64" s="104" t="e">
        <f t="shared" si="3"/>
        <v>#REF!</v>
      </c>
      <c r="E64" s="104" t="e">
        <f t="shared" si="3"/>
        <v>#REF!</v>
      </c>
    </row>
    <row r="65" spans="1:5">
      <c r="A65" s="99" t="s">
        <v>671</v>
      </c>
      <c r="B65" s="104" t="e">
        <f t="shared" si="3"/>
        <v>#REF!</v>
      </c>
      <c r="C65" s="104" t="e">
        <f t="shared" si="3"/>
        <v>#REF!</v>
      </c>
      <c r="D65" s="104" t="e">
        <f t="shared" si="3"/>
        <v>#REF!</v>
      </c>
      <c r="E65" s="104" t="e">
        <f t="shared" si="3"/>
        <v>#REF!</v>
      </c>
    </row>
    <row r="66" spans="1:5">
      <c r="A66" s="99" t="s">
        <v>672</v>
      </c>
      <c r="B66" s="104" t="e">
        <f t="shared" si="3"/>
        <v>#REF!</v>
      </c>
      <c r="C66" s="104" t="e">
        <f t="shared" si="3"/>
        <v>#REF!</v>
      </c>
      <c r="D66" s="104" t="e">
        <f t="shared" si="3"/>
        <v>#REF!</v>
      </c>
      <c r="E66" s="104" t="e">
        <f t="shared" si="3"/>
        <v>#REF!</v>
      </c>
    </row>
    <row r="68" spans="1:5">
      <c r="A68" s="165" t="str">
        <f>A26</f>
        <v>偿债能力分析</v>
      </c>
      <c r="B68" s="165"/>
      <c r="C68" s="165"/>
      <c r="D68" s="165"/>
      <c r="E68" s="165"/>
    </row>
    <row r="69" spans="1:5">
      <c r="A69" s="107" t="str">
        <f>A1</f>
        <v>项目</v>
      </c>
      <c r="B69" s="108">
        <f t="shared" ref="B69:E69" si="4">B1</f>
        <v>43465</v>
      </c>
      <c r="C69" s="108">
        <f t="shared" si="4"/>
        <v>43830</v>
      </c>
      <c r="D69" s="108">
        <f t="shared" si="4"/>
        <v>44196</v>
      </c>
      <c r="E69" s="108" t="e">
        <f t="shared" si="4"/>
        <v>#REF!</v>
      </c>
    </row>
    <row r="70" spans="1:5">
      <c r="A70" s="99" t="str">
        <f>A27</f>
        <v>流动比率</v>
      </c>
      <c r="B70" s="103" t="e">
        <f t="shared" ref="B70:E75" si="5">B27</f>
        <v>#REF!</v>
      </c>
      <c r="C70" s="103" t="e">
        <f t="shared" si="5"/>
        <v>#REF!</v>
      </c>
      <c r="D70" s="103" t="e">
        <f t="shared" si="5"/>
        <v>#N/A</v>
      </c>
      <c r="E70" s="103" t="e">
        <f t="shared" si="5"/>
        <v>#REF!</v>
      </c>
    </row>
    <row r="71" spans="1:5">
      <c r="A71" s="99" t="str">
        <f t="shared" ref="A71:A75" si="6">A28</f>
        <v>速动比率</v>
      </c>
      <c r="B71" s="103" t="e">
        <f t="shared" si="5"/>
        <v>#REF!</v>
      </c>
      <c r="C71" s="103" t="e">
        <f t="shared" si="5"/>
        <v>#REF!</v>
      </c>
      <c r="D71" s="103" t="e">
        <f t="shared" si="5"/>
        <v>#N/A</v>
      </c>
      <c r="E71" s="103" t="e">
        <f t="shared" si="5"/>
        <v>#REF!</v>
      </c>
    </row>
    <row r="72" spans="1:5">
      <c r="A72" s="99" t="str">
        <f t="shared" si="6"/>
        <v>股东权益比(%)</v>
      </c>
      <c r="B72" s="104" t="e">
        <f t="shared" si="5"/>
        <v>#REF!</v>
      </c>
      <c r="C72" s="105" t="e">
        <f t="shared" si="5"/>
        <v>#REF!</v>
      </c>
      <c r="D72" s="106" t="e">
        <f t="shared" si="5"/>
        <v>#N/A</v>
      </c>
      <c r="E72" s="106" t="e">
        <f t="shared" si="5"/>
        <v>#REF!</v>
      </c>
    </row>
    <row r="73" spans="1:5">
      <c r="A73" s="99" t="str">
        <f t="shared" si="6"/>
        <v>资产负债率(%)</v>
      </c>
      <c r="B73" s="104" t="e">
        <f t="shared" si="5"/>
        <v>#REF!</v>
      </c>
      <c r="C73" s="105" t="e">
        <f t="shared" si="5"/>
        <v>#REF!</v>
      </c>
      <c r="D73" s="106" t="e">
        <f t="shared" si="5"/>
        <v>#N/A</v>
      </c>
      <c r="E73" s="106" t="e">
        <f t="shared" si="5"/>
        <v>#REF!</v>
      </c>
    </row>
    <row r="74" spans="1:5">
      <c r="A74" s="99" t="str">
        <f t="shared" si="6"/>
        <v>流动负债率(%)</v>
      </c>
      <c r="B74" s="104" t="e">
        <f t="shared" si="5"/>
        <v>#REF!</v>
      </c>
      <c r="C74" s="105" t="e">
        <f t="shared" si="5"/>
        <v>#REF!</v>
      </c>
      <c r="D74" s="106" t="e">
        <f t="shared" si="5"/>
        <v>#N/A</v>
      </c>
      <c r="E74" s="106" t="e">
        <f t="shared" si="5"/>
        <v>#REF!</v>
      </c>
    </row>
    <row r="75" spans="1:5">
      <c r="A75" s="99" t="str">
        <f t="shared" si="6"/>
        <v>EBITDA利息倍数</v>
      </c>
      <c r="B75" s="103" t="e">
        <f t="shared" si="5"/>
        <v>#REF!</v>
      </c>
      <c r="C75" s="103" t="e">
        <f t="shared" si="5"/>
        <v>#REF!</v>
      </c>
      <c r="D75" s="103" t="e">
        <f t="shared" si="5"/>
        <v>#REF!</v>
      </c>
      <c r="E75" s="103" t="e">
        <f t="shared" si="5"/>
        <v>#REF!</v>
      </c>
    </row>
  </sheetData>
  <customSheetViews>
    <customSheetView guid="{EFE5EB9F-962C-4232-9E60-22B2AE19D01B}">
      <pane xSplit="1" ySplit="1" topLeftCell="B2" state="frozen"/>
      <selection activeCell="C23" sqref="C23"/>
      <pageMargins left="0.75" right="0.75" top="1" bottom="1" header="0.5" footer="0.5"/>
      <pageSetup paperSize="9" orientation="portrait"/>
      <headerFooter alignWithMargins="0"/>
    </customSheetView>
  </customSheetViews>
  <mergeCells count="8">
    <mergeCell ref="A57:E57"/>
    <mergeCell ref="A60:E60"/>
    <mergeCell ref="A68:E68"/>
    <mergeCell ref="A26:E26"/>
    <mergeCell ref="A33:E33"/>
    <mergeCell ref="A41:E41"/>
    <mergeCell ref="A47:E47"/>
    <mergeCell ref="A54:E54"/>
  </mergeCells>
  <phoneticPr fontId="47" type="noConversion"/>
  <dataValidations count="1">
    <dataValidation type="list" allowBlank="1" showInputMessage="1" showErrorMessage="1" sqref="G6" xr:uid="{00000000-0002-0000-0700-000001000000}">
      <formula1>"单位：元,单位：万元"</formula1>
    </dataValidation>
  </dataValidations>
  <pageMargins left="0.75" right="0.75" top="1" bottom="1" header="0.5" footer="0.5"/>
  <pageSetup paperSize="9" orientation="portrait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bs!$C$1:$P$1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8" filterMode="1"/>
  <dimension ref="B1:O92"/>
  <sheetViews>
    <sheetView topLeftCell="B1" workbookViewId="0">
      <selection activeCell="O92" sqref="O92"/>
    </sheetView>
  </sheetViews>
  <sheetFormatPr defaultColWidth="9" defaultRowHeight="12.75"/>
  <cols>
    <col min="2" max="2" width="16.140625" style="78" customWidth="1"/>
    <col min="3" max="3" width="11.7109375" style="79" customWidth="1"/>
    <col min="4" max="4" width="8.5703125" style="79" customWidth="1"/>
    <col min="5" max="5" width="11.7109375" style="79" customWidth="1"/>
    <col min="6" max="6" width="8.5703125" style="79" customWidth="1"/>
    <col min="7" max="7" width="11.7109375" style="79" customWidth="1"/>
    <col min="8" max="8" width="8.5703125" style="79" customWidth="1"/>
    <col min="9" max="9" width="11.7109375" style="79" customWidth="1"/>
    <col min="10" max="10" width="8.5703125" style="79" customWidth="1"/>
    <col min="12" max="12" width="7.85546875" customWidth="1"/>
    <col min="13" max="13" width="16.42578125" customWidth="1"/>
    <col min="14" max="14" width="19" customWidth="1"/>
  </cols>
  <sheetData>
    <row r="1" spans="2:14">
      <c r="B1" s="171" t="s">
        <v>532</v>
      </c>
      <c r="C1" s="171"/>
      <c r="D1" s="171"/>
      <c r="E1" s="171"/>
      <c r="F1" s="171"/>
      <c r="G1" s="171"/>
      <c r="H1" s="171"/>
      <c r="I1" s="171"/>
      <c r="J1" s="171"/>
    </row>
    <row r="2" spans="2:14">
      <c r="B2" s="174" t="s">
        <v>679</v>
      </c>
      <c r="C2" s="172">
        <f>'财务分析（2022）版'!B3</f>
        <v>45443</v>
      </c>
      <c r="D2" s="173"/>
      <c r="E2" s="172">
        <f>DATE(YEAR(C2)-1,12,31)</f>
        <v>45291</v>
      </c>
      <c r="F2" s="173"/>
      <c r="G2" s="172">
        <f>DATE(YEAR(E2)-1,12,31)</f>
        <v>44926</v>
      </c>
      <c r="H2" s="173"/>
      <c r="I2" s="172">
        <f>DATE(YEAR(G2)-1,12,31)</f>
        <v>44561</v>
      </c>
      <c r="J2" s="173"/>
      <c r="L2" s="12" t="s">
        <v>710</v>
      </c>
      <c r="M2" s="12"/>
    </row>
    <row r="3" spans="2:14">
      <c r="B3" s="174"/>
      <c r="C3" s="80" t="s">
        <v>711</v>
      </c>
      <c r="D3" s="80" t="s">
        <v>712</v>
      </c>
      <c r="E3" s="80" t="s">
        <v>711</v>
      </c>
      <c r="F3" s="80" t="s">
        <v>712</v>
      </c>
      <c r="G3" s="80" t="s">
        <v>711</v>
      </c>
      <c r="H3" s="80" t="s">
        <v>712</v>
      </c>
      <c r="I3" s="80" t="s">
        <v>711</v>
      </c>
      <c r="J3" s="80" t="s">
        <v>712</v>
      </c>
      <c r="L3" s="12" t="s">
        <v>713</v>
      </c>
      <c r="M3" s="12" t="s">
        <v>714</v>
      </c>
    </row>
    <row r="4" spans="2:14">
      <c r="B4" s="81" t="s">
        <v>715</v>
      </c>
      <c r="C4" s="82">
        <f>ROUND(HLOOKUP($C$2,bs!$C$1:$AA$110,MATCH("*"&amp;B4&amp;"*",bs!$B$1:$B$110,),FALSE),0)/IF(LEN($B$1)&gt;4,10000,1)</f>
        <v>121.4174</v>
      </c>
      <c r="D4" s="83">
        <f t="shared" ref="D4:D10" si="0">C4/$C$45</f>
        <v>1.2896633368939439E-3</v>
      </c>
      <c r="E4" s="82">
        <f>ROUND(HLOOKUP($E$2,bs!$C$1:$AA$110,MATCH("*"&amp;B4&amp;"*",bs!$B$1:$B$110,),FALSE),0)/IF(LEN($B$1)&gt;4,10000,1)</f>
        <v>638.14610000000005</v>
      </c>
      <c r="F4" s="83">
        <f t="shared" ref="F4:F10" si="1">E4/$E$45</f>
        <v>1.0486847254659802E-2</v>
      </c>
      <c r="G4" s="84">
        <f>ROUND(HLOOKUP($G$2,bs!$C$1:$AA$110,MATCH("*"&amp;B4&amp;"*",bs!$B$1:$B$110,),FALSE),0)/IF(LEN($B$1)&gt;4,10000,1)</f>
        <v>7.1806000000000001</v>
      </c>
      <c r="H4" s="83">
        <f t="shared" ref="H4:H10" si="2">G4/$G$45</f>
        <v>1.5345388359785429E-4</v>
      </c>
      <c r="I4" s="84">
        <f>ROUND(HLOOKUP($I$2,bs!$C$1:$AA$110,MATCH("*"&amp;B4&amp;"*",bs!$B$1:$B$110,),FALSE),0)/IF(LEN($B$1)&gt;4,10000,1)</f>
        <v>461.34780000000001</v>
      </c>
      <c r="J4" s="83">
        <f t="shared" ref="J4:J10" si="3">I4/$I$45</f>
        <v>2.6349606463738073E-2</v>
      </c>
      <c r="L4" s="91">
        <f>D4+F4+H4+J4</f>
        <v>3.8279570938889673E-2</v>
      </c>
      <c r="M4" s="91" t="str">
        <f>B4</f>
        <v>货币资金</v>
      </c>
      <c r="N4" t="str">
        <f>CONCATENATE("近三年及一期，拟承租人",B4,"分别为",ROUND(I4,2),"万元、",ROUND(G4,2),"万元、",ROUND(E4,2),"万元及",ROUND(C4,2),"万元。","占总资产的比重分别为",TEXT(J4,"0.00%"),"、",TEXT(H4,"0.00%"),"、",TEXT(F4,"0.00%"),"和",TEXT(D4,"0.00%"),"。")</f>
        <v>近三年及一期，拟承租人货币资金分别为461.35万元、7.18万元、638.15万元及121.42万元。占总资产的比重分别为2.63%、0.02%、1.05%和0.13%。</v>
      </c>
    </row>
    <row r="5" spans="2:14" hidden="1">
      <c r="B5" s="81" t="s">
        <v>716</v>
      </c>
      <c r="C5" s="82">
        <f>ROUND(HLOOKUP($C$2,bs!$C$1:$AA$110,MATCH("*"&amp;B5&amp;"*",bs!$B$1:$B$110,),FALSE),0)/IF(LEN($B$1)&gt;4,10000,1)</f>
        <v>0</v>
      </c>
      <c r="D5" s="83">
        <f t="shared" si="0"/>
        <v>0</v>
      </c>
      <c r="E5" s="82">
        <f>ROUND(HLOOKUP($E$2,bs!$C$1:$AA$110,MATCH("*"&amp;B5&amp;"*",bs!$B$1:$B$110,),FALSE),0)/IF(LEN($B$1)&gt;4,10000,1)</f>
        <v>0</v>
      </c>
      <c r="F5" s="83">
        <f t="shared" si="1"/>
        <v>0</v>
      </c>
      <c r="G5" s="84">
        <f>ROUND(HLOOKUP($G$2,bs!$C$1:$AA$110,MATCH("*"&amp;B5&amp;"*",bs!$B$1:$B$110,),FALSE),0)/IF(LEN($B$1)&gt;4,10000,1)</f>
        <v>0</v>
      </c>
      <c r="H5" s="83">
        <f t="shared" si="2"/>
        <v>0</v>
      </c>
      <c r="I5" s="84">
        <f>ROUND(HLOOKUP($I$2,bs!$C$1:$AA$110,MATCH("*"&amp;B5&amp;"*",bs!$B$1:$B$110,),FALSE),0)/IF(LEN($B$1)&gt;4,10000,1)</f>
        <v>0</v>
      </c>
      <c r="J5" s="83">
        <f t="shared" si="3"/>
        <v>0</v>
      </c>
      <c r="L5" s="91">
        <f t="shared" ref="L5:L68" si="4">D5+F5+H5+J5</f>
        <v>0</v>
      </c>
      <c r="M5" s="91"/>
    </row>
    <row r="6" spans="2:14" hidden="1">
      <c r="B6" s="81" t="s">
        <v>717</v>
      </c>
      <c r="C6" s="82">
        <f>ROUND(HLOOKUP($C$2,bs!$C$1:$AA$110,MATCH("*"&amp;B6&amp;"*",bs!$B$1:$B$110,),FALSE),0)/IF(LEN($B$1)&gt;4,10000,1)</f>
        <v>0</v>
      </c>
      <c r="D6" s="83">
        <f t="shared" si="0"/>
        <v>0</v>
      </c>
      <c r="E6" s="82">
        <f>ROUND(HLOOKUP($E$2,bs!$C$1:$AA$110,MATCH("*"&amp;B6&amp;"*",bs!$B$1:$B$110,),FALSE),0)/IF(LEN($B$1)&gt;4,10000,1)</f>
        <v>0</v>
      </c>
      <c r="F6" s="83">
        <f t="shared" si="1"/>
        <v>0</v>
      </c>
      <c r="G6" s="84">
        <f>ROUND(HLOOKUP($G$2,bs!$C$1:$AA$110,MATCH("*"&amp;B6&amp;"*",bs!$B$1:$B$110,),FALSE),0)/IF(LEN($B$1)&gt;4,10000,1)</f>
        <v>0</v>
      </c>
      <c r="H6" s="83">
        <f t="shared" si="2"/>
        <v>0</v>
      </c>
      <c r="I6" s="84">
        <f>ROUND(HLOOKUP($I$2,bs!$C$1:$AA$110,MATCH("*"&amp;B6&amp;"*",bs!$B$1:$B$110,),FALSE),0)/IF(LEN($B$1)&gt;4,10000,1)</f>
        <v>0</v>
      </c>
      <c r="J6" s="83">
        <f t="shared" si="3"/>
        <v>0</v>
      </c>
      <c r="L6" s="91">
        <f t="shared" si="4"/>
        <v>0</v>
      </c>
      <c r="M6" s="91"/>
    </row>
    <row r="7" spans="2:14">
      <c r="B7" s="81" t="s">
        <v>718</v>
      </c>
      <c r="C7" s="82">
        <f>ROUND(HLOOKUP($C$2,bs!$C$1:$AA$110,MATCH("*"&amp;B7&amp;"*",bs!$B$1:$B$110,),FALSE),0)/IF(LEN($B$1)&gt;4,10000,1)</f>
        <v>46.242600000000003</v>
      </c>
      <c r="D7" s="83">
        <f t="shared" si="0"/>
        <v>4.9117660090441646E-4</v>
      </c>
      <c r="E7" s="82">
        <f>ROUND(HLOOKUP($E$2,bs!$C$1:$AA$110,MATCH("*"&amp;B7&amp;"*",bs!$B$1:$B$110,),FALSE),0)/IF(LEN($B$1)&gt;4,10000,1)</f>
        <v>1001.3315</v>
      </c>
      <c r="F7" s="83">
        <f t="shared" si="1"/>
        <v>1.6455182428881696E-2</v>
      </c>
      <c r="G7" s="84">
        <f>ROUND(HLOOKUP($G$2,bs!$C$1:$AA$110,MATCH("*"&amp;B7&amp;"*",bs!$B$1:$B$110,),FALSE),0)/IF(LEN($B$1)&gt;4,10000,1)</f>
        <v>0</v>
      </c>
      <c r="H7" s="83">
        <f t="shared" si="2"/>
        <v>0</v>
      </c>
      <c r="I7" s="84">
        <f>ROUND(HLOOKUP($I$2,bs!$C$1:$AA$110,MATCH("*"&amp;B7&amp;"*",bs!$B$1:$B$110,),FALSE),0)/IF(LEN($B$1)&gt;4,10000,1)</f>
        <v>0</v>
      </c>
      <c r="J7" s="83">
        <f t="shared" si="3"/>
        <v>0</v>
      </c>
      <c r="L7" s="91">
        <f t="shared" si="4"/>
        <v>1.6946359029786112E-2</v>
      </c>
      <c r="M7" s="91" t="str">
        <f>B7</f>
        <v>应收账款</v>
      </c>
      <c r="N7" t="str">
        <f>CONCATENATE("近三年及一期，拟承租人",B7,"分别为",ROUND(I7,2),"万元、",ROUND(G7,2),"万元、",ROUND(E7,2),"万元及",ROUND(C7,2),"万元。","占总资产的比重分别为",TEXT(J7,"0.00%"),"、",TEXT(H7,"0.00%"),"、",TEXT(F7,"0.00%"),"和",TEXT(D7,"0.00%"),"。")</f>
        <v>近三年及一期，拟承租人应收账款分别为0万元、0万元、1001.33万元及46.24万元。占总资产的比重分别为0.00%、0.00%、1.65%和0.05%。</v>
      </c>
    </row>
    <row r="8" spans="2:14" hidden="1">
      <c r="B8" s="81" t="s">
        <v>539</v>
      </c>
      <c r="C8" s="82">
        <f>ROUND(HLOOKUP($C$2,bs!$C$1:$AA$110,MATCH("*"&amp;B8&amp;"*",bs!$B$1:$B$110,),FALSE),0)/IF(LEN($B$1)&gt;4,10000,1)</f>
        <v>0</v>
      </c>
      <c r="D8" s="83">
        <f t="shared" si="0"/>
        <v>0</v>
      </c>
      <c r="E8" s="82">
        <f>ROUND(HLOOKUP($E$2,bs!$C$1:$AA$110,MATCH("*"&amp;B8&amp;"*",bs!$B$1:$B$110,),FALSE),0)/IF(LEN($B$1)&gt;4,10000,1)</f>
        <v>0</v>
      </c>
      <c r="F8" s="83">
        <f t="shared" si="1"/>
        <v>0</v>
      </c>
      <c r="G8" s="84">
        <f>ROUND(HLOOKUP($G$2,bs!$C$1:$AA$110,MATCH("*"&amp;B8&amp;"*",bs!$B$1:$B$110,),FALSE),0)/IF(LEN($B$1)&gt;4,10000,1)</f>
        <v>0</v>
      </c>
      <c r="H8" s="83">
        <f t="shared" si="2"/>
        <v>0</v>
      </c>
      <c r="I8" s="84">
        <f>ROUND(HLOOKUP($I$2,bs!$C$1:$AA$110,MATCH("*"&amp;B8&amp;"*",bs!$B$1:$B$110,),FALSE),0)/IF(LEN($B$1)&gt;4,10000,1)</f>
        <v>0</v>
      </c>
      <c r="J8" s="83">
        <f t="shared" si="3"/>
        <v>0</v>
      </c>
      <c r="L8" s="91">
        <f t="shared" si="4"/>
        <v>0</v>
      </c>
      <c r="M8" s="91"/>
    </row>
    <row r="9" spans="2:14">
      <c r="B9" s="81" t="s">
        <v>719</v>
      </c>
      <c r="C9" s="82">
        <f>ROUND(HLOOKUP($C$2,bs!$C$1:$AA$110,MATCH("*"&amp;B9&amp;"*",bs!$B$1:$B$110,),FALSE),0)/IF(LEN($B$1)&gt;4,10000,1)</f>
        <v>37243.801700000004</v>
      </c>
      <c r="D9" s="83">
        <f t="shared" si="0"/>
        <v>0.39559375821783654</v>
      </c>
      <c r="E9" s="82">
        <f>ROUND(HLOOKUP($E$2,bs!$C$1:$AA$110,MATCH("*"&amp;B9&amp;"*",bs!$B$1:$B$110,),FALSE),0)/IF(LEN($B$1)&gt;4,10000,1)</f>
        <v>250.2946</v>
      </c>
      <c r="F9" s="83">
        <f t="shared" si="1"/>
        <v>4.1131666226059726E-3</v>
      </c>
      <c r="G9" s="84">
        <f>ROUND(HLOOKUP($G$2,bs!$C$1:$AA$110,MATCH("*"&amp;B9&amp;"*",bs!$B$1:$B$110,),FALSE),0)/IF(LEN($B$1)&gt;4,10000,1)</f>
        <v>34697.095699999998</v>
      </c>
      <c r="H9" s="83">
        <f t="shared" si="2"/>
        <v>0.74149849382104693</v>
      </c>
      <c r="I9" s="84">
        <f>ROUND(HLOOKUP($I$2,bs!$C$1:$AA$110,MATCH("*"&amp;B9&amp;"*",bs!$B$1:$B$110,),FALSE),0)/IF(LEN($B$1)&gt;4,10000,1)</f>
        <v>13716.7917</v>
      </c>
      <c r="J9" s="83">
        <f t="shared" si="3"/>
        <v>0.78342643714800142</v>
      </c>
      <c r="L9" s="91">
        <f t="shared" si="4"/>
        <v>1.924631855809491</v>
      </c>
      <c r="M9" s="91" t="str">
        <f>B9</f>
        <v>预付款项</v>
      </c>
      <c r="N9" t="str">
        <f>CONCATENATE("近三年及一期，拟承租人",B9,"分别为",ROUND(I9,2),"万元、",ROUND(G9,2),"万元、",ROUND(E9,2),"万元及",ROUND(C9,2),"万元。","占总资产的比重分别为",TEXT(J9,"0.00%"),"、",TEXT(H9,"0.00%"),"、",TEXT(F9,"0.00%"),"和",TEXT(D9,"0.00%"),"。")</f>
        <v>近三年及一期，拟承租人预付款项分别为13716.79万元、34697.1万元、250.29万元及37243.8万元。占总资产的比重分别为78.34%、74.15%、0.41%和39.56%。</v>
      </c>
    </row>
    <row r="10" spans="2:14">
      <c r="B10" s="81" t="s">
        <v>720</v>
      </c>
      <c r="C10" s="82">
        <f>ROUND(HLOOKUP($C$2,bs!$C$1:$AA$110,MATCH("*"&amp;B10&amp;"*",bs!$B$1:$B$110,),FALSE),0)/IF(LEN($B$1)&gt;4,10000,1)</f>
        <v>1752.1315</v>
      </c>
      <c r="D10" s="83">
        <f t="shared" si="0"/>
        <v>1.8610674886523605E-2</v>
      </c>
      <c r="E10" s="82">
        <f>ROUND(HLOOKUP($E$2,bs!$C$1:$AA$110,MATCH("*"&amp;B10&amp;"*",bs!$B$1:$B$110,),FALSE),0)/IF(LEN($B$1)&gt;4,10000,1)</f>
        <v>2501.4011</v>
      </c>
      <c r="F10" s="83">
        <f t="shared" si="1"/>
        <v>4.1106278418590991E-2</v>
      </c>
      <c r="G10" s="84">
        <f>ROUND(HLOOKUP($G$2,bs!$C$1:$AA$110,MATCH("*"&amp;B10&amp;"*",bs!$B$1:$B$110,),FALSE),0)/IF(LEN($B$1)&gt;4,10000,1)</f>
        <v>0.35</v>
      </c>
      <c r="H10" s="83">
        <f t="shared" si="2"/>
        <v>7.4797174691876715E-6</v>
      </c>
      <c r="I10" s="84">
        <f>ROUND(HLOOKUP($I$2,bs!$C$1:$AA$110,MATCH("*"&amp;B10&amp;"*",bs!$B$1:$B$110,),FALSE),0)/IF(LEN($B$1)&gt;4,10000,1)</f>
        <v>0.2</v>
      </c>
      <c r="J10" s="83">
        <f t="shared" si="3"/>
        <v>1.1422881593339373E-5</v>
      </c>
      <c r="L10" s="91">
        <f t="shared" si="4"/>
        <v>5.9735855904177119E-2</v>
      </c>
      <c r="M10" s="91" t="str">
        <f>B10</f>
        <v>其他应收款</v>
      </c>
      <c r="N10" t="str">
        <f>CONCATENATE("近三年及一期，拟承租人",B10,"分别为",ROUND(I10,2),"万元、",ROUND(G10,2),"万元、",ROUND(E10,2),"万元及",ROUND(C10,2),"万元。","占总资产的比重分别为",TEXT(J10,"0.00%"),"、",TEXT(H10,"0.00%"),"、",TEXT(F10,"0.00%"),"和",TEXT(D10,"0.00%"),"。")</f>
        <v>近三年及一期，拟承租人其他应收款分别为0.2万元、0.35万元、2501.4万元及1752.13万元。占总资产的比重分别为0.00%、0.00%、4.11%和1.86%。</v>
      </c>
    </row>
    <row r="11" spans="2:14" hidden="1">
      <c r="B11" s="81" t="s">
        <v>307</v>
      </c>
      <c r="C11" s="82">
        <f>ROUND(HLOOKUP($C$2,bs!$C$1:$AA$110,MATCH("*"&amp;B11&amp;"*",bs!$B$1:$B$110,),FALSE),0)/IF(LEN($B$1)&gt;4,10000,1)</f>
        <v>0</v>
      </c>
      <c r="D11" s="83">
        <f t="shared" ref="D11:D17" si="5">C11/$C$45</f>
        <v>0</v>
      </c>
      <c r="E11" s="82">
        <f>ROUND(HLOOKUP($E$2,bs!$C$1:$AA$110,MATCH("*"&amp;B11&amp;"*",bs!$B$1:$B$110,),FALSE),0)/IF(LEN($B$1)&gt;4,10000,1)</f>
        <v>0</v>
      </c>
      <c r="F11" s="83">
        <f t="shared" ref="F11:F17" si="6">E11/$E$45</f>
        <v>0</v>
      </c>
      <c r="G11" s="84">
        <f>ROUND(HLOOKUP($G$2,bs!$C$1:$AA$110,MATCH("*"&amp;B11&amp;"*",bs!$B$1:$B$110,),FALSE),0)/IF(LEN($B$1)&gt;4,10000,1)</f>
        <v>0</v>
      </c>
      <c r="H11" s="83">
        <f t="shared" ref="H11:H17" si="7">G11/$G$45</f>
        <v>0</v>
      </c>
      <c r="I11" s="84">
        <f>ROUND(HLOOKUP($I$2,bs!$C$1:$AA$110,MATCH("*"&amp;B11&amp;"*",bs!$B$1:$B$110,),FALSE),0)/IF(LEN($B$1)&gt;4,10000,1)</f>
        <v>0</v>
      </c>
      <c r="J11" s="83">
        <f t="shared" ref="J11:J16" si="8">I11/$I$45</f>
        <v>0</v>
      </c>
      <c r="L11" s="91">
        <f t="shared" si="4"/>
        <v>0</v>
      </c>
      <c r="M11" s="91"/>
    </row>
    <row r="12" spans="2:14" hidden="1">
      <c r="B12" s="81" t="s">
        <v>721</v>
      </c>
      <c r="C12" s="82">
        <f>ROUND(HLOOKUP($C$2,bs!$C$1:$AA$110,MATCH("*"&amp;B12&amp;"*",bs!$B$1:$B$110,),FALSE),0)/IF(LEN($B$1)&gt;4,10000,1)</f>
        <v>0</v>
      </c>
      <c r="D12" s="83">
        <f t="shared" si="5"/>
        <v>0</v>
      </c>
      <c r="E12" s="82">
        <f>ROUND(HLOOKUP($E$2,bs!$C$1:$AA$110,MATCH("*"&amp;B12&amp;"*",bs!$B$1:$B$110,),FALSE),0)/IF(LEN($B$1)&gt;4,10000,1)</f>
        <v>0</v>
      </c>
      <c r="F12" s="83">
        <f t="shared" si="6"/>
        <v>0</v>
      </c>
      <c r="G12" s="84">
        <f>ROUND(HLOOKUP($G$2,bs!$C$1:$AA$110,MATCH("*"&amp;B12&amp;"*",bs!$B$1:$B$110,),FALSE),0)/IF(LEN($B$1)&gt;4,10000,1)</f>
        <v>0</v>
      </c>
      <c r="H12" s="83">
        <f t="shared" si="7"/>
        <v>0</v>
      </c>
      <c r="I12" s="84">
        <f>ROUND(HLOOKUP($I$2,bs!$C$1:$AA$110,MATCH("*"&amp;B12&amp;"*",bs!$B$1:$B$110,),FALSE),0)/IF(LEN($B$1)&gt;4,10000,1)</f>
        <v>0</v>
      </c>
      <c r="J12" s="83">
        <f t="shared" si="8"/>
        <v>0</v>
      </c>
      <c r="L12" s="91">
        <f t="shared" si="4"/>
        <v>0</v>
      </c>
      <c r="M12" s="91"/>
    </row>
    <row r="13" spans="2:14">
      <c r="B13" s="81" t="s">
        <v>722</v>
      </c>
      <c r="C13" s="82">
        <f>ROUND(HLOOKUP($C$2,bs!$C$1:$AA$110,MATCH("*"&amp;B13&amp;"*",bs!$B$1:$B$110,),FALSE),0)/IF(LEN($B$1)&gt;4,10000,1)</f>
        <v>1192.5833</v>
      </c>
      <c r="D13" s="83">
        <f t="shared" si="5"/>
        <v>1.266730269468784E-2</v>
      </c>
      <c r="E13" s="82">
        <f>ROUND(HLOOKUP($E$2,bs!$C$1:$AA$110,MATCH("*"&amp;B13&amp;"*",bs!$B$1:$B$110,),FALSE),0)/IF(LEN($B$1)&gt;4,10000,1)</f>
        <v>720.50289999999995</v>
      </c>
      <c r="F13" s="83">
        <f t="shared" si="6"/>
        <v>1.1840241378642641E-2</v>
      </c>
      <c r="G13" s="84">
        <f>ROUND(HLOOKUP($G$2,bs!$C$1:$AA$110,MATCH("*"&amp;B13&amp;"*",bs!$B$1:$B$110,),FALSE),0)/IF(LEN($B$1)&gt;4,10000,1)</f>
        <v>0</v>
      </c>
      <c r="H13" s="83">
        <f t="shared" si="7"/>
        <v>0</v>
      </c>
      <c r="I13" s="84">
        <f>ROUND(HLOOKUP($I$2,bs!$C$1:$AA$110,MATCH("*"&amp;B13&amp;"*",bs!$B$1:$B$110,),FALSE),0)/IF(LEN($B$1)&gt;4,10000,1)</f>
        <v>0</v>
      </c>
      <c r="J13" s="83">
        <f t="shared" si="8"/>
        <v>0</v>
      </c>
      <c r="L13" s="91">
        <f t="shared" si="4"/>
        <v>2.450754407333048E-2</v>
      </c>
      <c r="M13" s="91" t="str">
        <f>B13</f>
        <v>存货</v>
      </c>
      <c r="N13" t="str">
        <f>CONCATENATE("近三年及一期，拟承租人",B13,"分别为",ROUND(I13,2),"万元、",ROUND(G13,2),"万元、",ROUND(E13,2),"万元及",ROUND(C13,2),"万元。","占总资产的比重分别为",TEXT(J13,"0.00%"),"、",TEXT(H13,"0.00%"),"、",TEXT(F13,"0.00%"),"和",TEXT(D13,"0.00%"),"。")</f>
        <v>近三年及一期，拟承租人存货分别为0万元、0万元、720.5万元及1192.58万元。占总资产的比重分别为0.00%、0.00%、1.18%和1.27%。</v>
      </c>
    </row>
    <row r="14" spans="2:14" hidden="1">
      <c r="B14" s="81" t="s">
        <v>723</v>
      </c>
      <c r="C14" s="82">
        <f>ROUND(HLOOKUP($C$2,bs!$C$1:$AA$110,MATCH("*"&amp;B14&amp;"*",bs!$B$1:$B$110,),FALSE),0)/IF(LEN($B$1)&gt;4,10000,1)</f>
        <v>0</v>
      </c>
      <c r="D14" s="83">
        <f t="shared" si="5"/>
        <v>0</v>
      </c>
      <c r="E14" s="82">
        <f>ROUND(HLOOKUP($E$2,bs!$C$1:$AA$110,MATCH("*"&amp;B14&amp;"*",bs!$B$1:$B$110,),FALSE),0)/IF(LEN($B$1)&gt;4,10000,1)</f>
        <v>0</v>
      </c>
      <c r="F14" s="83">
        <f t="shared" si="6"/>
        <v>0</v>
      </c>
      <c r="G14" s="84">
        <f>ROUND(HLOOKUP($G$2,bs!$C$1:$AA$110,MATCH("*"&amp;B14&amp;"*",bs!$B$1:$B$110,),FALSE),0)/IF(LEN($B$1)&gt;4,10000,1)</f>
        <v>0</v>
      </c>
      <c r="H14" s="83">
        <f t="shared" si="7"/>
        <v>0</v>
      </c>
      <c r="I14" s="84">
        <f>ROUND(HLOOKUP($I$2,bs!$C$1:$AA$110,MATCH("*"&amp;B14&amp;"*",bs!$B$1:$B$110,),FALSE),0)/IF(LEN($B$1)&gt;4,10000,1)</f>
        <v>0</v>
      </c>
      <c r="J14" s="83">
        <f t="shared" si="8"/>
        <v>0</v>
      </c>
      <c r="L14" s="91">
        <f t="shared" si="4"/>
        <v>0</v>
      </c>
      <c r="M14" s="91"/>
    </row>
    <row r="15" spans="2:14" hidden="1">
      <c r="B15" s="81" t="s">
        <v>724</v>
      </c>
      <c r="C15" s="82">
        <f>ROUND(HLOOKUP($C$2,bs!$C$1:$AA$110,MATCH("*"&amp;B15&amp;"*",bs!$B$1:$B$110,),FALSE),0)/IF(LEN($B$1)&gt;4,10000,1)</f>
        <v>0</v>
      </c>
      <c r="D15" s="83">
        <f t="shared" si="5"/>
        <v>0</v>
      </c>
      <c r="E15" s="82">
        <f>ROUND(HLOOKUP($E$2,bs!$C$1:$AA$110,MATCH("*"&amp;B15&amp;"*",bs!$B$1:$B$110,),FALSE),0)/IF(LEN($B$1)&gt;4,10000,1)</f>
        <v>0</v>
      </c>
      <c r="F15" s="83">
        <f t="shared" si="6"/>
        <v>0</v>
      </c>
      <c r="G15" s="84">
        <f>ROUND(HLOOKUP($G$2,bs!$C$1:$AA$110,MATCH("*"&amp;B15&amp;"*",bs!$B$1:$B$110,),FALSE),0)/IF(LEN($B$1)&gt;4,10000,1)</f>
        <v>0</v>
      </c>
      <c r="H15" s="83">
        <f t="shared" si="7"/>
        <v>0</v>
      </c>
      <c r="I15" s="84">
        <f>ROUND(HLOOKUP($I$2,bs!$C$1:$AA$110,MATCH("*"&amp;B15&amp;"*",bs!$B$1:$B$110,),FALSE),0)/IF(LEN($B$1)&gt;4,10000,1)</f>
        <v>0</v>
      </c>
      <c r="J15" s="83">
        <f t="shared" si="8"/>
        <v>0</v>
      </c>
      <c r="L15" s="91">
        <f t="shared" si="4"/>
        <v>0</v>
      </c>
      <c r="M15" s="91"/>
    </row>
    <row r="16" spans="2:14" ht="22.5" hidden="1">
      <c r="B16" s="81" t="s">
        <v>725</v>
      </c>
      <c r="C16" s="82">
        <f>ROUND(HLOOKUP($C$2,bs!$C$1:$AA$110,MATCH("*"&amp;B16&amp;"*",bs!$B$1:$B$110,),FALSE),0)/IF(LEN($B$1)&gt;4,10000,1)</f>
        <v>0</v>
      </c>
      <c r="D16" s="83">
        <f t="shared" si="5"/>
        <v>0</v>
      </c>
      <c r="E16" s="82">
        <f>ROUND(HLOOKUP($E$2,bs!$C$1:$AA$110,MATCH("*"&amp;B16&amp;"*",bs!$B$1:$B$110,),FALSE),0)/IF(LEN($B$1)&gt;4,10000,1)</f>
        <v>0</v>
      </c>
      <c r="F16" s="83">
        <f t="shared" si="6"/>
        <v>0</v>
      </c>
      <c r="G16" s="84">
        <f>ROUND(HLOOKUP($G$2,bs!$C$1:$AA$110,MATCH("*"&amp;B16&amp;"*",bs!$B$1:$B$110,),FALSE),0)/IF(LEN($B$1)&gt;4,10000,1)</f>
        <v>0</v>
      </c>
      <c r="H16" s="83">
        <f t="shared" si="7"/>
        <v>0</v>
      </c>
      <c r="I16" s="84">
        <f>ROUND(HLOOKUP($I$2,bs!$C$1:$AA$110,MATCH("*"&amp;B16&amp;"*",bs!$B$1:$B$110,),FALSE),0)/IF(LEN($B$1)&gt;4,10000,1)</f>
        <v>0</v>
      </c>
      <c r="J16" s="83">
        <f t="shared" si="8"/>
        <v>0</v>
      </c>
      <c r="L16" s="91">
        <f t="shared" si="4"/>
        <v>0</v>
      </c>
      <c r="M16" s="91"/>
    </row>
    <row r="17" spans="2:15">
      <c r="B17" s="81" t="s">
        <v>726</v>
      </c>
      <c r="C17" s="82">
        <f>ROUND(HLOOKUP($C$2,bs!$C$1:$AA$110,MATCH("*"&amp;B17&amp;"*",bs!$B$1:$B$110,),FALSE),0)/IF(LEN($B$1)&gt;4,10000,1)</f>
        <v>0</v>
      </c>
      <c r="D17" s="83">
        <f t="shared" si="5"/>
        <v>0</v>
      </c>
      <c r="E17" s="82">
        <f>ROUND(HLOOKUP($E$2,bs!$C$1:$AA$110,MATCH("*"&amp;B17&amp;"*",bs!$B$1:$B$110,),FALSE),0)/IF(LEN($B$1)&gt;4,10000,1)</f>
        <v>974.68510000000003</v>
      </c>
      <c r="F17" s="83">
        <f t="shared" si="6"/>
        <v>1.6017294104113171E-2</v>
      </c>
      <c r="G17" s="84">
        <f>ROUND(HLOOKUP($G$2,bs!$C$1:$AA$110,MATCH("*"&amp;B17&amp;"*",bs!$B$1:$B$110,),FALSE),0)/IF(LEN($B$1)&gt;4,10000,1)</f>
        <v>694.93349999999998</v>
      </c>
      <c r="H17" s="83">
        <f t="shared" si="7"/>
        <v>1.4851160685353517E-2</v>
      </c>
      <c r="I17" s="84">
        <f>ROUND(HLOOKUP($I$2,bs!$C$1:$AA$110,MATCH("*"&amp;B17&amp;"*",bs!$B$1:$B$110,),FALSE),0)/IF(LEN($B$1)&gt;4,10000,1)</f>
        <v>8.4120000000000008</v>
      </c>
      <c r="J17" s="83">
        <f t="shared" ref="J17:J27" si="9">I17/$I$45</f>
        <v>4.8044639981585408E-4</v>
      </c>
      <c r="L17" s="91">
        <f t="shared" si="4"/>
        <v>3.1348901189282546E-2</v>
      </c>
      <c r="M17" s="91" t="str">
        <f>B17</f>
        <v>其他流动资产</v>
      </c>
      <c r="N17" t="str">
        <f>CONCATENATE("近三年及一期，拟承租人",B17,"分别为",ROUND(I17,2),"万元、",ROUND(G17,2),"万元、",ROUND(E17,2),"万元及",ROUND(C17,2),"万元。","占总资产的比重分别为",TEXT(J17,"0.00%"),"、",TEXT(H17,"0.00%"),"、",TEXT(F17,"0.00%"),"和",TEXT(D17,"0.00%"),"。")</f>
        <v>近三年及一期，拟承租人其他流动资产分别为8.41万元、694.93万元、974.69万元及0万元。占总资产的比重分别为0.05%、1.49%、1.60%和0.00%。</v>
      </c>
    </row>
    <row r="18" spans="2:15">
      <c r="B18" s="85" t="s">
        <v>553</v>
      </c>
      <c r="C18" s="82">
        <f>ROUND(HLOOKUP($C$2,bs!$C$1:$AA$110,MATCH("*"&amp;B18&amp;"*",bs!$B$1:$B$110,),FALSE),0)/IF(LEN($B$1)&gt;4,10000,1)</f>
        <v>40356.176599999999</v>
      </c>
      <c r="D18" s="86">
        <f t="shared" ref="D18:D27" si="10">C18/$C$45</f>
        <v>0.42865257679901969</v>
      </c>
      <c r="E18" s="82">
        <f>ROUND(HLOOKUP($E$2,bs!$C$1:$AA$110,MATCH("*"&amp;B18&amp;"*",bs!$B$1:$B$110,),FALSE),0)/IF(LEN($B$1)&gt;4,10000,1)</f>
        <v>6086.3612999999996</v>
      </c>
      <c r="F18" s="86">
        <f t="shared" ref="F18:F27" si="11">E18/$E$45</f>
        <v>0.10001901020749426</v>
      </c>
      <c r="G18" s="84">
        <f>ROUND(HLOOKUP($G$2,bs!$C$1:$AA$110,MATCH("*"&amp;B18&amp;"*",bs!$B$1:$B$110,),FALSE),0)/IF(LEN($B$1)&gt;4,10000,1)</f>
        <v>35399.559800000003</v>
      </c>
      <c r="H18" s="86">
        <f t="shared" ref="H18:H27" si="12">G18/$G$45</f>
        <v>0.75651058810746763</v>
      </c>
      <c r="I18" s="84">
        <f>ROUND(HLOOKUP($I$2,bs!$C$1:$AA$110,MATCH("*"&amp;B18&amp;"*",bs!$B$1:$B$110,),FALSE),0)/IF(LEN($B$1)&gt;4,10000,1)</f>
        <v>14186.751399999999</v>
      </c>
      <c r="J18" s="86">
        <f t="shared" si="9"/>
        <v>0.81026790718170782</v>
      </c>
      <c r="L18" s="91">
        <f t="shared" si="4"/>
        <v>2.0954500822956894</v>
      </c>
      <c r="M18" s="91" t="str">
        <f>B18</f>
        <v>流动资产合计</v>
      </c>
      <c r="O18" t="str">
        <f>CONCATENATE("近三年及一期，拟承租人",B18,"分别为",ROUND(I18,2),"万元、",ROUND(G18,2),"万元、",ROUND(E18,2),"万元及",ROUND(C18,2),"万元。","占总资产的比重分别为",TEXT(J18,"0.00%"),"、",TEXT(H18,"0.00%"),"、",TEXT(F18,"0.00%"),"和",TEXT(D18,"0.00%"),"。")</f>
        <v>近三年及一期，拟承租人流动资产合计分别为14186.75万元、35399.56万元、6086.36万元及40356.18万元。占总资产的比重分别为81.03%、75.65%、10.00%和42.87%。</v>
      </c>
    </row>
    <row r="19" spans="2:15" hidden="1">
      <c r="B19" s="81" t="s">
        <v>727</v>
      </c>
      <c r="C19" s="82">
        <f>ROUND(HLOOKUP($C$2,bs!$C$1:$AA$110,MATCH("*"&amp;B19&amp;"*",bs!$B$1:$B$110,),FALSE),0)/IF(LEN($B$1)&gt;4,10000,1)</f>
        <v>0</v>
      </c>
      <c r="D19" s="83">
        <f t="shared" si="10"/>
        <v>0</v>
      </c>
      <c r="E19" s="82">
        <f>ROUND(HLOOKUP($E$2,bs!$C$1:$AA$110,MATCH("*"&amp;B19&amp;"*",bs!$B$1:$B$110,),FALSE),0)/IF(LEN($B$1)&gt;4,10000,1)</f>
        <v>0</v>
      </c>
      <c r="F19" s="83">
        <f t="shared" si="11"/>
        <v>0</v>
      </c>
      <c r="G19" s="84">
        <f>ROUND(HLOOKUP($G$2,bs!$C$1:$AA$110,MATCH("*"&amp;B19&amp;"*",bs!$B$1:$B$110,),FALSE),0)/IF(LEN($B$1)&gt;4,10000,1)</f>
        <v>0</v>
      </c>
      <c r="H19" s="83">
        <f t="shared" si="12"/>
        <v>0</v>
      </c>
      <c r="I19" s="84">
        <f>ROUND(HLOOKUP($I$2,bs!$C$1:$AA$110,MATCH("*"&amp;B19&amp;"*",bs!$B$1:$B$110,),FALSE),0)/IF(LEN($B$1)&gt;4,10000,1)</f>
        <v>0</v>
      </c>
      <c r="J19" s="83">
        <f t="shared" si="9"/>
        <v>0</v>
      </c>
      <c r="L19" s="91">
        <f t="shared" si="4"/>
        <v>0</v>
      </c>
      <c r="M19" s="91"/>
    </row>
    <row r="20" spans="2:15" hidden="1">
      <c r="B20" s="81" t="s">
        <v>728</v>
      </c>
      <c r="C20" s="82">
        <f>ROUND(HLOOKUP($C$2,bs!$C$1:$AA$110,MATCH("*"&amp;B20&amp;"*",bs!$B$1:$B$110,),FALSE),0)/IF(LEN($B$1)&gt;4,10000,1)</f>
        <v>0</v>
      </c>
      <c r="D20" s="83">
        <f t="shared" si="10"/>
        <v>0</v>
      </c>
      <c r="E20" s="82">
        <f>ROUND(HLOOKUP($E$2,bs!$C$1:$AA$110,MATCH("*"&amp;B20&amp;"*",bs!$B$1:$B$110,),FALSE),0)/IF(LEN($B$1)&gt;4,10000,1)</f>
        <v>0</v>
      </c>
      <c r="F20" s="83">
        <f t="shared" si="11"/>
        <v>0</v>
      </c>
      <c r="G20" s="84">
        <f>ROUND(HLOOKUP($G$2,bs!$C$1:$AA$110,MATCH("*"&amp;B20&amp;"*",bs!$B$1:$B$110,),FALSE),0)/IF(LEN($B$1)&gt;4,10000,1)</f>
        <v>0</v>
      </c>
      <c r="H20" s="83">
        <f t="shared" si="12"/>
        <v>0</v>
      </c>
      <c r="I20" s="84">
        <f>ROUND(HLOOKUP($I$2,bs!$C$1:$AA$110,MATCH("*"&amp;B20&amp;"*",bs!$B$1:$B$110,),FALSE),0)/IF(LEN($B$1)&gt;4,10000,1)</f>
        <v>0</v>
      </c>
      <c r="J20" s="83">
        <f t="shared" si="9"/>
        <v>0</v>
      </c>
      <c r="L20" s="91">
        <f t="shared" si="4"/>
        <v>0</v>
      </c>
      <c r="M20" s="91"/>
    </row>
    <row r="21" spans="2:15" hidden="1">
      <c r="B21" s="81" t="s">
        <v>729</v>
      </c>
      <c r="C21" s="82">
        <f>ROUND(HLOOKUP($C$2,bs!$C$1:$AA$110,MATCH("*"&amp;B21&amp;"*",bs!$B$1:$B$110,),FALSE),0)/IF(LEN($B$1)&gt;4,10000,1)</f>
        <v>0</v>
      </c>
      <c r="D21" s="83">
        <f t="shared" si="10"/>
        <v>0</v>
      </c>
      <c r="E21" s="82">
        <f>ROUND(HLOOKUP($E$2,bs!$C$1:$AA$110,MATCH("*"&amp;B21&amp;"*",bs!$B$1:$B$110,),FALSE),0)/IF(LEN($B$1)&gt;4,10000,1)</f>
        <v>0</v>
      </c>
      <c r="F21" s="83">
        <f t="shared" si="11"/>
        <v>0</v>
      </c>
      <c r="G21" s="84">
        <f>ROUND(HLOOKUP($G$2,bs!$C$1:$AA$110,MATCH("*"&amp;B21&amp;"*",bs!$B$1:$B$110,),FALSE),0)/IF(LEN($B$1)&gt;4,10000,1)</f>
        <v>0</v>
      </c>
      <c r="H21" s="83">
        <f t="shared" si="12"/>
        <v>0</v>
      </c>
      <c r="I21" s="84">
        <f>ROUND(HLOOKUP($I$2,bs!$C$1:$AA$110,MATCH("*"&amp;B21&amp;"*",bs!$B$1:$B$110,),FALSE),0)/IF(LEN($B$1)&gt;4,10000,1)</f>
        <v>0</v>
      </c>
      <c r="J21" s="83">
        <f t="shared" si="9"/>
        <v>0</v>
      </c>
      <c r="L21" s="91">
        <f t="shared" si="4"/>
        <v>0</v>
      </c>
      <c r="M21" s="91"/>
    </row>
    <row r="22" spans="2:15" hidden="1">
      <c r="B22" s="81" t="s">
        <v>730</v>
      </c>
      <c r="C22" s="82">
        <f>ROUND(HLOOKUP($C$2,bs!$C$1:$AA$110,MATCH("*"&amp;B22&amp;"*",bs!$B$1:$B$110,),FALSE),0)/IF(LEN($B$1)&gt;4,10000,1)</f>
        <v>0</v>
      </c>
      <c r="D22" s="83">
        <f t="shared" si="10"/>
        <v>0</v>
      </c>
      <c r="E22" s="82">
        <f>ROUND(HLOOKUP($E$2,bs!$C$1:$AA$110,MATCH("*"&amp;B22&amp;"*",bs!$B$1:$B$110,),FALSE),0)/IF(LEN($B$1)&gt;4,10000,1)</f>
        <v>0</v>
      </c>
      <c r="F22" s="83">
        <f t="shared" si="11"/>
        <v>0</v>
      </c>
      <c r="G22" s="84">
        <f>ROUND(HLOOKUP($G$2,bs!$C$1:$AA$110,MATCH("*"&amp;B22&amp;"*",bs!$B$1:$B$110,),FALSE),0)/IF(LEN($B$1)&gt;4,10000,1)</f>
        <v>0</v>
      </c>
      <c r="H22" s="83">
        <f t="shared" si="12"/>
        <v>0</v>
      </c>
      <c r="I22" s="84">
        <f>ROUND(HLOOKUP($I$2,bs!$C$1:$AA$110,MATCH("*"&amp;B22&amp;"*",bs!$B$1:$B$110,),FALSE),0)/IF(LEN($B$1)&gt;4,10000,1)</f>
        <v>0</v>
      </c>
      <c r="J22" s="83">
        <f t="shared" si="9"/>
        <v>0</v>
      </c>
      <c r="L22" s="91">
        <f t="shared" si="4"/>
        <v>0</v>
      </c>
      <c r="M22" s="91"/>
    </row>
    <row r="23" spans="2:15" hidden="1">
      <c r="B23" s="81" t="s">
        <v>731</v>
      </c>
      <c r="C23" s="82">
        <f>ROUND(HLOOKUP($C$2,bs!$C$1:$AA$110,MATCH("*"&amp;B23&amp;"*",bs!$B$1:$B$110,),FALSE),0)/IF(LEN($B$1)&gt;4,10000,1)</f>
        <v>0</v>
      </c>
      <c r="D23" s="83">
        <f t="shared" si="10"/>
        <v>0</v>
      </c>
      <c r="E23" s="82">
        <f>ROUND(HLOOKUP($E$2,bs!$C$1:$AA$110,MATCH("*"&amp;B23&amp;"*",bs!$B$1:$B$110,),FALSE),0)/IF(LEN($B$1)&gt;4,10000,1)</f>
        <v>0</v>
      </c>
      <c r="F23" s="83">
        <f t="shared" si="11"/>
        <v>0</v>
      </c>
      <c r="G23" s="84">
        <f>ROUND(HLOOKUP($G$2,bs!$C$1:$AA$110,MATCH("*"&amp;B23&amp;"*",bs!$B$1:$B$110,),FALSE),0)/IF(LEN($B$1)&gt;4,10000,1)</f>
        <v>0</v>
      </c>
      <c r="H23" s="83">
        <f t="shared" si="12"/>
        <v>0</v>
      </c>
      <c r="I23" s="84">
        <f>ROUND(HLOOKUP($I$2,bs!$C$1:$AA$110,MATCH("*"&amp;B23&amp;"*",bs!$B$1:$B$110,),FALSE),0)/IF(LEN($B$1)&gt;4,10000,1)</f>
        <v>0</v>
      </c>
      <c r="J23" s="83">
        <f t="shared" si="9"/>
        <v>0</v>
      </c>
      <c r="L23" s="91">
        <f t="shared" si="4"/>
        <v>0</v>
      </c>
      <c r="M23" s="91"/>
    </row>
    <row r="24" spans="2:15" hidden="1">
      <c r="B24" s="81" t="s">
        <v>732</v>
      </c>
      <c r="C24" s="82">
        <f>ROUND(HLOOKUP($C$2,bs!$C$1:$AA$110,MATCH("*"&amp;B24&amp;"*",bs!$B$1:$B$110,),FALSE),0)/IF(LEN($B$1)&gt;4,10000,1)</f>
        <v>0</v>
      </c>
      <c r="D24" s="83">
        <f t="shared" si="10"/>
        <v>0</v>
      </c>
      <c r="E24" s="82">
        <f>ROUND(HLOOKUP($E$2,bs!$C$1:$AA$110,MATCH("*"&amp;B24&amp;"*",bs!$B$1:$B$110,),FALSE),0)/IF(LEN($B$1)&gt;4,10000,1)</f>
        <v>0</v>
      </c>
      <c r="F24" s="83">
        <f t="shared" si="11"/>
        <v>0</v>
      </c>
      <c r="G24" s="84">
        <f>ROUND(HLOOKUP($G$2,bs!$C$1:$AA$110,MATCH("*"&amp;B24&amp;"*",bs!$B$1:$B$110,),FALSE),0)/IF(LEN($B$1)&gt;4,10000,1)</f>
        <v>0</v>
      </c>
      <c r="H24" s="83">
        <f t="shared" si="12"/>
        <v>0</v>
      </c>
      <c r="I24" s="84">
        <f>ROUND(HLOOKUP($I$2,bs!$C$1:$AA$110,MATCH("*"&amp;B24&amp;"*",bs!$B$1:$B$110,),FALSE),0)/IF(LEN($B$1)&gt;4,10000,1)</f>
        <v>0</v>
      </c>
      <c r="J24" s="83">
        <f t="shared" si="9"/>
        <v>0</v>
      </c>
      <c r="L24" s="91">
        <f t="shared" si="4"/>
        <v>0</v>
      </c>
      <c r="M24" s="91"/>
    </row>
    <row r="25" spans="2:15" hidden="1">
      <c r="B25" s="81" t="s">
        <v>733</v>
      </c>
      <c r="C25" s="82">
        <f>ROUND(HLOOKUP($C$2,bs!$C$1:$AA$110,MATCH("*"&amp;B25&amp;"*",bs!$B$1:$B$110,),FALSE),0)/IF(LEN($B$1)&gt;4,10000,1)</f>
        <v>0</v>
      </c>
      <c r="D25" s="83">
        <f t="shared" si="10"/>
        <v>0</v>
      </c>
      <c r="E25" s="82">
        <f>ROUND(HLOOKUP($E$2,bs!$C$1:$AA$110,MATCH("*"&amp;B25&amp;"*",bs!$B$1:$B$110,),FALSE),0)/IF(LEN($B$1)&gt;4,10000,1)</f>
        <v>0</v>
      </c>
      <c r="F25" s="83">
        <f t="shared" si="11"/>
        <v>0</v>
      </c>
      <c r="G25" s="84">
        <f>ROUND(HLOOKUP($G$2,bs!$C$1:$AA$110,MATCH("*"&amp;B25&amp;"*",bs!$B$1:$B$110,),FALSE),0)/IF(LEN($B$1)&gt;4,10000,1)</f>
        <v>0</v>
      </c>
      <c r="H25" s="83">
        <f t="shared" si="12"/>
        <v>0</v>
      </c>
      <c r="I25" s="84">
        <f>ROUND(HLOOKUP($I$2,bs!$C$1:$AA$110,MATCH("*"&amp;B25&amp;"*",bs!$B$1:$B$110,),FALSE),0)/IF(LEN($B$1)&gt;4,10000,1)</f>
        <v>0</v>
      </c>
      <c r="J25" s="83">
        <f t="shared" si="9"/>
        <v>0</v>
      </c>
      <c r="L25" s="91">
        <f t="shared" si="4"/>
        <v>0</v>
      </c>
      <c r="M25" s="91"/>
    </row>
    <row r="26" spans="2:15" hidden="1">
      <c r="B26" s="81" t="s">
        <v>734</v>
      </c>
      <c r="C26" s="82">
        <f>ROUND(HLOOKUP($C$2,bs!$C$1:$AA$110,MATCH("*"&amp;B26&amp;"*",bs!$B$1:$B$110,),FALSE),0)/IF(LEN($B$1)&gt;4,10000,1)</f>
        <v>0</v>
      </c>
      <c r="D26" s="83">
        <f t="shared" si="10"/>
        <v>0</v>
      </c>
      <c r="E26" s="82">
        <f>ROUND(HLOOKUP($E$2,bs!$C$1:$AA$110,MATCH("*"&amp;B26&amp;"*",bs!$B$1:$B$110,),FALSE),0)/IF(LEN($B$1)&gt;4,10000,1)</f>
        <v>0</v>
      </c>
      <c r="F26" s="83">
        <f t="shared" si="11"/>
        <v>0</v>
      </c>
      <c r="G26" s="84">
        <f>ROUND(HLOOKUP($G$2,bs!$C$1:$AA$110,MATCH("*"&amp;B26&amp;"*",bs!$B$1:$B$110,),FALSE),0)/IF(LEN($B$1)&gt;4,10000,1)</f>
        <v>0</v>
      </c>
      <c r="H26" s="83">
        <f t="shared" si="12"/>
        <v>0</v>
      </c>
      <c r="I26" s="84">
        <f>ROUND(HLOOKUP($I$2,bs!$C$1:$AA$110,MATCH("*"&amp;B26&amp;"*",bs!$B$1:$B$110,),FALSE),0)/IF(LEN($B$1)&gt;4,10000,1)</f>
        <v>0</v>
      </c>
      <c r="J26" s="83">
        <f t="shared" si="9"/>
        <v>0</v>
      </c>
      <c r="L26" s="91">
        <f t="shared" si="4"/>
        <v>0</v>
      </c>
      <c r="M26" s="91"/>
    </row>
    <row r="27" spans="2:15" hidden="1">
      <c r="B27" s="81" t="s">
        <v>735</v>
      </c>
      <c r="C27" s="82">
        <f>ROUND(HLOOKUP($C$2,bs!$C$1:$AA$110,MATCH("*"&amp;B27&amp;"*",bs!$B$1:$B$110,),FALSE),0)/IF(LEN($B$1)&gt;4,10000,1)</f>
        <v>0</v>
      </c>
      <c r="D27" s="83">
        <f t="shared" si="10"/>
        <v>0</v>
      </c>
      <c r="E27" s="82">
        <f>ROUND(HLOOKUP($E$2,bs!$C$1:$AA$110,MATCH("*"&amp;B27&amp;"*",bs!$B$1:$B$110,),FALSE),0)/IF(LEN($B$1)&gt;4,10000,1)</f>
        <v>0</v>
      </c>
      <c r="F27" s="83">
        <f t="shared" si="11"/>
        <v>0</v>
      </c>
      <c r="G27" s="84">
        <f>ROUND(HLOOKUP($G$2,bs!$C$1:$AA$110,MATCH("*"&amp;B27&amp;"*",bs!$B$1:$B$110,),FALSE),0)/IF(LEN($B$1)&gt;4,10000,1)</f>
        <v>0</v>
      </c>
      <c r="H27" s="83">
        <f t="shared" si="12"/>
        <v>0</v>
      </c>
      <c r="I27" s="84">
        <f>ROUND(HLOOKUP($I$2,bs!$C$1:$AA$110,MATCH("*"&amp;B27&amp;"*",bs!$B$1:$B$110,),FALSE),0)/IF(LEN($B$1)&gt;4,10000,1)</f>
        <v>0</v>
      </c>
      <c r="J27" s="83">
        <f t="shared" si="9"/>
        <v>0</v>
      </c>
      <c r="L27" s="91">
        <f t="shared" si="4"/>
        <v>0</v>
      </c>
      <c r="M27" s="91"/>
    </row>
    <row r="28" spans="2:15">
      <c r="B28" s="81" t="s">
        <v>564</v>
      </c>
      <c r="C28" s="82">
        <f>ROUND(HLOOKUP($C$2,bs!$C$1:$AA$110,MATCH("*"&amp;B28&amp;"*",bs!$B$1:$B$110,),FALSE),0)/IF(LEN($B$1)&gt;4,10000,1)</f>
        <v>50242.962599999999</v>
      </c>
      <c r="D28" s="83">
        <f t="shared" ref="D28:D45" si="13">C28/$C$45</f>
        <v>0.5336673887116149</v>
      </c>
      <c r="E28" s="82">
        <f>ROUND(HLOOKUP($E$2,bs!$C$1:$AA$110,MATCH("*"&amp;B28&amp;"*",bs!$B$1:$B$110,),FALSE),0)/IF(LEN($B$1)&gt;4,10000,1)</f>
        <v>51234.7886</v>
      </c>
      <c r="F28" s="83">
        <f t="shared" ref="F28:F45" si="14">E28/$E$45</f>
        <v>0.8419567277352088</v>
      </c>
      <c r="G28" s="84">
        <f>ROUND(HLOOKUP($G$2,bs!$C$1:$AA$110,MATCH("*"&amp;B28&amp;"*",bs!$B$1:$B$110,),FALSE),0)/IF(LEN($B$1)&gt;4,10000,1)</f>
        <v>3.3908</v>
      </c>
      <c r="H28" s="83">
        <f t="shared" ref="H28:H45" si="15">G28/$G$45</f>
        <v>7.2463502841490167E-5</v>
      </c>
      <c r="I28" s="84">
        <f>ROUND(HLOOKUP($I$2,bs!$C$1:$AA$110,MATCH("*"&amp;B28&amp;"*",bs!$B$1:$B$110,),FALSE),0)/IF(LEN($B$1)&gt;4,10000,1)</f>
        <v>1.6040000000000001</v>
      </c>
      <c r="J28" s="83">
        <f t="shared" ref="J28:J45" si="16">I28/$I$45</f>
        <v>9.1611510378581778E-5</v>
      </c>
      <c r="L28" s="91">
        <f t="shared" si="4"/>
        <v>1.3757881914600438</v>
      </c>
      <c r="M28" s="91" t="str">
        <f>B28</f>
        <v xml:space="preserve">  固定资产 </v>
      </c>
      <c r="N28" t="str">
        <f>CONCATENATE("近三年及一期，拟承租人",B28,"分别为",ROUND(I28,2),"万元、",ROUND(G28,2),"万元、",ROUND(E28,2),"万元及",ROUND(C28,2),"万元。","占总资产的比重分别为",TEXT(J28,"0.00%"),"、",TEXT(H28,"0.00%"),"、",TEXT(F28,"0.00%"),"和",TEXT(D28,"0.00%"),"。")</f>
        <v>近三年及一期，拟承租人  固定资产 分别为1.6万元、3.39万元、51234.79万元及50242.96万元。占总资产的比重分别为0.01%、0.01%、84.20%和53.37%。</v>
      </c>
    </row>
    <row r="29" spans="2:15" hidden="1">
      <c r="B29" s="81" t="s">
        <v>565</v>
      </c>
      <c r="C29" s="82">
        <f>ROUND(HLOOKUP($C$2,bs!$C$1:$AA$110,MATCH("*"&amp;B29&amp;"*",bs!$B$1:$B$110,),FALSE),0)/IF(LEN($B$1)&gt;4,10000,1)</f>
        <v>0</v>
      </c>
      <c r="D29" s="83">
        <f t="shared" si="13"/>
        <v>0</v>
      </c>
      <c r="E29" s="82">
        <f>ROUND(HLOOKUP($E$2,bs!$C$1:$AA$110,MATCH("*"&amp;B29&amp;"*",bs!$B$1:$B$110,),FALSE),0)/IF(LEN($B$1)&gt;4,10000,1)</f>
        <v>0</v>
      </c>
      <c r="F29" s="83">
        <f t="shared" si="14"/>
        <v>0</v>
      </c>
      <c r="G29" s="84">
        <f>ROUND(HLOOKUP($G$2,bs!$C$1:$AA$110,MATCH("*"&amp;B29&amp;"*",bs!$B$1:$B$110,),FALSE),0)/IF(LEN($B$1)&gt;4,10000,1)</f>
        <v>0</v>
      </c>
      <c r="H29" s="83">
        <f t="shared" si="15"/>
        <v>0</v>
      </c>
      <c r="I29" s="84">
        <f>ROUND(HLOOKUP($I$2,bs!$C$1:$AA$110,MATCH("*"&amp;B29&amp;"*",bs!$B$1:$B$110,),FALSE),0)/IF(LEN($B$1)&gt;4,10000,1)</f>
        <v>0</v>
      </c>
      <c r="J29" s="83">
        <f t="shared" si="16"/>
        <v>0</v>
      </c>
      <c r="L29" s="91">
        <f t="shared" si="4"/>
        <v>0</v>
      </c>
      <c r="M29" s="91"/>
    </row>
    <row r="30" spans="2:15" hidden="1">
      <c r="B30" s="81" t="s">
        <v>566</v>
      </c>
      <c r="C30" s="82">
        <f>ROUND(HLOOKUP($C$2,bs!$C$1:$AA$110,MATCH("*"&amp;B30&amp;"*",bs!$B$1:$B$110,),FALSE),0)/IF(LEN($B$1)&gt;4,10000,1)</f>
        <v>0</v>
      </c>
      <c r="D30" s="83">
        <f t="shared" si="13"/>
        <v>0</v>
      </c>
      <c r="E30" s="82">
        <f>ROUND(HLOOKUP($E$2,bs!$C$1:$AA$110,MATCH("*"&amp;B30&amp;"*",bs!$B$1:$B$110,),FALSE),0)/IF(LEN($B$1)&gt;4,10000,1)</f>
        <v>0</v>
      </c>
      <c r="F30" s="83">
        <f t="shared" si="14"/>
        <v>0</v>
      </c>
      <c r="G30" s="84">
        <f>ROUND(HLOOKUP($G$2,bs!$C$1:$AA$110,MATCH("*"&amp;B30&amp;"*",bs!$B$1:$B$110,),FALSE),0)/IF(LEN($B$1)&gt;4,10000,1)</f>
        <v>0</v>
      </c>
      <c r="H30" s="83">
        <f t="shared" si="15"/>
        <v>0</v>
      </c>
      <c r="I30" s="84">
        <f>ROUND(HLOOKUP($I$2,bs!$C$1:$AA$110,MATCH("*"&amp;B30&amp;"*",bs!$B$1:$B$110,),FALSE),0)/IF(LEN($B$1)&gt;4,10000,1)</f>
        <v>0</v>
      </c>
      <c r="J30" s="83">
        <f t="shared" si="16"/>
        <v>0</v>
      </c>
      <c r="L30" s="91">
        <f t="shared" si="4"/>
        <v>0</v>
      </c>
      <c r="M30" s="91"/>
    </row>
    <row r="31" spans="2:15">
      <c r="B31" s="81" t="s">
        <v>567</v>
      </c>
      <c r="C31" s="82">
        <f>ROUND(HLOOKUP($C$2,bs!$C$1:$AA$110,MATCH("*"&amp;B31&amp;"*",bs!$B$1:$B$110,),FALSE),0)/IF(LEN($B$1)&gt;4,10000,1)</f>
        <v>50242.962599999999</v>
      </c>
      <c r="D31" s="83">
        <f t="shared" si="13"/>
        <v>0.5336673887116149</v>
      </c>
      <c r="E31" s="82">
        <f>ROUND(HLOOKUP($E$2,bs!$C$1:$AA$110,MATCH("*"&amp;B31&amp;"*",bs!$B$1:$B$110,),FALSE),0)/IF(LEN($B$1)&gt;4,10000,1)</f>
        <v>51234.7886</v>
      </c>
      <c r="F31" s="83">
        <f t="shared" si="14"/>
        <v>0.8419567277352088</v>
      </c>
      <c r="G31" s="84">
        <f>ROUND(HLOOKUP($G$2,bs!$C$1:$AA$110,MATCH("*"&amp;B31&amp;"*",bs!$B$1:$B$110,),FALSE),0)/IF(LEN($B$1)&gt;4,10000,1)</f>
        <v>3.3908</v>
      </c>
      <c r="H31" s="83">
        <f t="shared" si="15"/>
        <v>7.2463502841490167E-5</v>
      </c>
      <c r="I31" s="84">
        <f>ROUND(HLOOKUP($I$2,bs!$C$1:$AA$110,MATCH("*"&amp;B31&amp;"*",bs!$B$1:$B$110,),FALSE),0)/IF(LEN($B$1)&gt;4,10000,1)</f>
        <v>1.6040000000000001</v>
      </c>
      <c r="J31" s="83">
        <f t="shared" si="16"/>
        <v>9.1611510378581778E-5</v>
      </c>
      <c r="L31" s="91">
        <f t="shared" si="4"/>
        <v>1.3757881914600438</v>
      </c>
      <c r="M31" s="91" t="str">
        <f>B31</f>
        <v xml:space="preserve">  固定资产净额</v>
      </c>
      <c r="N31" t="str">
        <f>CONCATENATE("近三年及一期，拟承租人",B31,"分别为",ROUND(I31,2),"万元、",ROUND(G31,2),"万元、",ROUND(E31,2),"万元及",ROUND(C31,2),"万元。","占总资产的比重分别为",TEXT(J31,"0.00%"),"、",TEXT(H31,"0.00%"),"、",TEXT(F31,"0.00%"),"和",TEXT(D31,"0.00%"),"。")</f>
        <v>近三年及一期，拟承租人  固定资产净额分别为1.6万元、3.39万元、51234.79万元及50242.96万元。占总资产的比重分别为0.01%、0.01%、84.20%和53.37%。</v>
      </c>
    </row>
    <row r="32" spans="2:15" hidden="1">
      <c r="B32" s="81" t="s">
        <v>568</v>
      </c>
      <c r="C32" s="82">
        <f>ROUND(HLOOKUP($C$2,bs!$C$1:$AA$110,MATCH("*"&amp;B32&amp;"*",bs!$B$1:$B$110,),FALSE),0)/IF(LEN($B$1)&gt;4,10000,1)</f>
        <v>0</v>
      </c>
      <c r="D32" s="83">
        <f t="shared" si="13"/>
        <v>0</v>
      </c>
      <c r="E32" s="82">
        <f>ROUND(HLOOKUP($E$2,bs!$C$1:$AA$110,MATCH("*"&amp;B32&amp;"*",bs!$B$1:$B$110,),FALSE),0)/IF(LEN($B$1)&gt;4,10000,1)</f>
        <v>0</v>
      </c>
      <c r="F32" s="83">
        <f t="shared" si="14"/>
        <v>0</v>
      </c>
      <c r="G32" s="84">
        <f>ROUND(HLOOKUP($G$2,bs!$C$1:$AA$110,MATCH("*"&amp;B32&amp;"*",bs!$B$1:$B$110,),FALSE),0)/IF(LEN($B$1)&gt;4,10000,1)</f>
        <v>0</v>
      </c>
      <c r="H32" s="83">
        <f t="shared" si="15"/>
        <v>0</v>
      </c>
      <c r="I32" s="84">
        <f>ROUND(HLOOKUP($I$2,bs!$C$1:$AA$110,MATCH("*"&amp;B32&amp;"*",bs!$B$1:$B$110,),FALSE),0)/IF(LEN($B$1)&gt;4,10000,1)</f>
        <v>0</v>
      </c>
      <c r="J32" s="83">
        <f t="shared" si="16"/>
        <v>0</v>
      </c>
      <c r="L32" s="91">
        <f t="shared" si="4"/>
        <v>0</v>
      </c>
      <c r="M32" s="91"/>
    </row>
    <row r="33" spans="2:15" hidden="1">
      <c r="B33" s="81" t="s">
        <v>569</v>
      </c>
      <c r="C33" s="82">
        <f>ROUND(HLOOKUP($C$2,bs!$C$1:$AA$110,MATCH("*"&amp;B33&amp;"*",bs!$B$1:$B$110,),FALSE),0)/IF(LEN($B$1)&gt;4,10000,1)</f>
        <v>0</v>
      </c>
      <c r="D33" s="83">
        <f t="shared" si="13"/>
        <v>0</v>
      </c>
      <c r="E33" s="82">
        <f>ROUND(HLOOKUP($E$2,bs!$C$1:$AA$110,MATCH("*"&amp;B33&amp;"*",bs!$B$1:$B$110,),FALSE),0)/IF(LEN($B$1)&gt;4,10000,1)</f>
        <v>0</v>
      </c>
      <c r="F33" s="83">
        <f t="shared" si="14"/>
        <v>0</v>
      </c>
      <c r="G33" s="84">
        <f>ROUND(HLOOKUP($G$2,bs!$C$1:$AA$110,MATCH("*"&amp;B33&amp;"*",bs!$B$1:$B$110,),FALSE),0)/IF(LEN($B$1)&gt;4,10000,1)</f>
        <v>0</v>
      </c>
      <c r="H33" s="83">
        <f t="shared" si="15"/>
        <v>0</v>
      </c>
      <c r="I33" s="84">
        <f>ROUND(HLOOKUP($I$2,bs!$C$1:$AA$110,MATCH("*"&amp;B33&amp;"*",bs!$B$1:$B$110,),FALSE),0)/IF(LEN($B$1)&gt;4,10000,1)</f>
        <v>0</v>
      </c>
      <c r="J33" s="83">
        <f t="shared" si="16"/>
        <v>0</v>
      </c>
      <c r="L33" s="91">
        <f t="shared" si="4"/>
        <v>0</v>
      </c>
      <c r="M33" s="91"/>
    </row>
    <row r="34" spans="2:15">
      <c r="B34" s="81" t="s">
        <v>570</v>
      </c>
      <c r="C34" s="82">
        <f>ROUND(HLOOKUP($C$2,bs!$C$1:$AA$110,MATCH("*"&amp;B34&amp;"*",bs!$B$1:$B$110,),FALSE),0)/IF(LEN($B$1)&gt;4,10000,1)</f>
        <v>59.822699999999998</v>
      </c>
      <c r="D34" s="83">
        <f t="shared" si="13"/>
        <v>6.3542081204181068E-4</v>
      </c>
      <c r="E34" s="82">
        <f>ROUND(HLOOKUP($E$2,bs!$C$1:$AA$110,MATCH("*"&amp;B34&amp;"*",bs!$B$1:$B$110,),FALSE),0)/IF(LEN($B$1)&gt;4,10000,1)</f>
        <v>0</v>
      </c>
      <c r="F34" s="83">
        <f t="shared" si="14"/>
        <v>0</v>
      </c>
      <c r="G34" s="84">
        <f>ROUND(HLOOKUP($G$2,bs!$C$1:$AA$110,MATCH("*"&amp;B34&amp;"*",bs!$B$1:$B$110,),FALSE),0)/IF(LEN($B$1)&gt;4,10000,1)</f>
        <v>8353.8822</v>
      </c>
      <c r="H34" s="83">
        <f t="shared" si="15"/>
        <v>0.17852765321964556</v>
      </c>
      <c r="I34" s="84">
        <f>ROUND(HLOOKUP($I$2,bs!$C$1:$AA$110,MATCH("*"&amp;B34&amp;"*",bs!$B$1:$B$110,),FALSE),0)/IF(LEN($B$1)&gt;4,10000,1)</f>
        <v>224.1755</v>
      </c>
      <c r="J34" s="83">
        <f t="shared" si="16"/>
        <v>1.2803650963138253E-2</v>
      </c>
      <c r="L34" s="91">
        <f t="shared" si="4"/>
        <v>0.19196672499482564</v>
      </c>
      <c r="M34" s="91" t="str">
        <f>B34</f>
        <v xml:space="preserve">  在建工程 </v>
      </c>
      <c r="N34" t="str">
        <f>CONCATENATE("近三年及一期，拟承租人",B34,"分别为",ROUND(I34,2),"万元、",ROUND(G34,2),"万元、",ROUND(E34,2),"万元及",ROUND(C34,2),"万元。","占总资产的比重分别为",TEXT(J34,"0.00%"),"、",TEXT(H34,"0.00%"),"、",TEXT(F34,"0.00%"),"和",TEXT(D34,"0.00%"),"。")</f>
        <v>近三年及一期，拟承租人  在建工程 分别为224.18万元、8353.88万元、0万元及59.82万元。占总资产的比重分别为1.28%、17.85%、0.00%和0.06%。</v>
      </c>
    </row>
    <row r="35" spans="2:15" hidden="1">
      <c r="B35" s="81" t="s">
        <v>571</v>
      </c>
      <c r="C35" s="82">
        <f>ROUND(HLOOKUP($C$2,bs!$C$1:$AA$110,MATCH("*"&amp;B35&amp;"*",bs!$B$1:$B$110,),FALSE),0)/IF(LEN($B$1)&gt;4,10000,1)</f>
        <v>0</v>
      </c>
      <c r="D35" s="83">
        <f t="shared" si="13"/>
        <v>0</v>
      </c>
      <c r="E35" s="82">
        <f>ROUND(HLOOKUP($E$2,bs!$C$1:$AA$110,MATCH("*"&amp;B35&amp;"*",bs!$B$1:$B$110,),FALSE),0)/IF(LEN($B$1)&gt;4,10000,1)</f>
        <v>0</v>
      </c>
      <c r="F35" s="83">
        <f t="shared" si="14"/>
        <v>0</v>
      </c>
      <c r="G35" s="84">
        <f>ROUND(HLOOKUP($G$2,bs!$C$1:$AA$110,MATCH("*"&amp;B35&amp;"*",bs!$B$1:$B$110,),FALSE),0)/IF(LEN($B$1)&gt;4,10000,1)</f>
        <v>0</v>
      </c>
      <c r="H35" s="83">
        <f t="shared" si="15"/>
        <v>0</v>
      </c>
      <c r="I35" s="84">
        <f>ROUND(HLOOKUP($I$2,bs!$C$1:$AA$110,MATCH("*"&amp;B35&amp;"*",bs!$B$1:$B$110,),FALSE),0)/IF(LEN($B$1)&gt;4,10000,1)</f>
        <v>0</v>
      </c>
      <c r="J35" s="83">
        <f t="shared" si="16"/>
        <v>0</v>
      </c>
      <c r="L35" s="91">
        <f t="shared" si="4"/>
        <v>0</v>
      </c>
      <c r="M35" s="91"/>
    </row>
    <row r="36" spans="2:15" hidden="1">
      <c r="B36" s="81" t="s">
        <v>572</v>
      </c>
      <c r="C36" s="82">
        <f>ROUND(HLOOKUP($C$2,bs!$C$1:$AA$110,MATCH("*"&amp;B36&amp;"*",bs!$B$1:$B$110,),FALSE),0)/IF(LEN($B$1)&gt;4,10000,1)</f>
        <v>0</v>
      </c>
      <c r="D36" s="83">
        <f t="shared" si="13"/>
        <v>0</v>
      </c>
      <c r="E36" s="82">
        <f>ROUND(HLOOKUP($E$2,bs!$C$1:$AA$110,MATCH("*"&amp;B36&amp;"*",bs!$B$1:$B$110,),FALSE),0)/IF(LEN($B$1)&gt;4,10000,1)</f>
        <v>0</v>
      </c>
      <c r="F36" s="83">
        <f t="shared" si="14"/>
        <v>0</v>
      </c>
      <c r="G36" s="84">
        <f>ROUND(HLOOKUP($G$2,bs!$C$1:$AA$110,MATCH("*"&amp;B36&amp;"*",bs!$B$1:$B$110,),FALSE),0)/IF(LEN($B$1)&gt;4,10000,1)</f>
        <v>0</v>
      </c>
      <c r="H36" s="83">
        <f t="shared" si="15"/>
        <v>0</v>
      </c>
      <c r="I36" s="84">
        <f>ROUND(HLOOKUP($I$2,bs!$C$1:$AA$110,MATCH("*"&amp;B36&amp;"*",bs!$B$1:$B$110,),FALSE),0)/IF(LEN($B$1)&gt;4,10000,1)</f>
        <v>0</v>
      </c>
      <c r="J36" s="83">
        <f t="shared" si="16"/>
        <v>0</v>
      </c>
      <c r="L36" s="91">
        <f t="shared" si="4"/>
        <v>0</v>
      </c>
      <c r="M36" s="91"/>
    </row>
    <row r="37" spans="2:15" hidden="1">
      <c r="B37" s="81" t="s">
        <v>573</v>
      </c>
      <c r="C37" s="82">
        <f>ROUND(HLOOKUP($C$2,bs!$C$1:$AA$110,MATCH("*"&amp;B37&amp;"*",bs!$B$1:$B$110,),FALSE),0)/IF(LEN($B$1)&gt;4,10000,1)</f>
        <v>0</v>
      </c>
      <c r="D37" s="83">
        <f t="shared" si="13"/>
        <v>0</v>
      </c>
      <c r="E37" s="82">
        <f>ROUND(HLOOKUP($E$2,bs!$C$1:$AA$110,MATCH("*"&amp;B37&amp;"*",bs!$B$1:$B$110,),FALSE),0)/IF(LEN($B$1)&gt;4,10000,1)</f>
        <v>0</v>
      </c>
      <c r="F37" s="83">
        <f t="shared" si="14"/>
        <v>0</v>
      </c>
      <c r="G37" s="84">
        <f>ROUND(HLOOKUP($G$2,bs!$C$1:$AA$110,MATCH("*"&amp;B37&amp;"*",bs!$B$1:$B$110,),FALSE),0)/IF(LEN($B$1)&gt;4,10000,1)</f>
        <v>0</v>
      </c>
      <c r="H37" s="83">
        <f t="shared" si="15"/>
        <v>0</v>
      </c>
      <c r="I37" s="84">
        <f>ROUND(HLOOKUP($I$2,bs!$C$1:$AA$110,MATCH("*"&amp;B37&amp;"*",bs!$B$1:$B$110,),FALSE),0)/IF(LEN($B$1)&gt;4,10000,1)</f>
        <v>0</v>
      </c>
      <c r="J37" s="83">
        <f t="shared" si="16"/>
        <v>0</v>
      </c>
      <c r="L37" s="91">
        <f t="shared" si="4"/>
        <v>0</v>
      </c>
      <c r="M37" s="91"/>
    </row>
    <row r="38" spans="2:15">
      <c r="B38" s="81" t="s">
        <v>574</v>
      </c>
      <c r="C38" s="82">
        <f>ROUND(HLOOKUP($C$2,bs!$C$1:$AA$110,MATCH("*"&amp;B38&amp;"*",bs!$B$1:$B$110,),FALSE),0)/IF(LEN($B$1)&gt;4,10000,1)</f>
        <v>3252.7388000000001</v>
      </c>
      <c r="D38" s="83">
        <f t="shared" si="13"/>
        <v>3.4549726603043743E-2</v>
      </c>
      <c r="E38" s="82">
        <f>ROUND(HLOOKUP($E$2,bs!$C$1:$AA$110,MATCH("*"&amp;B38&amp;"*",bs!$B$1:$B$110,),FALSE),0)/IF(LEN($B$1)&gt;4,10000,1)</f>
        <v>3281.3651</v>
      </c>
      <c r="F38" s="83">
        <f t="shared" si="14"/>
        <v>5.3923661980338808E-2</v>
      </c>
      <c r="G38" s="84">
        <f>ROUND(HLOOKUP($G$2,bs!$C$1:$AA$110,MATCH("*"&amp;B38&amp;"*",bs!$B$1:$B$110,),FALSE),0)/IF(LEN($B$1)&gt;4,10000,1)</f>
        <v>3034.0551</v>
      </c>
      <c r="H38" s="83">
        <f t="shared" si="15"/>
        <v>6.4839642668422709E-2</v>
      </c>
      <c r="I38" s="84">
        <f>ROUND(HLOOKUP($I$2,bs!$C$1:$AA$110,MATCH("*"&amp;B38&amp;"*",bs!$B$1:$B$110,),FALSE),0)/IF(LEN($B$1)&gt;4,10000,1)</f>
        <v>3096.1858999999999</v>
      </c>
      <c r="J38" s="83">
        <f t="shared" si="16"/>
        <v>0.1768368246333345</v>
      </c>
      <c r="L38" s="91">
        <f t="shared" si="4"/>
        <v>0.33014985588513979</v>
      </c>
      <c r="M38" s="91" t="str">
        <f>B38</f>
        <v xml:space="preserve">  无形资产 </v>
      </c>
      <c r="N38" t="str">
        <f>CONCATENATE("近三年及一期，拟承租人",B38,"分别为",ROUND(I38,2),"万元、",ROUND(G38,2),"万元、",ROUND(E38,2),"万元及",ROUND(C38,2),"万元。","占总资产的比重分别为",TEXT(J38,"0.00%"),"、",TEXT(H38,"0.00%"),"、",TEXT(F38,"0.00%"),"和",TEXT(D38,"0.00%"),"。")</f>
        <v>近三年及一期，拟承租人  无形资产 分别为3096.19万元、3034.06万元、3281.37万元及3252.74万元。占总资产的比重分别为17.68%、6.48%、5.39%和3.45%。</v>
      </c>
    </row>
    <row r="39" spans="2:15" hidden="1">
      <c r="B39" s="81" t="s">
        <v>575</v>
      </c>
      <c r="C39" s="82">
        <f>ROUND(HLOOKUP($C$2,bs!$C$1:$AA$110,MATCH("*"&amp;B39&amp;"*",bs!$B$1:$B$110,),FALSE),0)/IF(LEN($B$1)&gt;4,10000,1)</f>
        <v>0</v>
      </c>
      <c r="D39" s="83">
        <f t="shared" si="13"/>
        <v>0</v>
      </c>
      <c r="E39" s="82">
        <f>ROUND(HLOOKUP($E$2,bs!$C$1:$AA$110,MATCH("*"&amp;B39&amp;"*",bs!$B$1:$B$110,),FALSE),0)/IF(LEN($B$1)&gt;4,10000,1)</f>
        <v>0</v>
      </c>
      <c r="F39" s="83">
        <f t="shared" si="14"/>
        <v>0</v>
      </c>
      <c r="G39" s="84">
        <f>ROUND(HLOOKUP($G$2,bs!$C$1:$AA$110,MATCH("*"&amp;B39&amp;"*",bs!$B$1:$B$110,),FALSE),0)/IF(LEN($B$1)&gt;4,10000,1)</f>
        <v>0</v>
      </c>
      <c r="H39" s="83">
        <f t="shared" si="15"/>
        <v>0</v>
      </c>
      <c r="I39" s="84">
        <f>ROUND(HLOOKUP($I$2,bs!$C$1:$AA$110,MATCH("*"&amp;B39&amp;"*",bs!$B$1:$B$110,),FALSE),0)/IF(LEN($B$1)&gt;4,10000,1)</f>
        <v>0</v>
      </c>
      <c r="J39" s="83">
        <f t="shared" si="16"/>
        <v>0</v>
      </c>
      <c r="L39" s="91">
        <f t="shared" si="4"/>
        <v>0</v>
      </c>
      <c r="M39" s="91"/>
    </row>
    <row r="40" spans="2:15" hidden="1">
      <c r="B40" s="81" t="s">
        <v>576</v>
      </c>
      <c r="C40" s="82">
        <f>ROUND(HLOOKUP($C$2,bs!$C$1:$AA$110,MATCH("*"&amp;B40&amp;"*",bs!$B$1:$B$110,),FALSE),0)/IF(LEN($B$1)&gt;4,10000,1)</f>
        <v>0</v>
      </c>
      <c r="D40" s="83">
        <f t="shared" si="13"/>
        <v>0</v>
      </c>
      <c r="E40" s="82">
        <f>ROUND(HLOOKUP($E$2,bs!$C$1:$AA$110,MATCH("*"&amp;B40&amp;"*",bs!$B$1:$B$110,),FALSE),0)/IF(LEN($B$1)&gt;4,10000,1)</f>
        <v>0</v>
      </c>
      <c r="F40" s="83">
        <f t="shared" si="14"/>
        <v>0</v>
      </c>
      <c r="G40" s="84">
        <f>ROUND(HLOOKUP($G$2,bs!$C$1:$AA$110,MATCH("*"&amp;B40&amp;"*",bs!$B$1:$B$110,),FALSE),0)/IF(LEN($B$1)&gt;4,10000,1)</f>
        <v>0</v>
      </c>
      <c r="H40" s="83">
        <f t="shared" si="15"/>
        <v>0</v>
      </c>
      <c r="I40" s="84">
        <f>ROUND(HLOOKUP($I$2,bs!$C$1:$AA$110,MATCH("*"&amp;B40&amp;"*",bs!$B$1:$B$110,),FALSE),0)/IF(LEN($B$1)&gt;4,10000,1)</f>
        <v>0</v>
      </c>
      <c r="J40" s="83">
        <f t="shared" si="16"/>
        <v>0</v>
      </c>
      <c r="L40" s="91">
        <f t="shared" si="4"/>
        <v>0</v>
      </c>
      <c r="M40" s="91"/>
    </row>
    <row r="41" spans="2:15">
      <c r="B41" s="81" t="s">
        <v>577</v>
      </c>
      <c r="C41" s="82">
        <f>ROUND(HLOOKUP($C$2,bs!$C$1:$AA$110,MATCH("*"&amp;B41&amp;"*",bs!$B$1:$B$110,),FALSE),0)/IF(LEN($B$1)&gt;4,10000,1)</f>
        <v>234.8852</v>
      </c>
      <c r="D41" s="83">
        <f t="shared" si="13"/>
        <v>2.4948881364532712E-3</v>
      </c>
      <c r="E41" s="82">
        <f>ROUND(HLOOKUP($E$2,bs!$C$1:$AA$110,MATCH("*"&amp;B41&amp;"*",bs!$B$1:$B$110,),FALSE),0)/IF(LEN($B$1)&gt;4,10000,1)</f>
        <v>249.5299</v>
      </c>
      <c r="F41" s="83">
        <f t="shared" si="14"/>
        <v>4.1006000769581372E-3</v>
      </c>
      <c r="G41" s="84">
        <f>ROUND(HLOOKUP($G$2,bs!$C$1:$AA$110,MATCH("*"&amp;B41&amp;"*",bs!$B$1:$B$110,),FALSE),0)/IF(LEN($B$1)&gt;4,10000,1)</f>
        <v>2.3235000000000001</v>
      </c>
      <c r="H41" s="83">
        <f t="shared" si="15"/>
        <v>4.9654638684735879E-5</v>
      </c>
      <c r="I41" s="84">
        <f>ROUND(HLOOKUP($I$2,bs!$C$1:$AA$110,MATCH("*"&amp;B41&amp;"*",bs!$B$1:$B$110,),FALSE),0)/IF(LEN($B$1)&gt;4,10000,1)</f>
        <v>0</v>
      </c>
      <c r="J41" s="83">
        <f t="shared" si="16"/>
        <v>0</v>
      </c>
      <c r="L41" s="91">
        <f t="shared" si="4"/>
        <v>6.6451428520961442E-3</v>
      </c>
      <c r="M41" s="91" t="str">
        <f>B41</f>
        <v xml:space="preserve">  长期待摊费用 </v>
      </c>
      <c r="N41" t="str">
        <f>CONCATENATE("近三年及一期，拟承租人",B41,"分别为",ROUND(I41,2),"万元、",ROUND(G41,2),"万元、",ROUND(E41,2),"万元及",ROUND(C41,2),"万元。","占总资产的比重分别为",TEXT(J41,"0.00%"),"、",TEXT(H41,"0.00%"),"、",TEXT(F41,"0.00%"),"和",TEXT(D41,"0.00%"),"。")</f>
        <v>近三年及一期，拟承租人  长期待摊费用 分别为0万元、2.32万元、249.53万元及234.89万元。占总资产的比重分别为0.00%、0.00%、0.41%和0.25%。</v>
      </c>
    </row>
    <row r="42" spans="2:15" hidden="1">
      <c r="B42" s="81" t="s">
        <v>578</v>
      </c>
      <c r="C42" s="82">
        <f>ROUND(HLOOKUP($C$2,bs!$C$1:$AA$110,MATCH("*"&amp;B42&amp;"*",bs!$B$1:$B$110,),FALSE),0)/IF(LEN($B$1)&gt;4,10000,1)</f>
        <v>0</v>
      </c>
      <c r="D42" s="83">
        <f t="shared" si="13"/>
        <v>0</v>
      </c>
      <c r="E42" s="82">
        <f>ROUND(HLOOKUP($E$2,bs!$C$1:$AA$110,MATCH("*"&amp;B42&amp;"*",bs!$B$1:$B$110,),FALSE),0)/IF(LEN($B$1)&gt;4,10000,1)</f>
        <v>0</v>
      </c>
      <c r="F42" s="83">
        <f t="shared" si="14"/>
        <v>0</v>
      </c>
      <c r="G42" s="84">
        <f>ROUND(HLOOKUP($G$2,bs!$C$1:$AA$110,MATCH("*"&amp;B42&amp;"*",bs!$B$1:$B$110,),FALSE),0)/IF(LEN($B$1)&gt;4,10000,1)</f>
        <v>0</v>
      </c>
      <c r="H42" s="83">
        <f t="shared" si="15"/>
        <v>0</v>
      </c>
      <c r="I42" s="84">
        <f>ROUND(HLOOKUP($I$2,bs!$C$1:$AA$110,MATCH("*"&amp;B42&amp;"*",bs!$B$1:$B$110,),FALSE),0)/IF(LEN($B$1)&gt;4,10000,1)</f>
        <v>0</v>
      </c>
      <c r="J42" s="83">
        <f t="shared" si="16"/>
        <v>0</v>
      </c>
      <c r="L42" s="91">
        <f t="shared" si="4"/>
        <v>0</v>
      </c>
      <c r="M42" s="91"/>
    </row>
    <row r="43" spans="2:15" hidden="1">
      <c r="B43" s="81" t="s">
        <v>579</v>
      </c>
      <c r="C43" s="82">
        <f>ROUND(HLOOKUP($C$2,bs!$C$1:$AA$110,MATCH("*"&amp;B43&amp;"*",bs!$B$1:$B$110,),FALSE),0)/IF(LEN($B$1)&gt;4,10000,1)</f>
        <v>0</v>
      </c>
      <c r="D43" s="83">
        <f t="shared" si="13"/>
        <v>0</v>
      </c>
      <c r="E43" s="82">
        <f>ROUND(HLOOKUP($E$2,bs!$C$1:$AA$110,MATCH("*"&amp;B43&amp;"*",bs!$B$1:$B$110,),FALSE),0)/IF(LEN($B$1)&gt;4,10000,1)</f>
        <v>0</v>
      </c>
      <c r="F43" s="83">
        <f t="shared" si="14"/>
        <v>0</v>
      </c>
      <c r="G43" s="84">
        <f>ROUND(HLOOKUP($G$2,bs!$C$1:$AA$110,MATCH("*"&amp;B43&amp;"*",bs!$B$1:$B$110,),FALSE),0)/IF(LEN($B$1)&gt;4,10000,1)</f>
        <v>0</v>
      </c>
      <c r="H43" s="83">
        <f t="shared" si="15"/>
        <v>0</v>
      </c>
      <c r="I43" s="84">
        <f>ROUND(HLOOKUP($I$2,bs!$C$1:$AA$110,MATCH("*"&amp;B43&amp;"*",bs!$B$1:$B$110,),FALSE),0)/IF(LEN($B$1)&gt;4,10000,1)</f>
        <v>0</v>
      </c>
      <c r="J43" s="83">
        <f t="shared" si="16"/>
        <v>0</v>
      </c>
      <c r="L43" s="91">
        <f t="shared" si="4"/>
        <v>0</v>
      </c>
      <c r="M43" s="91"/>
    </row>
    <row r="44" spans="2:15">
      <c r="B44" s="85" t="s">
        <v>580</v>
      </c>
      <c r="C44" s="82">
        <f>ROUND(HLOOKUP($C$2,bs!$C$1:$AA$110,MATCH("*"&amp;B44&amp;"*",bs!$B$1:$B$110,),FALSE),0)/IF(LEN($B$1)&gt;4,10000,1)</f>
        <v>53790.409200000002</v>
      </c>
      <c r="D44" s="86">
        <f t="shared" si="13"/>
        <v>0.57134742320098031</v>
      </c>
      <c r="E44" s="82">
        <f>ROUND(HLOOKUP($E$2,bs!$C$1:$AA$110,MATCH("*"&amp;B44&amp;"*",bs!$B$1:$B$110,),FALSE),0)/IF(LEN($B$1)&gt;4,10000,1)</f>
        <v>54765.683599999997</v>
      </c>
      <c r="F44" s="86">
        <f t="shared" si="14"/>
        <v>0.89998098979250563</v>
      </c>
      <c r="G44" s="84">
        <f>ROUND(HLOOKUP($G$2,bs!$C$1:$AA$110,MATCH("*"&amp;B44&amp;"*",bs!$B$1:$B$110,),FALSE),0)/IF(LEN($B$1)&gt;4,10000,1)</f>
        <v>11393.6515</v>
      </c>
      <c r="H44" s="86">
        <f t="shared" si="15"/>
        <v>0.24348941189253234</v>
      </c>
      <c r="I44" s="84">
        <f>ROUND(HLOOKUP($I$2,bs!$C$1:$AA$110,MATCH("*"&amp;B44&amp;"*",bs!$B$1:$B$110,),FALSE),0)/IF(LEN($B$1)&gt;4,10000,1)</f>
        <v>3321.9654</v>
      </c>
      <c r="J44" s="86">
        <f t="shared" si="16"/>
        <v>0.18973208710685133</v>
      </c>
      <c r="L44" s="91">
        <f t="shared" si="4"/>
        <v>1.9045499119928695</v>
      </c>
      <c r="M44" s="91" t="str">
        <f>B44</f>
        <v>非流动资产合计</v>
      </c>
      <c r="O44" t="str">
        <f>CONCATENATE("近三年及一期，拟承租人",B44,"分别为",ROUND(I44,2),"万元、",ROUND(G44,2),"万元、",ROUND(E44,2),"万元及",ROUND(C44,2),"万元。","占总资产的比重分别为",TEXT(J44,"0.00%"),"、",TEXT(H44,"0.00%"),"、",TEXT(F44,"0.00%"),"和",TEXT(D44,"0.00%"),"。")</f>
        <v>近三年及一期，拟承租人非流动资产合计分别为3321.97万元、11393.65万元、54765.68万元及53790.41万元。占总资产的比重分别为18.97%、24.35%、90.00%和57.13%。</v>
      </c>
    </row>
    <row r="45" spans="2:15">
      <c r="B45" s="85" t="s">
        <v>63</v>
      </c>
      <c r="C45" s="82">
        <f>ROUND(HLOOKUP($C$2,bs!$C$1:$AA$110,MATCH("*"&amp;B45&amp;"*",bs!$B$1:$B$110,),FALSE),0)/IF(LEN($B$1)&gt;4,10000,1)</f>
        <v>94146.585800000001</v>
      </c>
      <c r="D45" s="86">
        <f t="shared" si="13"/>
        <v>1</v>
      </c>
      <c r="E45" s="82">
        <f>ROUND(HLOOKUP($E$2,bs!$C$1:$AA$110,MATCH("*"&amp;B45&amp;"*",bs!$B$1:$B$110,),FALSE),0)/IF(LEN($B$1)&gt;4,10000,1)</f>
        <v>60852.044900000001</v>
      </c>
      <c r="F45" s="86">
        <f t="shared" si="14"/>
        <v>1</v>
      </c>
      <c r="G45" s="84">
        <f>ROUND(HLOOKUP($G$2,bs!$C$1:$AA$110,MATCH("*"&amp;B45&amp;"*",bs!$B$1:$B$110,),FALSE),0)/IF(LEN($B$1)&gt;4,10000,1)</f>
        <v>46793.211300000003</v>
      </c>
      <c r="H45" s="86">
        <f t="shared" si="15"/>
        <v>1</v>
      </c>
      <c r="I45" s="84">
        <f>ROUND(HLOOKUP($I$2,bs!$C$1:$AA$110,MATCH("*"&amp;B45&amp;"*",bs!$B$1:$B$110,),FALSE),0)/IF(LEN($B$1)&gt;4,10000,1)</f>
        <v>17508.716899999999</v>
      </c>
      <c r="J45" s="86">
        <f t="shared" si="16"/>
        <v>1</v>
      </c>
      <c r="L45" s="91">
        <f t="shared" si="4"/>
        <v>4</v>
      </c>
      <c r="M45" s="91" t="str">
        <f>B45</f>
        <v>资产总计</v>
      </c>
      <c r="O45" t="str">
        <f>CONCATENATE("近三年及一期，拟承租人",B45,"分别为",ROUND(I45,2),"万元、",ROUND(G45,2),"万元、",ROUND(E45,2),"万元及",ROUND(C45,2),"万元。")</f>
        <v>近三年及一期，拟承租人资产总计分别为17508.72万元、46793.21万元、60852.04万元及94146.59万元。</v>
      </c>
    </row>
    <row r="46" spans="2:15">
      <c r="B46" s="87"/>
      <c r="C46" s="88"/>
      <c r="D46" s="89"/>
      <c r="E46" s="88"/>
      <c r="F46" s="89"/>
      <c r="G46" s="90"/>
      <c r="H46" s="89"/>
      <c r="I46" s="90" t="s">
        <v>532</v>
      </c>
      <c r="J46" s="89"/>
      <c r="L46" s="91"/>
      <c r="M46" s="91">
        <f>B46</f>
        <v>0</v>
      </c>
    </row>
    <row r="47" spans="2:15">
      <c r="B47" s="168" t="s">
        <v>679</v>
      </c>
      <c r="C47" s="169">
        <f>C2</f>
        <v>45443</v>
      </c>
      <c r="D47" s="170"/>
      <c r="E47" s="169">
        <f>E2</f>
        <v>45291</v>
      </c>
      <c r="F47" s="170"/>
      <c r="G47" s="169">
        <f>G2</f>
        <v>44926</v>
      </c>
      <c r="H47" s="170"/>
      <c r="I47" s="169">
        <f>I2</f>
        <v>44561</v>
      </c>
      <c r="J47" s="170"/>
      <c r="L47" s="91"/>
      <c r="M47" s="91" t="str">
        <f>B47</f>
        <v>项目</v>
      </c>
    </row>
    <row r="48" spans="2:15">
      <c r="B48" s="168"/>
      <c r="C48" s="80" t="s">
        <v>711</v>
      </c>
      <c r="D48" s="80" t="s">
        <v>712</v>
      </c>
      <c r="E48" s="80" t="s">
        <v>711</v>
      </c>
      <c r="F48" s="80" t="s">
        <v>712</v>
      </c>
      <c r="G48" s="80" t="s">
        <v>711</v>
      </c>
      <c r="H48" s="80" t="s">
        <v>712</v>
      </c>
      <c r="I48" s="80" t="s">
        <v>711</v>
      </c>
      <c r="J48" s="80" t="s">
        <v>712</v>
      </c>
      <c r="L48" s="91"/>
      <c r="M48" s="91">
        <f>B48</f>
        <v>0</v>
      </c>
    </row>
    <row r="49" spans="2:14" hidden="1">
      <c r="B49" s="81" t="s">
        <v>686</v>
      </c>
      <c r="C49" s="82">
        <f>ROUND(HLOOKUP($C$2,bs!$C$1:$AA$110,MATCH("*"&amp;B49&amp;"*",bs!$B$1:$B$110,),FALSE),0)/IF(LEN($B$1)&gt;4,10000,1)</f>
        <v>0</v>
      </c>
      <c r="D49" s="83">
        <f>C49/$C$80</f>
        <v>0</v>
      </c>
      <c r="E49" s="82">
        <f>ROUND(HLOOKUP($E$2,bs!$C$1:$AA$110,MATCH("*"&amp;B49&amp;"*",bs!$B$1:$B$110,),FALSE),0)/IF(LEN($B$1)&gt;4,10000,1)</f>
        <v>0</v>
      </c>
      <c r="F49" s="83">
        <f>E49/$E$80</f>
        <v>0</v>
      </c>
      <c r="G49" s="84">
        <f>ROUND(HLOOKUP($G$2,bs!$C$1:$AA$110,MATCH("*"&amp;B49&amp;"*",bs!$B$1:$B$110,),FALSE),0)/IF(LEN($B$1)&gt;4,10000,1)</f>
        <v>0</v>
      </c>
      <c r="H49" s="83">
        <f>G49/$G$80</f>
        <v>0</v>
      </c>
      <c r="I49" s="84">
        <f>ROUND(HLOOKUP($I$2,bs!$C$1:$AA$110,MATCH("*"&amp;B49&amp;"*",bs!$B$1:$B$110,),FALSE),0)/IF(LEN($B$1)&gt;4,10000,1)</f>
        <v>0</v>
      </c>
      <c r="J49" s="83">
        <f>I49/$I$80</f>
        <v>0</v>
      </c>
      <c r="L49" s="91">
        <f t="shared" si="4"/>
        <v>0</v>
      </c>
      <c r="M49" s="91"/>
      <c r="N49" s="92" t="str">
        <f>B49</f>
        <v>短期借款</v>
      </c>
    </row>
    <row r="50" spans="2:14" hidden="1">
      <c r="B50" s="81" t="s">
        <v>736</v>
      </c>
      <c r="C50" s="82">
        <f>ROUND(HLOOKUP($C$2,bs!$C$1:$AA$110,MATCH("*"&amp;B50&amp;"*",bs!$B$1:$B$110,),FALSE),0)/IF(LEN($B$1)&gt;4,10000,1)</f>
        <v>0</v>
      </c>
      <c r="D50" s="83">
        <f t="shared" ref="D50:D67" si="17">C50/$C$80</f>
        <v>0</v>
      </c>
      <c r="E50" s="82">
        <f>ROUND(HLOOKUP($E$2,bs!$C$1:$AA$110,MATCH("*"&amp;B50&amp;"*",bs!$B$1:$B$110,),FALSE),0)/IF(LEN($B$1)&gt;4,10000,1)</f>
        <v>0</v>
      </c>
      <c r="F50" s="83">
        <f t="shared" ref="F50:F67" si="18">E50/$E$80</f>
        <v>0</v>
      </c>
      <c r="G50" s="84">
        <f>ROUND(HLOOKUP($G$2,bs!$C$1:$AA$110,MATCH("*"&amp;B50&amp;"*",bs!$B$1:$B$110,),FALSE),0)/IF(LEN($B$1)&gt;4,10000,1)</f>
        <v>0</v>
      </c>
      <c r="H50" s="83">
        <f t="shared" ref="H50:H67" si="19">G50/$G$80</f>
        <v>0</v>
      </c>
      <c r="I50" s="84">
        <f>ROUND(HLOOKUP($I$2,bs!$C$1:$AA$110,MATCH("*"&amp;B50&amp;"*",bs!$B$1:$B$110,),FALSE),0)/IF(LEN($B$1)&gt;4,10000,1)</f>
        <v>0</v>
      </c>
      <c r="J50" s="83">
        <f t="shared" ref="J50:J67" si="20">I50/$I$80</f>
        <v>0</v>
      </c>
      <c r="L50" s="91">
        <f t="shared" si="4"/>
        <v>0</v>
      </c>
      <c r="M50" s="91"/>
    </row>
    <row r="51" spans="2:14" hidden="1">
      <c r="B51" s="81" t="s">
        <v>585</v>
      </c>
      <c r="C51" s="82">
        <f>ROUND(HLOOKUP($C$2,bs!$C$1:$AA$110,MATCH("*"&amp;B51&amp;"*",bs!$B$1:$B$110,),FALSE),0)/IF(LEN($B$1)&gt;4,10000,1)</f>
        <v>0</v>
      </c>
      <c r="D51" s="83">
        <f t="shared" si="17"/>
        <v>0</v>
      </c>
      <c r="E51" s="82">
        <f>ROUND(HLOOKUP($E$2,bs!$C$1:$AA$110,MATCH("*"&amp;B51&amp;"*",bs!$B$1:$B$110,),FALSE),0)/IF(LEN($B$1)&gt;4,10000,1)</f>
        <v>0</v>
      </c>
      <c r="F51" s="83">
        <f t="shared" si="18"/>
        <v>0</v>
      </c>
      <c r="G51" s="84">
        <f>ROUND(HLOOKUP($G$2,bs!$C$1:$AA$110,MATCH("*"&amp;B51&amp;"*",bs!$B$1:$B$110,),FALSE),0)/IF(LEN($B$1)&gt;4,10000,1)</f>
        <v>0</v>
      </c>
      <c r="H51" s="83">
        <f t="shared" si="19"/>
        <v>0</v>
      </c>
      <c r="I51" s="84">
        <f>ROUND(HLOOKUP($I$2,bs!$C$1:$AA$110,MATCH("*"&amp;B51&amp;"*",bs!$B$1:$B$110,),FALSE),0)/IF(LEN($B$1)&gt;4,10000,1)</f>
        <v>0</v>
      </c>
      <c r="J51" s="83">
        <f t="shared" si="20"/>
        <v>0</v>
      </c>
      <c r="L51" s="91">
        <f t="shared" si="4"/>
        <v>0</v>
      </c>
      <c r="M51" s="91"/>
    </row>
    <row r="52" spans="2:14" hidden="1">
      <c r="B52" s="81" t="s">
        <v>586</v>
      </c>
      <c r="C52" s="82">
        <f>ROUND(HLOOKUP($C$2,bs!$C$1:$AA$110,MATCH("*"&amp;B52&amp;"*",bs!$B$1:$B$110,),FALSE),0)/IF(LEN($B$1)&gt;4,10000,1)</f>
        <v>0</v>
      </c>
      <c r="D52" s="83">
        <f t="shared" si="17"/>
        <v>0</v>
      </c>
      <c r="E52" s="82">
        <f>ROUND(HLOOKUP($E$2,bs!$C$1:$AA$110,MATCH("*"&amp;B52&amp;"*",bs!$B$1:$B$110,),FALSE),0)/IF(LEN($B$1)&gt;4,10000,1)</f>
        <v>0</v>
      </c>
      <c r="F52" s="83">
        <f t="shared" si="18"/>
        <v>0</v>
      </c>
      <c r="G52" s="84">
        <f>ROUND(HLOOKUP($G$2,bs!$C$1:$AA$110,MATCH("*"&amp;B52&amp;"*",bs!$B$1:$B$110,),FALSE),0)/IF(LEN($B$1)&gt;4,10000,1)</f>
        <v>0</v>
      </c>
      <c r="H52" s="83">
        <f t="shared" si="19"/>
        <v>0</v>
      </c>
      <c r="I52" s="84">
        <f>ROUND(HLOOKUP($I$2,bs!$C$1:$AA$110,MATCH("*"&amp;B52&amp;"*",bs!$B$1:$B$110,),FALSE),0)/IF(LEN($B$1)&gt;4,10000,1)</f>
        <v>0</v>
      </c>
      <c r="J52" s="83">
        <f t="shared" si="20"/>
        <v>0</v>
      </c>
      <c r="L52" s="91">
        <f t="shared" si="4"/>
        <v>0</v>
      </c>
      <c r="M52" s="91"/>
    </row>
    <row r="53" spans="2:14">
      <c r="B53" s="81" t="s">
        <v>587</v>
      </c>
      <c r="C53" s="82">
        <f>ROUND(HLOOKUP($C$2,bs!$C$1:$AA$110,MATCH("*"&amp;B53&amp;"*",bs!$B$1:$B$110,),FALSE),0)/IF(LEN($B$1)&gt;4,10000,1)</f>
        <v>39319.546600000001</v>
      </c>
      <c r="D53" s="83">
        <f t="shared" si="17"/>
        <v>0.46863094407998446</v>
      </c>
      <c r="E53" s="82">
        <f>ROUND(HLOOKUP($E$2,bs!$C$1:$AA$110,MATCH("*"&amp;B53&amp;"*",bs!$B$1:$B$110,),FALSE),0)/IF(LEN($B$1)&gt;4,10000,1)</f>
        <v>4344.8463000000002</v>
      </c>
      <c r="F53" s="83">
        <f t="shared" si="18"/>
        <v>8.8720430726485125E-2</v>
      </c>
      <c r="G53" s="84">
        <f>ROUND(HLOOKUP($G$2,bs!$C$1:$AA$110,MATCH("*"&amp;B53&amp;"*",bs!$B$1:$B$110,),FALSE),0)/IF(LEN($B$1)&gt;4,10000,1)</f>
        <v>0</v>
      </c>
      <c r="H53" s="83">
        <f t="shared" si="19"/>
        <v>0</v>
      </c>
      <c r="I53" s="84">
        <f>ROUND(HLOOKUP($I$2,bs!$C$1:$AA$110,MATCH("*"&amp;B53&amp;"*",bs!$B$1:$B$110,),FALSE),0)/IF(LEN($B$1)&gt;4,10000,1)</f>
        <v>0</v>
      </c>
      <c r="J53" s="83">
        <f t="shared" si="20"/>
        <v>0</v>
      </c>
      <c r="L53" s="91">
        <f t="shared" si="4"/>
        <v>0.55735137480646957</v>
      </c>
      <c r="M53" s="91" t="str">
        <f>B53</f>
        <v xml:space="preserve">  应付账款 </v>
      </c>
      <c r="N53" t="str">
        <f>CONCATENATE("近三年及一期，拟承租人",B53,"分别为",ROUND(I53,2),"万元、",ROUND(G53,2),"万元、",ROUND(E53,2),"万元及",ROUND(C53,2),"万元。","占总负债的比重分别为",TEXT(J53,"0.00%"),"、",TEXT(H53,"0.00%"),"、",TEXT(F53,"0.00%"),"和",TEXT(D53,"0.00%"),"。")</f>
        <v>近三年及一期，拟承租人  应付账款 分别为0万元、0万元、4344.85万元及39319.55万元。占总负债的比重分别为0.00%、0.00%、8.87%和46.86%。</v>
      </c>
    </row>
    <row r="54" spans="2:14" hidden="1">
      <c r="B54" s="81" t="s">
        <v>588</v>
      </c>
      <c r="C54" s="82">
        <f>ROUND(HLOOKUP($C$2,bs!$C$1:$AA$110,MATCH("*"&amp;B54&amp;"*",bs!$B$1:$B$110,),FALSE),0)/IF(LEN($B$1)&gt;4,10000,1)</f>
        <v>5.6288999999999998</v>
      </c>
      <c r="D54" s="83">
        <f t="shared" si="17"/>
        <v>6.708817749011949E-5</v>
      </c>
      <c r="E54" s="82">
        <f>ROUND(HLOOKUP($E$2,bs!$C$1:$AA$110,MATCH("*"&amp;B54&amp;"*",bs!$B$1:$B$110,),FALSE),0)/IF(LEN($B$1)&gt;4,10000,1)</f>
        <v>0</v>
      </c>
      <c r="F54" s="83">
        <f t="shared" si="18"/>
        <v>0</v>
      </c>
      <c r="G54" s="84">
        <f>ROUND(HLOOKUP($G$2,bs!$C$1:$AA$110,MATCH("*"&amp;B54&amp;"*",bs!$B$1:$B$110,),FALSE),0)/IF(LEN($B$1)&gt;4,10000,1)</f>
        <v>0</v>
      </c>
      <c r="H54" s="83">
        <f t="shared" si="19"/>
        <v>0</v>
      </c>
      <c r="I54" s="84">
        <f>ROUND(HLOOKUP($I$2,bs!$C$1:$AA$110,MATCH("*"&amp;B54&amp;"*",bs!$B$1:$B$110,),FALSE),0)/IF(LEN($B$1)&gt;4,10000,1)</f>
        <v>0</v>
      </c>
      <c r="J54" s="83">
        <f t="shared" si="20"/>
        <v>0</v>
      </c>
      <c r="L54" s="91">
        <f t="shared" si="4"/>
        <v>6.708817749011949E-5</v>
      </c>
      <c r="M54" s="91"/>
    </row>
    <row r="55" spans="2:14" hidden="1">
      <c r="B55" s="81" t="s">
        <v>589</v>
      </c>
      <c r="C55" s="82">
        <f>ROUND(HLOOKUP($C$2,bs!$C$1:$AA$110,MATCH("*"&amp;B55&amp;"*",bs!$B$1:$B$110,),FALSE),0)/IF(LEN($B$1)&gt;4,10000,1)</f>
        <v>0</v>
      </c>
      <c r="D55" s="83">
        <f t="shared" si="17"/>
        <v>0</v>
      </c>
      <c r="E55" s="82">
        <f>ROUND(HLOOKUP($E$2,bs!$C$1:$AA$110,MATCH("*"&amp;B55&amp;"*",bs!$B$1:$B$110,),FALSE),0)/IF(LEN($B$1)&gt;4,10000,1)</f>
        <v>0</v>
      </c>
      <c r="F55" s="83">
        <f t="shared" si="18"/>
        <v>0</v>
      </c>
      <c r="G55" s="84">
        <f>ROUND(HLOOKUP($G$2,bs!$C$1:$AA$110,MATCH("*"&amp;B55&amp;"*",bs!$B$1:$B$110,),FALSE),0)/IF(LEN($B$1)&gt;4,10000,1)</f>
        <v>0</v>
      </c>
      <c r="H55" s="83">
        <f t="shared" si="19"/>
        <v>0</v>
      </c>
      <c r="I55" s="84">
        <f>ROUND(HLOOKUP($I$2,bs!$C$1:$AA$110,MATCH("*"&amp;B55&amp;"*",bs!$B$1:$B$110,),FALSE),0)/IF(LEN($B$1)&gt;4,10000,1)</f>
        <v>0</v>
      </c>
      <c r="J55" s="83">
        <f t="shared" si="20"/>
        <v>0</v>
      </c>
      <c r="L55" s="91">
        <f t="shared" si="4"/>
        <v>0</v>
      </c>
      <c r="M55" s="91"/>
    </row>
    <row r="56" spans="2:14" hidden="1">
      <c r="B56" s="81" t="s">
        <v>594</v>
      </c>
      <c r="C56" s="82">
        <f>ROUND(HLOOKUP($C$2,bs!$C$1:$AA$110,MATCH("*"&amp;B56&amp;"*",bs!$B$1:$B$110,),FALSE),0)/IF(LEN($B$1)&gt;4,10000,1)</f>
        <v>0.1641</v>
      </c>
      <c r="D56" s="83">
        <f t="shared" si="17"/>
        <v>1.955829722704011E-6</v>
      </c>
      <c r="E56" s="82">
        <f>ROUND(HLOOKUP($E$2,bs!$C$1:$AA$110,MATCH("*"&amp;B56&amp;"*",bs!$B$1:$B$110,),FALSE),0)/IF(LEN($B$1)&gt;4,10000,1)</f>
        <v>0.1512</v>
      </c>
      <c r="F56" s="83">
        <f t="shared" si="18"/>
        <v>3.0874576911603412E-6</v>
      </c>
      <c r="G56" s="84">
        <f>ROUND(HLOOKUP($G$2,bs!$C$1:$AA$110,MATCH("*"&amp;B56&amp;"*",bs!$B$1:$B$110,),FALSE),0)/IF(LEN($B$1)&gt;4,10000,1)</f>
        <v>0</v>
      </c>
      <c r="H56" s="83">
        <f t="shared" si="19"/>
        <v>0</v>
      </c>
      <c r="I56" s="84">
        <f>ROUND(HLOOKUP($I$2,bs!$C$1:$AA$110,MATCH("*"&amp;B56&amp;"*",bs!$B$1:$B$110,),FALSE),0)/IF(LEN($B$1)&gt;4,10000,1)</f>
        <v>0</v>
      </c>
      <c r="J56" s="83">
        <f t="shared" si="20"/>
        <v>0</v>
      </c>
      <c r="L56" s="91">
        <f t="shared" si="4"/>
        <v>5.0432874138643527E-6</v>
      </c>
      <c r="M56" s="91"/>
    </row>
    <row r="57" spans="2:14">
      <c r="B57" s="81" t="s">
        <v>595</v>
      </c>
      <c r="C57" s="82">
        <f>ROUND(HLOOKUP($C$2,bs!$C$1:$AA$110,MATCH("*"&amp;B57&amp;"*",bs!$B$1:$B$110,),FALSE),0)/IF(LEN($B$1)&gt;4,10000,1)</f>
        <v>-1021.6765</v>
      </c>
      <c r="D57" s="83">
        <f t="shared" si="17"/>
        <v>-1.2176875476466818E-2</v>
      </c>
      <c r="E57" s="82">
        <f>ROUND(HLOOKUP($E$2,bs!$C$1:$AA$110,MATCH("*"&amp;B57&amp;"*",bs!$B$1:$B$110,),FALSE),0)/IF(LEN($B$1)&gt;4,10000,1)</f>
        <v>33.869500000000002</v>
      </c>
      <c r="F57" s="83">
        <f t="shared" si="18"/>
        <v>6.9160481660552372E-4</v>
      </c>
      <c r="G57" s="84">
        <f>ROUND(HLOOKUP($G$2,bs!$C$1:$AA$110,MATCH("*"&amp;B57&amp;"*",bs!$B$1:$B$110,),FALSE),0)/IF(LEN($B$1)&gt;4,10000,1)</f>
        <v>38.653199999999998</v>
      </c>
      <c r="H57" s="83">
        <f t="shared" si="19"/>
        <v>1.046367684387275E-3</v>
      </c>
      <c r="I57" s="84">
        <f>ROUND(HLOOKUP($I$2,bs!$C$1:$AA$110,MATCH("*"&amp;B57&amp;"*",bs!$B$1:$B$110,),FALSE),0)/IF(LEN($B$1)&gt;4,10000,1)</f>
        <v>0.95299999999999996</v>
      </c>
      <c r="J57" s="83">
        <f t="shared" si="20"/>
        <v>1.2689447086969649E-4</v>
      </c>
      <c r="L57" s="91">
        <f t="shared" si="4"/>
        <v>-1.0312008504604323E-2</v>
      </c>
      <c r="M57" s="91" t="str">
        <f>B57</f>
        <v xml:space="preserve">  应交税费 </v>
      </c>
      <c r="N57" t="str">
        <f>CONCATENATE("近三年及一期，拟承租人",B57,"分别为",ROUND(I57,2),"万元、",ROUND(G57,2),"万元、",ROUND(E57,2),"万元及",ROUND(C57,2),"万元。","占总负债的比重分别为",TEXT(J57,"0.00%"),"、",TEXT(H57,"0.00%"),"、",TEXT(F57,"0.00%"),"和",TEXT(D57,"0.00%"),"。")</f>
        <v>近三年及一期，拟承租人  应交税费 分别为0.95万元、38.65万元、33.87万元及-1021.68万元。占总负债的比重分别为0.01%、0.10%、0.07%和-1.22%。</v>
      </c>
    </row>
    <row r="58" spans="2:14">
      <c r="B58" s="81" t="s">
        <v>596</v>
      </c>
      <c r="C58" s="82">
        <f>ROUND(HLOOKUP($C$2,bs!$C$1:$AA$110,MATCH("*"&amp;B58&amp;"*",bs!$B$1:$B$110,),FALSE),0)/IF(LEN($B$1)&gt;4,10000,1)</f>
        <v>20574.409800000001</v>
      </c>
      <c r="D58" s="83">
        <f t="shared" si="17"/>
        <v>0.24521658875035157</v>
      </c>
      <c r="E58" s="82">
        <f>ROUND(HLOOKUP($E$2,bs!$C$1:$AA$110,MATCH("*"&amp;B58&amp;"*",bs!$B$1:$B$110,),FALSE),0)/IF(LEN($B$1)&gt;4,10000,1)</f>
        <v>21198.2575</v>
      </c>
      <c r="F58" s="83">
        <f t="shared" si="18"/>
        <v>0.43286192564532</v>
      </c>
      <c r="G58" s="84">
        <f>ROUND(HLOOKUP($G$2,bs!$C$1:$AA$110,MATCH("*"&amp;B58&amp;"*",bs!$B$1:$B$110,),FALSE),0)/IF(LEN($B$1)&gt;4,10000,1)</f>
        <v>105.0851</v>
      </c>
      <c r="H58" s="83">
        <f t="shared" si="19"/>
        <v>2.844723147128963E-3</v>
      </c>
      <c r="I58" s="84">
        <f>ROUND(HLOOKUP($I$2,bs!$C$1:$AA$110,MATCH("*"&amp;B58&amp;"*",bs!$B$1:$B$110,),FALSE),0)/IF(LEN($B$1)&gt;4,10000,1)</f>
        <v>7509.2244000000001</v>
      </c>
      <c r="J58" s="83">
        <f t="shared" si="20"/>
        <v>0.99987309221386578</v>
      </c>
      <c r="L58" s="91">
        <f t="shared" si="4"/>
        <v>1.6807963297566664</v>
      </c>
      <c r="M58" s="91" t="str">
        <f>B58</f>
        <v xml:space="preserve">  其他应付款 </v>
      </c>
      <c r="N58" t="str">
        <f>CONCATENATE("近三年及一期，拟承租人",B58,"分别为",ROUND(I58,2),"万元、",ROUND(G58,2),"万元、",ROUND(E58,2),"万元及",ROUND(C58,2),"万元。","占总负债的比重分别为",TEXT(J58,"0.00%"),"、",TEXT(H58,"0.00%"),"、",TEXT(F58,"0.00%"),"和",TEXT(D58,"0.00%"),"。")</f>
        <v>近三年及一期，拟承租人  其他应付款 分别为7509.22万元、105.09万元、21198.26万元及20574.41万元。占总负债的比重分别为99.99%、0.28%、43.29%和24.52%。</v>
      </c>
    </row>
    <row r="59" spans="2:14" hidden="1">
      <c r="B59" s="81" t="s">
        <v>597</v>
      </c>
      <c r="C59" s="82">
        <f>ROUND(HLOOKUP($C$2,bs!$C$1:$AA$110,MATCH("*"&amp;B59&amp;"*",bs!$B$1:$B$110,),FALSE),0)/IF(LEN($B$1)&gt;4,10000,1)</f>
        <v>0</v>
      </c>
      <c r="D59" s="83">
        <f t="shared" si="17"/>
        <v>0</v>
      </c>
      <c r="E59" s="82">
        <f>ROUND(HLOOKUP($E$2,bs!$C$1:$AA$110,MATCH("*"&amp;B59&amp;"*",bs!$B$1:$B$110,),FALSE),0)/IF(LEN($B$1)&gt;4,10000,1)</f>
        <v>0</v>
      </c>
      <c r="F59" s="83">
        <f t="shared" si="18"/>
        <v>0</v>
      </c>
      <c r="G59" s="84">
        <f>ROUND(HLOOKUP($G$2,bs!$C$1:$AA$110,MATCH("*"&amp;B59&amp;"*",bs!$B$1:$B$110,),FALSE),0)/IF(LEN($B$1)&gt;4,10000,1)</f>
        <v>0</v>
      </c>
      <c r="H59" s="83">
        <f t="shared" si="19"/>
        <v>0</v>
      </c>
      <c r="I59" s="84">
        <f>ROUND(HLOOKUP($I$2,bs!$C$1:$AA$110,MATCH("*"&amp;B59&amp;"*",bs!$B$1:$B$110,),FALSE),0)/IF(LEN($B$1)&gt;4,10000,1)</f>
        <v>0</v>
      </c>
      <c r="J59" s="83">
        <f t="shared" si="20"/>
        <v>0</v>
      </c>
      <c r="L59" s="91">
        <f t="shared" si="4"/>
        <v>0</v>
      </c>
      <c r="M59" s="91"/>
    </row>
    <row r="60" spans="2:14" hidden="1">
      <c r="B60" s="81" t="s">
        <v>598</v>
      </c>
      <c r="C60" s="82">
        <f>ROUND(HLOOKUP($C$2,bs!$C$1:$AA$110,MATCH("*"&amp;B60&amp;"*",bs!$B$1:$B$110,),FALSE),0)/IF(LEN($B$1)&gt;4,10000,1)</f>
        <v>0</v>
      </c>
      <c r="D60" s="83">
        <f t="shared" si="17"/>
        <v>0</v>
      </c>
      <c r="E60" s="82">
        <f>ROUND(HLOOKUP($E$2,bs!$C$1:$AA$110,MATCH("*"&amp;B60&amp;"*",bs!$B$1:$B$110,),FALSE),0)/IF(LEN($B$1)&gt;4,10000,1)</f>
        <v>0</v>
      </c>
      <c r="F60" s="83">
        <f t="shared" si="18"/>
        <v>0</v>
      </c>
      <c r="G60" s="84">
        <f>ROUND(HLOOKUP($G$2,bs!$C$1:$AA$110,MATCH("*"&amp;B60&amp;"*",bs!$B$1:$B$110,),FALSE),0)/IF(LEN($B$1)&gt;4,10000,1)</f>
        <v>0</v>
      </c>
      <c r="H60" s="83">
        <f t="shared" si="19"/>
        <v>0</v>
      </c>
      <c r="I60" s="84">
        <f>ROUND(HLOOKUP($I$2,bs!$C$1:$AA$110,MATCH("*"&amp;B60&amp;"*",bs!$B$1:$B$110,),FALSE),0)/IF(LEN($B$1)&gt;4,10000,1)</f>
        <v>0</v>
      </c>
      <c r="J60" s="83">
        <f t="shared" si="20"/>
        <v>0</v>
      </c>
      <c r="L60" s="91">
        <f t="shared" si="4"/>
        <v>0</v>
      </c>
      <c r="M60" s="91"/>
    </row>
    <row r="61" spans="2:14" ht="22.5" hidden="1">
      <c r="B61" s="81" t="s">
        <v>599</v>
      </c>
      <c r="C61" s="82">
        <f>ROUND(HLOOKUP($C$2,bs!$C$1:$AA$110,MATCH("*"&amp;B61&amp;"*",bs!$B$1:$B$110,),FALSE),0)/IF(LEN($B$1)&gt;4,10000,1)</f>
        <v>0</v>
      </c>
      <c r="D61" s="83">
        <f t="shared" si="17"/>
        <v>0</v>
      </c>
      <c r="E61" s="82">
        <f>ROUND(HLOOKUP($E$2,bs!$C$1:$AA$110,MATCH("*"&amp;B61&amp;"*",bs!$B$1:$B$110,),FALSE),0)/IF(LEN($B$1)&gt;4,10000,1)</f>
        <v>0</v>
      </c>
      <c r="F61" s="83">
        <f t="shared" si="18"/>
        <v>0</v>
      </c>
      <c r="G61" s="84">
        <f>ROUND(HLOOKUP($G$2,bs!$C$1:$AA$110,MATCH("*"&amp;B61&amp;"*",bs!$B$1:$B$110,),FALSE),0)/IF(LEN($B$1)&gt;4,10000,1)</f>
        <v>0</v>
      </c>
      <c r="H61" s="83">
        <f t="shared" si="19"/>
        <v>0</v>
      </c>
      <c r="I61" s="84">
        <f>ROUND(HLOOKUP($I$2,bs!$C$1:$AA$110,MATCH("*"&amp;B61&amp;"*",bs!$B$1:$B$110,),FALSE),0)/IF(LEN($B$1)&gt;4,10000,1)</f>
        <v>0</v>
      </c>
      <c r="J61" s="83">
        <f t="shared" si="20"/>
        <v>0</v>
      </c>
      <c r="L61" s="91">
        <f t="shared" si="4"/>
        <v>0</v>
      </c>
      <c r="M61" s="91"/>
    </row>
    <row r="62" spans="2:14" hidden="1">
      <c r="B62" s="81" t="s">
        <v>600</v>
      </c>
      <c r="C62" s="82">
        <f>ROUND(HLOOKUP($C$2,bs!$C$1:$AA$110,MATCH("*"&amp;B62&amp;"*",bs!$B$1:$B$110,),FALSE),0)/IF(LEN($B$1)&gt;4,10000,1)</f>
        <v>0</v>
      </c>
      <c r="D62" s="83">
        <f t="shared" si="17"/>
        <v>0</v>
      </c>
      <c r="E62" s="82">
        <f>ROUND(HLOOKUP($E$2,bs!$C$1:$AA$110,MATCH("*"&amp;B62&amp;"*",bs!$B$1:$B$110,),FALSE),0)/IF(LEN($B$1)&gt;4,10000,1)</f>
        <v>0</v>
      </c>
      <c r="F62" s="83">
        <f t="shared" si="18"/>
        <v>0</v>
      </c>
      <c r="G62" s="84">
        <f>ROUND(HLOOKUP($G$2,bs!$C$1:$AA$110,MATCH("*"&amp;B62&amp;"*",bs!$B$1:$B$110,),FALSE),0)/IF(LEN($B$1)&gt;4,10000,1)</f>
        <v>0</v>
      </c>
      <c r="H62" s="83">
        <f t="shared" si="19"/>
        <v>0</v>
      </c>
      <c r="I62" s="84">
        <f>ROUND(HLOOKUP($I$2,bs!$C$1:$AA$110,MATCH("*"&amp;B62&amp;"*",bs!$B$1:$B$110,),FALSE),0)/IF(LEN($B$1)&gt;4,10000,1)</f>
        <v>0</v>
      </c>
      <c r="J62" s="83">
        <f t="shared" si="20"/>
        <v>0</v>
      </c>
      <c r="L62" s="91">
        <f t="shared" si="4"/>
        <v>0</v>
      </c>
      <c r="M62" s="91"/>
    </row>
    <row r="63" spans="2:14" hidden="1">
      <c r="B63" s="81" t="s">
        <v>601</v>
      </c>
      <c r="C63" s="82">
        <f>ROUND(HLOOKUP($C$2,bs!$C$1:$AA$110,MATCH("*"&amp;B63&amp;"*",bs!$B$1:$B$110,),FALSE),0)/IF(LEN($B$1)&gt;4,10000,1)</f>
        <v>0</v>
      </c>
      <c r="D63" s="83">
        <f t="shared" si="17"/>
        <v>0</v>
      </c>
      <c r="E63" s="82">
        <f>ROUND(HLOOKUP($E$2,bs!$C$1:$AA$110,MATCH("*"&amp;B63&amp;"*",bs!$B$1:$B$110,),FALSE),0)/IF(LEN($B$1)&gt;4,10000,1)</f>
        <v>0</v>
      </c>
      <c r="F63" s="83">
        <f t="shared" si="18"/>
        <v>0</v>
      </c>
      <c r="G63" s="84">
        <f>ROUND(HLOOKUP($G$2,bs!$C$1:$AA$110,MATCH("*"&amp;B63&amp;"*",bs!$B$1:$B$110,),FALSE),0)/IF(LEN($B$1)&gt;4,10000,1)</f>
        <v>0</v>
      </c>
      <c r="H63" s="83">
        <f t="shared" si="19"/>
        <v>0</v>
      </c>
      <c r="I63" s="84">
        <f>ROUND(HLOOKUP($I$2,bs!$C$1:$AA$110,MATCH("*"&amp;B63&amp;"*",bs!$B$1:$B$110,),FALSE),0)/IF(LEN($B$1)&gt;4,10000,1)</f>
        <v>0</v>
      </c>
      <c r="J63" s="83">
        <f t="shared" si="20"/>
        <v>0</v>
      </c>
      <c r="L63" s="91">
        <f t="shared" si="4"/>
        <v>0</v>
      </c>
      <c r="M63" s="91"/>
    </row>
    <row r="64" spans="2:14" ht="22.5" hidden="1">
      <c r="B64" s="81" t="s">
        <v>602</v>
      </c>
      <c r="C64" s="82">
        <f>ROUND(HLOOKUP($C$2,bs!$C$1:$AA$110,MATCH("*"&amp;B64&amp;"*",bs!$B$1:$B$110,),FALSE),0)/IF(LEN($B$1)&gt;4,10000,1)</f>
        <v>0</v>
      </c>
      <c r="D64" s="83">
        <f t="shared" si="17"/>
        <v>0</v>
      </c>
      <c r="E64" s="82">
        <f>ROUND(HLOOKUP($E$2,bs!$C$1:$AA$110,MATCH("*"&amp;B64&amp;"*",bs!$B$1:$B$110,),FALSE),0)/IF(LEN($B$1)&gt;4,10000,1)</f>
        <v>0</v>
      </c>
      <c r="F64" s="83">
        <f t="shared" si="18"/>
        <v>0</v>
      </c>
      <c r="G64" s="84">
        <f>ROUND(HLOOKUP($G$2,bs!$C$1:$AA$110,MATCH("*"&amp;B64&amp;"*",bs!$B$1:$B$110,),FALSE),0)/IF(LEN($B$1)&gt;4,10000,1)</f>
        <v>0</v>
      </c>
      <c r="H64" s="83">
        <f t="shared" si="19"/>
        <v>0</v>
      </c>
      <c r="I64" s="84">
        <f>ROUND(HLOOKUP($I$2,bs!$C$1:$AA$110,MATCH("*"&amp;B64&amp;"*",bs!$B$1:$B$110,),FALSE),0)/IF(LEN($B$1)&gt;4,10000,1)</f>
        <v>0</v>
      </c>
      <c r="J64" s="83">
        <f t="shared" si="20"/>
        <v>0</v>
      </c>
      <c r="L64" s="91">
        <f t="shared" si="4"/>
        <v>0</v>
      </c>
      <c r="M64" s="91"/>
      <c r="N64" s="92" t="str">
        <f>B64</f>
        <v xml:space="preserve">  一年内到期的非流动负债 </v>
      </c>
    </row>
    <row r="65" spans="2:15" hidden="1">
      <c r="B65" s="81" t="s">
        <v>603</v>
      </c>
      <c r="C65" s="82">
        <f>ROUND(HLOOKUP($C$2,bs!$C$1:$AA$110,MATCH("*"&amp;B65&amp;"*",bs!$B$1:$B$110,),FALSE),0)/IF(LEN($B$1)&gt;4,10000,1)</f>
        <v>0</v>
      </c>
      <c r="D65" s="83">
        <f t="shared" si="17"/>
        <v>0</v>
      </c>
      <c r="E65" s="82">
        <f>ROUND(HLOOKUP($E$2,bs!$C$1:$AA$110,MATCH("*"&amp;B65&amp;"*",bs!$B$1:$B$110,),FALSE),0)/IF(LEN($B$1)&gt;4,10000,1)</f>
        <v>0</v>
      </c>
      <c r="F65" s="83">
        <f t="shared" si="18"/>
        <v>0</v>
      </c>
      <c r="G65" s="84">
        <f>ROUND(HLOOKUP($G$2,bs!$C$1:$AA$110,MATCH("*"&amp;B65&amp;"*",bs!$B$1:$B$110,),FALSE),0)/IF(LEN($B$1)&gt;4,10000,1)</f>
        <v>0</v>
      </c>
      <c r="H65" s="83">
        <f t="shared" si="19"/>
        <v>0</v>
      </c>
      <c r="I65" s="84">
        <f>ROUND(HLOOKUP($I$2,bs!$C$1:$AA$110,MATCH("*"&amp;B65&amp;"*",bs!$B$1:$B$110,),FALSE),0)/IF(LEN($B$1)&gt;4,10000,1)</f>
        <v>0</v>
      </c>
      <c r="J65" s="83">
        <f t="shared" si="20"/>
        <v>0</v>
      </c>
      <c r="L65" s="91">
        <f t="shared" si="4"/>
        <v>0</v>
      </c>
      <c r="M65" s="91"/>
      <c r="N65" s="92" t="str">
        <f>B65</f>
        <v xml:space="preserve">  其他流动负债 </v>
      </c>
    </row>
    <row r="66" spans="2:15">
      <c r="B66" s="85" t="s">
        <v>604</v>
      </c>
      <c r="C66" s="82">
        <f>ROUND(HLOOKUP($C$2,bs!$C$1:$AA$110,MATCH("*"&amp;B66&amp;"*",bs!$B$1:$B$110,),FALSE),0)/IF(LEN($B$1)&gt;4,10000,1)</f>
        <v>58878.072899999999</v>
      </c>
      <c r="D66" s="86">
        <f t="shared" si="17"/>
        <v>0.70173970136108199</v>
      </c>
      <c r="E66" s="82">
        <f>ROUND(HLOOKUP($E$2,bs!$C$1:$AA$110,MATCH("*"&amp;B66&amp;"*",bs!$B$1:$B$110,),FALSE),0)/IF(LEN($B$1)&gt;4,10000,1)</f>
        <v>25577.124400000001</v>
      </c>
      <c r="F66" s="86">
        <f t="shared" si="18"/>
        <v>0.52227704660413243</v>
      </c>
      <c r="G66" s="84">
        <f>ROUND(HLOOKUP($G$2,bs!$C$1:$AA$110,MATCH("*"&amp;B66&amp;"*",bs!$B$1:$B$110,),FALSE),0)/IF(LEN($B$1)&gt;4,10000,1)</f>
        <v>143.73820000000001</v>
      </c>
      <c r="H66" s="86">
        <f t="shared" si="19"/>
        <v>3.8910881244501108E-3</v>
      </c>
      <c r="I66" s="84">
        <f>ROUND(HLOOKUP($I$2,bs!$C$1:$AA$110,MATCH("*"&amp;B66&amp;"*",bs!$B$1:$B$110,),FALSE),0)/IF(LEN($B$1)&gt;4,10000,1)</f>
        <v>7510.1774999999998</v>
      </c>
      <c r="J66" s="86">
        <f t="shared" si="20"/>
        <v>1</v>
      </c>
      <c r="L66" s="91">
        <f t="shared" si="4"/>
        <v>2.2279078360896643</v>
      </c>
      <c r="M66" s="91" t="str">
        <f>B66</f>
        <v>流动负债合计</v>
      </c>
      <c r="N66" t="str">
        <f>CONCATENATE("近三年及一期，拟承租人",B66,"分别为",ROUND(I66,2),"万元、",ROUND(G66,2),"万元、",ROUND(E66,2),"万元及",ROUND(C66,2),"万元。","占总负债的比重分别为",TEXT(J66,"0.00%"),"、",TEXT(H66,"0.00%"),"、",TEXT(F66,"0.00%"),"和",TEXT(D66,"0.00%"),"。")</f>
        <v>近三年及一期，拟承租人流动负债合计分别为7510.18万元、143.74万元、25577.12万元及58878.07万元。占总负债的比重分别为100.00%、0.39%、52.23%和70.17%。</v>
      </c>
      <c r="O66" t="str">
        <f>CONCATENATE("近三年及一期，拟承租人",LEFT(B66,5),"占总资产的比重分别为",TEXT(J66,"0.00%"),"、",TEXT(H66,"0.00%"),"、",TEXT(F66,"0.00%"),"和",TEXT(D66,"0.00%"),"。")</f>
        <v>近三年及一期，拟承租人流动负债合占总资产的比重分别为100.00%、0.39%、52.23%和70.17%。</v>
      </c>
    </row>
    <row r="67" spans="2:15">
      <c r="B67" s="81" t="s">
        <v>606</v>
      </c>
      <c r="C67" s="82">
        <f>ROUND(HLOOKUP($C$2,bs!$C$1:$AA$110,MATCH("*"&amp;B67&amp;"*",bs!$B$1:$B$110,),FALSE),0)/IF(LEN($B$1)&gt;4,10000,1)</f>
        <v>25024.936699999998</v>
      </c>
      <c r="D67" s="83">
        <f t="shared" si="17"/>
        <v>0.2982602986389179</v>
      </c>
      <c r="E67" s="82">
        <f>ROUND(HLOOKUP($E$2,bs!$C$1:$AA$110,MATCH("*"&amp;B67&amp;"*",bs!$B$1:$B$110,),FALSE),0)/IF(LEN($B$1)&gt;4,10000,1)</f>
        <v>23395.2065</v>
      </c>
      <c r="F67" s="83">
        <f t="shared" si="18"/>
        <v>0.4777229513538982</v>
      </c>
      <c r="G67" s="84">
        <f>ROUND(HLOOKUP($G$2,bs!$C$1:$AA$110,MATCH("*"&amp;B67&amp;"*",bs!$B$1:$B$110,),FALSE),0)/IF(LEN($B$1)&gt;4,10000,1)</f>
        <v>36796.622799999997</v>
      </c>
      <c r="H67" s="83">
        <f t="shared" si="19"/>
        <v>0.99610891187554984</v>
      </c>
      <c r="I67" s="84">
        <f>ROUND(HLOOKUP($I$2,bs!$C$1:$AA$110,MATCH("*"&amp;B67&amp;"*",bs!$B$1:$B$110,),FALSE),0)/IF(LEN($B$1)&gt;4,10000,1)</f>
        <v>0</v>
      </c>
      <c r="J67" s="83">
        <f t="shared" si="20"/>
        <v>0</v>
      </c>
      <c r="L67" s="91">
        <f t="shared" si="4"/>
        <v>1.772092161868366</v>
      </c>
      <c r="M67" s="91" t="str">
        <f>B67</f>
        <v xml:space="preserve">  长期借款 </v>
      </c>
      <c r="N67" t="str">
        <f>CONCATENATE("近三年及一期，拟承租人",B67,"分别为",ROUND(I67,2),"万元、",ROUND(G67,2),"万元、",ROUND(E67,2),"万元及",ROUND(C67,2),"万元。","占总负债的比重分别为",TEXT(J67,"0.00%"),"、",TEXT(H67,"0.00%"),"、",TEXT(F67,"0.00%"),"和",TEXT(D67,"0.00%"),"。")</f>
        <v>近三年及一期，拟承租人  长期借款 分别为0万元、36796.62万元、23395.21万元及25024.94万元。占总负债的比重分别为0.00%、99.61%、47.77%和29.83%。</v>
      </c>
    </row>
    <row r="68" spans="2:15" hidden="1">
      <c r="B68" s="81" t="s">
        <v>607</v>
      </c>
      <c r="C68" s="82">
        <f>ROUND(HLOOKUP($C$2,bs!$C$1:$AA$110,MATCH("*"&amp;B68&amp;"*",bs!$B$1:$B$110,),FALSE),0)/IF(LEN($B$1)&gt;4,10000,1)</f>
        <v>0</v>
      </c>
      <c r="D68" s="83">
        <f t="shared" ref="D68:D80" si="21">C68/$C$80</f>
        <v>0</v>
      </c>
      <c r="E68" s="82">
        <f>ROUND(HLOOKUP($E$2,bs!$C$1:$AA$110,MATCH("*"&amp;B68&amp;"*",bs!$B$1:$B$110,),FALSE),0)/IF(LEN($B$1)&gt;4,10000,1)</f>
        <v>0</v>
      </c>
      <c r="F68" s="83">
        <f t="shared" ref="F68:F80" si="22">E68/$E$80</f>
        <v>0</v>
      </c>
      <c r="G68" s="84">
        <f>ROUND(HLOOKUP($G$2,bs!$C$1:$AA$110,MATCH("*"&amp;B68&amp;"*",bs!$B$1:$B$110,),FALSE),0)/IF(LEN($B$1)&gt;4,10000,1)</f>
        <v>0</v>
      </c>
      <c r="H68" s="83">
        <f t="shared" ref="H68:H80" si="23">G68/$G$80</f>
        <v>0</v>
      </c>
      <c r="I68" s="84">
        <f>ROUND(HLOOKUP($I$2,bs!$C$1:$AA$110,MATCH("*"&amp;B68&amp;"*",bs!$B$1:$B$110,),FALSE),0)/IF(LEN($B$1)&gt;4,10000,1)</f>
        <v>0</v>
      </c>
      <c r="J68" s="83">
        <f t="shared" ref="J68:J80" si="24">I68/$I$80</f>
        <v>0</v>
      </c>
      <c r="L68" s="91">
        <f t="shared" si="4"/>
        <v>0</v>
      </c>
      <c r="M68" s="91"/>
      <c r="N68" s="92" t="str">
        <f>B68</f>
        <v xml:space="preserve">  应付债券 </v>
      </c>
    </row>
    <row r="69" spans="2:15" hidden="1">
      <c r="B69" s="81" t="s">
        <v>389</v>
      </c>
      <c r="C69" s="82">
        <f>ROUND(HLOOKUP($C$2,bs!$C$1:$AA$110,MATCH("*"&amp;B69&amp;"*",bs!$B$1:$B$110,),FALSE),0)/IF(LEN($B$1)&gt;4,10000,1)</f>
        <v>0</v>
      </c>
      <c r="D69" s="83">
        <f t="shared" si="21"/>
        <v>0</v>
      </c>
      <c r="E69" s="82">
        <f>ROUND(HLOOKUP($E$2,bs!$C$1:$AA$110,MATCH("*"&amp;B69&amp;"*",bs!$B$1:$B$110,),FALSE),0)/IF(LEN($B$1)&gt;4,10000,1)</f>
        <v>0</v>
      </c>
      <c r="F69" s="83">
        <f t="shared" si="22"/>
        <v>0</v>
      </c>
      <c r="G69" s="84">
        <f>ROUND(HLOOKUP($G$2,bs!$C$1:$AA$110,MATCH("*"&amp;B69&amp;"*",bs!$B$1:$B$110,),FALSE),0)/IF(LEN($B$1)&gt;4,10000,1)</f>
        <v>0</v>
      </c>
      <c r="H69" s="83">
        <f t="shared" si="23"/>
        <v>0</v>
      </c>
      <c r="I69" s="84">
        <f>ROUND(HLOOKUP($I$2,bs!$C$1:$AA$110,MATCH("*"&amp;B69&amp;"*",bs!$B$1:$B$110,),FALSE),0)/IF(LEN($B$1)&gt;4,10000,1)</f>
        <v>0</v>
      </c>
      <c r="J69" s="83">
        <f t="shared" si="24"/>
        <v>0</v>
      </c>
      <c r="L69" s="91">
        <f t="shared" ref="L69:L92" si="25">D69+F69+H69+J69</f>
        <v>0</v>
      </c>
      <c r="M69" s="91"/>
    </row>
    <row r="70" spans="2:15" hidden="1">
      <c r="B70" s="81" t="s">
        <v>608</v>
      </c>
      <c r="C70" s="82">
        <f>ROUND(HLOOKUP($C$2,bs!$C$1:$AA$110,MATCH("*"&amp;B70&amp;"*",bs!$B$1:$B$110,),FALSE),0)/IF(LEN($B$1)&gt;4,10000,1)</f>
        <v>0</v>
      </c>
      <c r="D70" s="83">
        <f t="shared" si="21"/>
        <v>0</v>
      </c>
      <c r="E70" s="82">
        <f>ROUND(HLOOKUP($E$2,bs!$C$1:$AA$110,MATCH("*"&amp;B70&amp;"*",bs!$B$1:$B$110,),FALSE),0)/IF(LEN($B$1)&gt;4,10000,1)</f>
        <v>0</v>
      </c>
      <c r="F70" s="83">
        <f t="shared" si="22"/>
        <v>0</v>
      </c>
      <c r="G70" s="84">
        <f>ROUND(HLOOKUP($G$2,bs!$C$1:$AA$110,MATCH("*"&amp;B70&amp;"*",bs!$B$1:$B$110,),FALSE),0)/IF(LEN($B$1)&gt;4,10000,1)</f>
        <v>0</v>
      </c>
      <c r="H70" s="83">
        <f t="shared" si="23"/>
        <v>0</v>
      </c>
      <c r="I70" s="84">
        <f>ROUND(HLOOKUP($I$2,bs!$C$1:$AA$110,MATCH("*"&amp;B70&amp;"*",bs!$B$1:$B$110,),FALSE),0)/IF(LEN($B$1)&gt;4,10000,1)</f>
        <v>0</v>
      </c>
      <c r="J70" s="83">
        <f t="shared" si="24"/>
        <v>0</v>
      </c>
      <c r="L70" s="91">
        <f t="shared" si="25"/>
        <v>0</v>
      </c>
      <c r="M70" s="91"/>
    </row>
    <row r="71" spans="2:15" hidden="1">
      <c r="B71" s="81" t="s">
        <v>609</v>
      </c>
      <c r="C71" s="82">
        <f>ROUND(HLOOKUP($C$2,bs!$C$1:$AA$110,MATCH("*"&amp;B71&amp;"*",bs!$B$1:$B$110,),FALSE),0)/IF(LEN($B$1)&gt;4,10000,1)</f>
        <v>0</v>
      </c>
      <c r="D71" s="83">
        <f t="shared" si="21"/>
        <v>0</v>
      </c>
      <c r="E71" s="82">
        <f>ROUND(HLOOKUP($E$2,bs!$C$1:$AA$110,MATCH("*"&amp;B71&amp;"*",bs!$B$1:$B$110,),FALSE),0)/IF(LEN($B$1)&gt;4,10000,1)</f>
        <v>0</v>
      </c>
      <c r="F71" s="83">
        <f t="shared" si="22"/>
        <v>0</v>
      </c>
      <c r="G71" s="84">
        <f>ROUND(HLOOKUP($G$2,bs!$C$1:$AA$110,MATCH("*"&amp;B71&amp;"*",bs!$B$1:$B$110,),FALSE),0)/IF(LEN($B$1)&gt;4,10000,1)</f>
        <v>0</v>
      </c>
      <c r="H71" s="83">
        <f t="shared" si="23"/>
        <v>0</v>
      </c>
      <c r="I71" s="84">
        <f>ROUND(HLOOKUP($I$2,bs!$C$1:$AA$110,MATCH("*"&amp;B71&amp;"*",bs!$B$1:$B$110,),FALSE),0)/IF(LEN($B$1)&gt;4,10000,1)</f>
        <v>0</v>
      </c>
      <c r="J71" s="83">
        <f t="shared" si="24"/>
        <v>0</v>
      </c>
      <c r="L71" s="91">
        <f t="shared" si="25"/>
        <v>0</v>
      </c>
      <c r="M71" s="91"/>
    </row>
    <row r="72" spans="2:15" hidden="1">
      <c r="B72" s="81" t="s">
        <v>610</v>
      </c>
      <c r="C72" s="82">
        <f>ROUND(HLOOKUP($C$2,bs!$C$1:$AA$110,MATCH("*"&amp;B72&amp;"*",bs!$B$1:$B$110,),FALSE),0)/IF(LEN($B$1)&gt;4,10000,1)</f>
        <v>0</v>
      </c>
      <c r="D72" s="83">
        <f t="shared" si="21"/>
        <v>0</v>
      </c>
      <c r="E72" s="82">
        <f>ROUND(HLOOKUP($E$2,bs!$C$1:$AA$110,MATCH("*"&amp;B72&amp;"*",bs!$B$1:$B$110,),FALSE),0)/IF(LEN($B$1)&gt;4,10000,1)</f>
        <v>0</v>
      </c>
      <c r="F72" s="83">
        <f t="shared" si="22"/>
        <v>0</v>
      </c>
      <c r="G72" s="84">
        <f>ROUND(HLOOKUP($G$2,bs!$C$1:$AA$110,MATCH("*"&amp;B72&amp;"*",bs!$B$1:$B$110,),FALSE),0)/IF(LEN($B$1)&gt;4,10000,1)</f>
        <v>0</v>
      </c>
      <c r="H72" s="83">
        <f t="shared" si="23"/>
        <v>0</v>
      </c>
      <c r="I72" s="84">
        <f>ROUND(HLOOKUP($I$2,bs!$C$1:$AA$110,MATCH("*"&amp;B72&amp;"*",bs!$B$1:$B$110,),FALSE),0)/IF(LEN($B$1)&gt;4,10000,1)</f>
        <v>0</v>
      </c>
      <c r="J72" s="83">
        <f t="shared" si="24"/>
        <v>0</v>
      </c>
      <c r="L72" s="91">
        <f t="shared" si="25"/>
        <v>0</v>
      </c>
      <c r="M72" s="91"/>
    </row>
    <row r="73" spans="2:15" hidden="1">
      <c r="B73" s="81" t="s">
        <v>611</v>
      </c>
      <c r="C73" s="82">
        <f>ROUND(HLOOKUP($C$2,bs!$C$1:$AA$110,MATCH("*"&amp;B73&amp;"*",bs!$B$1:$B$110,),FALSE),0)/IF(LEN($B$1)&gt;4,10000,1)</f>
        <v>0</v>
      </c>
      <c r="D73" s="83">
        <f t="shared" si="21"/>
        <v>0</v>
      </c>
      <c r="E73" s="82">
        <f>ROUND(HLOOKUP($E$2,bs!$C$1:$AA$110,MATCH("*"&amp;B73&amp;"*",bs!$B$1:$B$110,),FALSE),0)/IF(LEN($B$1)&gt;4,10000,1)</f>
        <v>0</v>
      </c>
      <c r="F73" s="83">
        <f t="shared" si="22"/>
        <v>0</v>
      </c>
      <c r="G73" s="84">
        <f>ROUND(HLOOKUP($G$2,bs!$C$1:$AA$110,MATCH("*"&amp;B73&amp;"*",bs!$B$1:$B$110,),FALSE),0)/IF(LEN($B$1)&gt;4,10000,1)</f>
        <v>0</v>
      </c>
      <c r="H73" s="83">
        <f t="shared" si="23"/>
        <v>0</v>
      </c>
      <c r="I73" s="84">
        <f>ROUND(HLOOKUP($I$2,bs!$C$1:$AA$110,MATCH("*"&amp;B73&amp;"*",bs!$B$1:$B$110,),FALSE),0)/IF(LEN($B$1)&gt;4,10000,1)</f>
        <v>0</v>
      </c>
      <c r="J73" s="83">
        <f t="shared" si="24"/>
        <v>0</v>
      </c>
      <c r="L73" s="91">
        <f t="shared" si="25"/>
        <v>0</v>
      </c>
      <c r="M73" s="91"/>
    </row>
    <row r="74" spans="2:15" hidden="1">
      <c r="B74" s="81" t="s">
        <v>612</v>
      </c>
      <c r="C74" s="82">
        <f>ROUND(HLOOKUP($C$2,bs!$C$1:$AA$110,MATCH("*"&amp;B74&amp;"*",bs!$B$1:$B$110,),FALSE),0)/IF(LEN($B$1)&gt;4,10000,1)</f>
        <v>0</v>
      </c>
      <c r="D74" s="83">
        <f t="shared" si="21"/>
        <v>0</v>
      </c>
      <c r="E74" s="82">
        <f>ROUND(HLOOKUP($E$2,bs!$C$1:$AA$110,MATCH("*"&amp;B74&amp;"*",bs!$B$1:$B$110,),FALSE),0)/IF(LEN($B$1)&gt;4,10000,1)</f>
        <v>0</v>
      </c>
      <c r="F74" s="83">
        <f t="shared" si="22"/>
        <v>0</v>
      </c>
      <c r="G74" s="84">
        <f>ROUND(HLOOKUP($G$2,bs!$C$1:$AA$110,MATCH("*"&amp;B74&amp;"*",bs!$B$1:$B$110,),FALSE),0)/IF(LEN($B$1)&gt;4,10000,1)</f>
        <v>0</v>
      </c>
      <c r="H74" s="83">
        <f t="shared" si="23"/>
        <v>0</v>
      </c>
      <c r="I74" s="84">
        <f>ROUND(HLOOKUP($I$2,bs!$C$1:$AA$110,MATCH("*"&amp;B74&amp;"*",bs!$B$1:$B$110,),FALSE),0)/IF(LEN($B$1)&gt;4,10000,1)</f>
        <v>0</v>
      </c>
      <c r="J74" s="83">
        <f t="shared" si="24"/>
        <v>0</v>
      </c>
      <c r="L74" s="91">
        <f t="shared" si="25"/>
        <v>0</v>
      </c>
      <c r="M74" s="91"/>
    </row>
    <row r="75" spans="2:15" hidden="1">
      <c r="B75" s="81" t="s">
        <v>613</v>
      </c>
      <c r="C75" s="82">
        <f>ROUND(HLOOKUP($C$2,bs!$C$1:$AA$110,MATCH("*"&amp;B75&amp;"*",bs!$B$1:$B$110,),FALSE),0)/IF(LEN($B$1)&gt;4,10000,1)</f>
        <v>0</v>
      </c>
      <c r="D75" s="83">
        <f t="shared" si="21"/>
        <v>0</v>
      </c>
      <c r="E75" s="82">
        <f>ROUND(HLOOKUP($E$2,bs!$C$1:$AA$110,MATCH("*"&amp;B75&amp;"*",bs!$B$1:$B$110,),FALSE),0)/IF(LEN($B$1)&gt;4,10000,1)</f>
        <v>0</v>
      </c>
      <c r="F75" s="83">
        <f t="shared" si="22"/>
        <v>0</v>
      </c>
      <c r="G75" s="84">
        <f>ROUND(HLOOKUP($G$2,bs!$C$1:$AA$110,MATCH("*"&amp;B75&amp;"*",bs!$B$1:$B$110,),FALSE),0)/IF(LEN($B$1)&gt;4,10000,1)</f>
        <v>0</v>
      </c>
      <c r="H75" s="83">
        <f t="shared" si="23"/>
        <v>0</v>
      </c>
      <c r="I75" s="84">
        <f>ROUND(HLOOKUP($I$2,bs!$C$1:$AA$110,MATCH("*"&amp;B75&amp;"*",bs!$B$1:$B$110,),FALSE),0)/IF(LEN($B$1)&gt;4,10000,1)</f>
        <v>0</v>
      </c>
      <c r="J75" s="83">
        <f t="shared" si="24"/>
        <v>0</v>
      </c>
      <c r="L75" s="91">
        <f t="shared" si="25"/>
        <v>0</v>
      </c>
      <c r="M75" s="91"/>
    </row>
    <row r="76" spans="2:15" hidden="1">
      <c r="B76" s="81" t="s">
        <v>614</v>
      </c>
      <c r="C76" s="82">
        <f>ROUND(HLOOKUP($C$2,bs!$C$1:$AA$110,MATCH("*"&amp;B76&amp;"*",bs!$B$1:$B$110,),FALSE),0)/IF(LEN($B$1)&gt;4,10000,1)</f>
        <v>0</v>
      </c>
      <c r="D76" s="83">
        <f t="shared" si="21"/>
        <v>0</v>
      </c>
      <c r="E76" s="82">
        <f>ROUND(HLOOKUP($E$2,bs!$C$1:$AA$110,MATCH("*"&amp;B76&amp;"*",bs!$B$1:$B$110,),FALSE),0)/IF(LEN($B$1)&gt;4,10000,1)</f>
        <v>0</v>
      </c>
      <c r="F76" s="83">
        <f t="shared" si="22"/>
        <v>0</v>
      </c>
      <c r="G76" s="84">
        <f>ROUND(HLOOKUP($G$2,bs!$C$1:$AA$110,MATCH("*"&amp;B76&amp;"*",bs!$B$1:$B$110,),FALSE),0)/IF(LEN($B$1)&gt;4,10000,1)</f>
        <v>0</v>
      </c>
      <c r="H76" s="83">
        <f t="shared" si="23"/>
        <v>0</v>
      </c>
      <c r="I76" s="84">
        <f>ROUND(HLOOKUP($I$2,bs!$C$1:$AA$110,MATCH("*"&amp;B76&amp;"*",bs!$B$1:$B$110,),FALSE),0)/IF(LEN($B$1)&gt;4,10000,1)</f>
        <v>0</v>
      </c>
      <c r="J76" s="83">
        <f t="shared" si="24"/>
        <v>0</v>
      </c>
      <c r="L76" s="91">
        <f t="shared" si="25"/>
        <v>0</v>
      </c>
      <c r="M76" s="91"/>
    </row>
    <row r="77" spans="2:15" hidden="1">
      <c r="B77" s="81" t="s">
        <v>615</v>
      </c>
      <c r="C77" s="82">
        <f>ROUND(HLOOKUP($C$2,bs!$C$1:$AA$110,MATCH("*"&amp;B77&amp;"*",bs!$B$1:$B$110,),FALSE),0)/IF(LEN($B$1)&gt;4,10000,1)</f>
        <v>0</v>
      </c>
      <c r="D77" s="83">
        <f t="shared" si="21"/>
        <v>0</v>
      </c>
      <c r="E77" s="82">
        <f>ROUND(HLOOKUP($E$2,bs!$C$1:$AA$110,MATCH("*"&amp;B77&amp;"*",bs!$B$1:$B$110,),FALSE),0)/IF(LEN($B$1)&gt;4,10000,1)</f>
        <v>0</v>
      </c>
      <c r="F77" s="83">
        <f t="shared" si="22"/>
        <v>0</v>
      </c>
      <c r="G77" s="84">
        <f>ROUND(HLOOKUP($G$2,bs!$C$1:$AA$110,MATCH("*"&amp;B77&amp;"*",bs!$B$1:$B$110,),FALSE),0)/IF(LEN($B$1)&gt;4,10000,1)</f>
        <v>0</v>
      </c>
      <c r="H77" s="83">
        <f t="shared" si="23"/>
        <v>0</v>
      </c>
      <c r="I77" s="84">
        <f>ROUND(HLOOKUP($I$2,bs!$C$1:$AA$110,MATCH("*"&amp;B77&amp;"*",bs!$B$1:$B$110,),FALSE),0)/IF(LEN($B$1)&gt;4,10000,1)</f>
        <v>0</v>
      </c>
      <c r="J77" s="83">
        <f t="shared" si="24"/>
        <v>0</v>
      </c>
      <c r="L77" s="91">
        <f t="shared" si="25"/>
        <v>0</v>
      </c>
      <c r="M77" s="91"/>
      <c r="N77" s="92" t="str">
        <f>B77</f>
        <v xml:space="preserve">  递延所得税负债 </v>
      </c>
    </row>
    <row r="78" spans="2:15" hidden="1">
      <c r="B78" s="81" t="s">
        <v>616</v>
      </c>
      <c r="C78" s="82">
        <f>ROUND(HLOOKUP($C$2,bs!$C$1:$AA$110,MATCH("*"&amp;B78&amp;"*",bs!$B$1:$B$110,),FALSE),0)/IF(LEN($B$1)&gt;4,10000,1)</f>
        <v>0</v>
      </c>
      <c r="D78" s="83">
        <f t="shared" si="21"/>
        <v>0</v>
      </c>
      <c r="E78" s="82">
        <f>ROUND(HLOOKUP($E$2,bs!$C$1:$AA$110,MATCH("*"&amp;B78&amp;"*",bs!$B$1:$B$110,),FALSE),0)/IF(LEN($B$1)&gt;4,10000,1)</f>
        <v>0</v>
      </c>
      <c r="F78" s="83">
        <f t="shared" si="22"/>
        <v>0</v>
      </c>
      <c r="G78" s="84">
        <f>ROUND(HLOOKUP($G$2,bs!$C$1:$AA$110,MATCH("*"&amp;B78&amp;"*",bs!$B$1:$B$110,),FALSE),0)/IF(LEN($B$1)&gt;4,10000,1)</f>
        <v>0</v>
      </c>
      <c r="H78" s="83">
        <f t="shared" si="23"/>
        <v>0</v>
      </c>
      <c r="I78" s="84">
        <f>ROUND(HLOOKUP($I$2,bs!$C$1:$AA$110,MATCH("*"&amp;B78&amp;"*",bs!$B$1:$B$110,),FALSE),0)/IF(LEN($B$1)&gt;4,10000,1)</f>
        <v>0</v>
      </c>
      <c r="J78" s="83">
        <f t="shared" si="24"/>
        <v>0</v>
      </c>
      <c r="L78" s="91">
        <f t="shared" si="25"/>
        <v>0</v>
      </c>
      <c r="M78" s="91"/>
    </row>
    <row r="79" spans="2:15">
      <c r="B79" s="85" t="s">
        <v>617</v>
      </c>
      <c r="C79" s="82">
        <f>ROUND(HLOOKUP($C$2,bs!$C$1:$AA$110,MATCH("*"&amp;B79&amp;"*",bs!$B$1:$B$110,),FALSE),0)/IF(LEN($B$1)&gt;4,10000,1)</f>
        <v>25024.936699999998</v>
      </c>
      <c r="D79" s="86">
        <f t="shared" si="21"/>
        <v>0.2982602986389179</v>
      </c>
      <c r="E79" s="82">
        <f>ROUND(HLOOKUP($E$2,bs!$C$1:$AA$110,MATCH("*"&amp;B79&amp;"*",bs!$B$1:$B$110,),FALSE),0)/IF(LEN($B$1)&gt;4,10000,1)</f>
        <v>23395.2065</v>
      </c>
      <c r="F79" s="86">
        <f t="shared" si="22"/>
        <v>0.4777229513538982</v>
      </c>
      <c r="G79" s="84">
        <f>ROUND(HLOOKUP($G$2,bs!$C$1:$AA$110,MATCH("*"&amp;B79&amp;"*",bs!$B$1:$B$110,),FALSE),0)/IF(LEN($B$1)&gt;4,10000,1)</f>
        <v>36796.622799999997</v>
      </c>
      <c r="H79" s="86">
        <f t="shared" si="23"/>
        <v>0.99610891187554984</v>
      </c>
      <c r="I79" s="84">
        <f>ROUND(HLOOKUP($I$2,bs!$C$1:$AA$110,MATCH("*"&amp;B79&amp;"*",bs!$B$1:$B$110,),FALSE),0)/IF(LEN($B$1)&gt;4,10000,1)</f>
        <v>0</v>
      </c>
      <c r="J79" s="86">
        <f t="shared" si="24"/>
        <v>0</v>
      </c>
      <c r="L79" s="91">
        <f t="shared" si="25"/>
        <v>1.772092161868366</v>
      </c>
      <c r="M79" s="91" t="str">
        <f t="shared" ref="M79:M84" si="26">B79</f>
        <v>非流动负债合计</v>
      </c>
      <c r="N79" t="str">
        <f>CONCATENATE("近三年及一期，拟承租人",B79,"分别为",ROUND(I79,2),"万元、",ROUND(G79,2),"万元、",ROUND(E79,2),"万元及",ROUND(C79,2),"万元。","占总负债的比重分别为",TEXT(J79,"0.00%"),"、",TEXT(H79,"0.00%"),"、",TEXT(F79,"0.00%"),"和",TEXT(D79,"0.00%"),"。")</f>
        <v>近三年及一期，拟承租人非流动负债合计分别为0万元、36796.62万元、23395.21万元及25024.94万元。占总负债的比重分别为0.00%、99.61%、47.77%和29.83%。</v>
      </c>
      <c r="O79" t="str">
        <f>CONCATENATE("近三年及一期，拟承租人",LEFT(B79,5),"占总资产的比重分别为",TEXT(J79,"0.00%"),"、",TEXT(H79,"0.00%"),"、",TEXT(F79,"0.00%"),"和",TEXT(D79,"0.00%"),"。")</f>
        <v>近三年及一期，拟承租人非流动负债占总资产的比重分别为0.00%、99.61%、47.77%和29.83%。</v>
      </c>
    </row>
    <row r="80" spans="2:15">
      <c r="B80" s="85" t="s">
        <v>618</v>
      </c>
      <c r="C80" s="82">
        <f>ROUND(HLOOKUP($C$2,bs!$C$1:$AA$110,MATCH("??????"&amp;B80,bs!$B$1:$B$110,),FALSE),0)/IF(LEN($B$1)&gt;4,10000,1)</f>
        <v>83903.009600000005</v>
      </c>
      <c r="D80" s="86">
        <f t="shared" si="21"/>
        <v>1</v>
      </c>
      <c r="E80" s="82">
        <f>ROUND(HLOOKUP($E$2,bs!$C$1:$AA$110,MATCH("*"&amp;B80,bs!$B$1:$B$110,),FALSE),0)/IF(LEN($B$1)&gt;4,10000,1)</f>
        <v>48972.330999999998</v>
      </c>
      <c r="F80" s="86">
        <f t="shared" si="22"/>
        <v>1</v>
      </c>
      <c r="G80" s="84">
        <f>ROUND(HLOOKUP($G$2,bs!$C$1:$AA$110,MATCH("*"&amp;B80,bs!$B$1:$B$110,),FALSE),0)/IF(LEN($B$1)&gt;4,10000,1)</f>
        <v>36940.360999999997</v>
      </c>
      <c r="H80" s="86">
        <f t="shared" si="23"/>
        <v>1</v>
      </c>
      <c r="I80" s="84">
        <f>ROUND(HLOOKUP($I$2,bs!$C$1:$AA$110,MATCH("*"&amp;B80,bs!$B$1:$B$110,),FALSE),0)/IF(LEN($B$1)&gt;4,10000,1)</f>
        <v>7510.1774999999998</v>
      </c>
      <c r="J80" s="86">
        <f t="shared" si="24"/>
        <v>1</v>
      </c>
      <c r="L80" s="91">
        <f t="shared" si="25"/>
        <v>4</v>
      </c>
      <c r="M80" s="91" t="str">
        <f t="shared" si="26"/>
        <v>负债合计</v>
      </c>
      <c r="O80" t="str">
        <f>CONCATENATE("近三年及一期，拟承租人",B80,"分别为",ROUND(I80,2),"万元、",ROUND(G80,2),"万元、",ROUND(E80,2),"万元及",ROUND(C80,2),"万元。")</f>
        <v>近三年及一期，拟承租人负债合计分别为7510.18万元、36940.36万元、48972.33万元及83903.01万元。</v>
      </c>
    </row>
    <row r="81" spans="2:15">
      <c r="B81" s="87"/>
      <c r="C81" s="88"/>
      <c r="D81" s="89"/>
      <c r="E81" s="88"/>
      <c r="F81" s="89"/>
      <c r="G81" s="90"/>
      <c r="H81" s="89"/>
      <c r="I81" s="90" t="s">
        <v>532</v>
      </c>
      <c r="J81" s="89"/>
      <c r="L81" s="91"/>
      <c r="M81" s="91">
        <f t="shared" si="26"/>
        <v>0</v>
      </c>
    </row>
    <row r="82" spans="2:15">
      <c r="B82" s="168" t="s">
        <v>679</v>
      </c>
      <c r="C82" s="169">
        <f>C2</f>
        <v>45443</v>
      </c>
      <c r="D82" s="170"/>
      <c r="E82" s="169">
        <f>E2</f>
        <v>45291</v>
      </c>
      <c r="F82" s="170"/>
      <c r="G82" s="169">
        <f>G2</f>
        <v>44926</v>
      </c>
      <c r="H82" s="170"/>
      <c r="I82" s="169">
        <f>I2</f>
        <v>44561</v>
      </c>
      <c r="J82" s="170"/>
      <c r="L82" s="91"/>
      <c r="M82" s="91" t="str">
        <f t="shared" si="26"/>
        <v>项目</v>
      </c>
    </row>
    <row r="83" spans="2:15">
      <c r="B83" s="168"/>
      <c r="C83" s="80" t="s">
        <v>711</v>
      </c>
      <c r="D83" s="80" t="s">
        <v>712</v>
      </c>
      <c r="E83" s="80" t="s">
        <v>711</v>
      </c>
      <c r="F83" s="80" t="s">
        <v>712</v>
      </c>
      <c r="G83" s="80" t="s">
        <v>711</v>
      </c>
      <c r="H83" s="80" t="s">
        <v>712</v>
      </c>
      <c r="I83" s="80" t="s">
        <v>711</v>
      </c>
      <c r="J83" s="80" t="s">
        <v>712</v>
      </c>
      <c r="L83" s="91"/>
      <c r="M83" s="91">
        <f t="shared" si="26"/>
        <v>0</v>
      </c>
    </row>
    <row r="84" spans="2:15">
      <c r="B84" s="81" t="s">
        <v>737</v>
      </c>
      <c r="C84" s="82">
        <f>ROUND(HLOOKUP($C$2,bs!$C$1:$AA$110,MATCH("*"&amp;B84&amp;"*",bs!$B$1:$B$110,),FALSE),0)/IF(LEN($B$1)&gt;4,10000,1)</f>
        <v>10000</v>
      </c>
      <c r="D84" s="83">
        <f t="shared" ref="D84:D92" si="27">C84/$C$92</f>
        <v>0.97622156605815069</v>
      </c>
      <c r="E84" s="82">
        <f>ROUND(HLOOKUP($E$2,bs!$C$1:$AA$110,MATCH("*"&amp;B84&amp;"*",bs!$B$1:$B$110,),FALSE),0)/IF(LEN($B$1)&gt;4,10000,1)</f>
        <v>10000</v>
      </c>
      <c r="F84" s="83">
        <f t="shared" ref="F84:F92" si="28">E84/$E$92</f>
        <v>0.84177111369660174</v>
      </c>
      <c r="G84" s="84">
        <f>ROUND(HLOOKUP($G$2,bs!$C$1:$AA$110,MATCH("*"&amp;B84&amp;"*",bs!$B$1:$B$110,),FALSE),0)/IF(LEN($B$1)&gt;4,10000,1)</f>
        <v>10000</v>
      </c>
      <c r="H84" s="83">
        <f t="shared" ref="H84:H92" si="29">G84/$G$92</f>
        <v>1.0149347341651989</v>
      </c>
      <c r="I84" s="93">
        <f>ROUND(HLOOKUP($I$2,bs!$C$1:$AA$110,MATCH("*"&amp;B84&amp;"*",bs!$B$1:$B$110,),FALSE),0)/IF(LEN($B$1)&gt;4,10000,1)</f>
        <v>10000</v>
      </c>
      <c r="J84" s="83">
        <f t="shared" ref="J84:J92" si="30">I84/$I$92</f>
        <v>1.0001460813366401</v>
      </c>
      <c r="L84" s="91">
        <f t="shared" si="25"/>
        <v>3.8330734952565915</v>
      </c>
      <c r="M84" s="91" t="str">
        <f t="shared" si="26"/>
        <v>实收资本（或股本）</v>
      </c>
    </row>
    <row r="85" spans="2:15" hidden="1">
      <c r="B85" s="81" t="s">
        <v>738</v>
      </c>
      <c r="C85" s="82">
        <f>ROUND(HLOOKUP($C$2,bs!$C$1:$AA$110,MATCH("*"&amp;B85&amp;"*",bs!$B$1:$B$110,),FALSE),0)/IF(LEN($B$1)&gt;4,10000,1)</f>
        <v>0</v>
      </c>
      <c r="D85" s="83">
        <f t="shared" si="27"/>
        <v>0</v>
      </c>
      <c r="E85" s="82">
        <f>ROUND(HLOOKUP($E$2,bs!$C$1:$AA$110,MATCH("*"&amp;B85&amp;"*",bs!$B$1:$B$110,),FALSE),0)/IF(LEN($B$1)&gt;4,10000,1)</f>
        <v>0</v>
      </c>
      <c r="F85" s="83">
        <f t="shared" si="28"/>
        <v>0</v>
      </c>
      <c r="G85" s="84">
        <f>ROUND(HLOOKUP($G$2,bs!$C$1:$AA$110,MATCH("*"&amp;B85&amp;"*",bs!$B$1:$B$110,),FALSE),0)/IF(LEN($B$1)&gt;4,10000,1)</f>
        <v>0</v>
      </c>
      <c r="H85" s="83">
        <f t="shared" si="29"/>
        <v>0</v>
      </c>
      <c r="I85" s="93">
        <f>ROUND(HLOOKUP($I$2,bs!$C$1:$AA$110,MATCH("*"&amp;B85&amp;"*",bs!$B$1:$B$110,),FALSE),0)/IF(LEN($B$1)&gt;4,10000,1)</f>
        <v>0</v>
      </c>
      <c r="J85" s="83">
        <f t="shared" si="30"/>
        <v>0</v>
      </c>
      <c r="L85" s="91">
        <f t="shared" si="25"/>
        <v>0</v>
      </c>
      <c r="M85" s="91"/>
      <c r="N85" s="92" t="str">
        <f>B85</f>
        <v>其他权益工具</v>
      </c>
    </row>
    <row r="86" spans="2:15" hidden="1">
      <c r="B86" s="81" t="s">
        <v>739</v>
      </c>
      <c r="C86" s="82">
        <f>ROUND(HLOOKUP($C$2,bs!$C$1:$AA$110,MATCH("*"&amp;B86&amp;"*",bs!$B$1:$B$110,),FALSE),0)/IF(LEN($B$1)&gt;4,10000,1)</f>
        <v>0</v>
      </c>
      <c r="D86" s="83">
        <f t="shared" si="27"/>
        <v>0</v>
      </c>
      <c r="E86" s="82">
        <f>ROUND(HLOOKUP($E$2,bs!$C$1:$AA$110,MATCH("*"&amp;B86&amp;"*",bs!$B$1:$B$110,),FALSE),0)/IF(LEN($B$1)&gt;4,10000,1)</f>
        <v>0</v>
      </c>
      <c r="F86" s="83">
        <f t="shared" si="28"/>
        <v>0</v>
      </c>
      <c r="G86" s="84">
        <f>ROUND(HLOOKUP($G$2,bs!$C$1:$AA$110,MATCH("*"&amp;B86&amp;"*",bs!$B$1:$B$110,),FALSE),0)/IF(LEN($B$1)&gt;4,10000,1)</f>
        <v>0</v>
      </c>
      <c r="H86" s="83">
        <f t="shared" si="29"/>
        <v>0</v>
      </c>
      <c r="I86" s="93">
        <f>ROUND(HLOOKUP($I$2,bs!$C$1:$AA$110,MATCH("*"&amp;B86&amp;"*",bs!$B$1:$B$110,),FALSE),0)/IF(LEN($B$1)&gt;4,10000,1)</f>
        <v>0</v>
      </c>
      <c r="J86" s="83">
        <f t="shared" si="30"/>
        <v>0</v>
      </c>
      <c r="L86" s="91">
        <f t="shared" si="25"/>
        <v>0</v>
      </c>
      <c r="M86" s="91"/>
      <c r="N86" s="92" t="str">
        <f>B86</f>
        <v>资本公积</v>
      </c>
    </row>
    <row r="87" spans="2:15" hidden="1">
      <c r="B87" s="81" t="s">
        <v>392</v>
      </c>
      <c r="C87" s="82">
        <f>ROUND(HLOOKUP($C$2,bs!$C$1:$AA$110,MATCH("*"&amp;B87&amp;"*",bs!$B$1:$B$110,),FALSE),0)/IF(LEN($B$1)&gt;4,10000,1)</f>
        <v>0</v>
      </c>
      <c r="D87" s="83">
        <f t="shared" si="27"/>
        <v>0</v>
      </c>
      <c r="E87" s="82">
        <f>ROUND(HLOOKUP($E$2,bs!$C$1:$AA$110,MATCH("*"&amp;B87&amp;"*",bs!$B$1:$B$110,),FALSE),0)/IF(LEN($B$1)&gt;4,10000,1)</f>
        <v>0</v>
      </c>
      <c r="F87" s="83">
        <f t="shared" si="28"/>
        <v>0</v>
      </c>
      <c r="G87" s="84">
        <f>ROUND(HLOOKUP($G$2,bs!$C$1:$AA$110,MATCH("*"&amp;B87&amp;"*",bs!$B$1:$B$110,),FALSE),0)/IF(LEN($B$1)&gt;4,10000,1)</f>
        <v>0</v>
      </c>
      <c r="H87" s="83">
        <f t="shared" si="29"/>
        <v>0</v>
      </c>
      <c r="I87" s="93">
        <f>ROUND(HLOOKUP($I$2,bs!$C$1:$AA$110,MATCH("*"&amp;B87&amp;"*",bs!$B$1:$B$110,),FALSE),0)/IF(LEN($B$1)&gt;4,10000,1)</f>
        <v>0</v>
      </c>
      <c r="J87" s="83">
        <f t="shared" si="30"/>
        <v>0</v>
      </c>
      <c r="L87" s="91">
        <f t="shared" si="25"/>
        <v>0</v>
      </c>
      <c r="M87" s="91"/>
    </row>
    <row r="88" spans="2:15" hidden="1">
      <c r="B88" s="81" t="s">
        <v>740</v>
      </c>
      <c r="C88" s="82">
        <f>ROUND(HLOOKUP($C$2,bs!$C$1:$AA$110,MATCH("*"&amp;B88&amp;"*",bs!$B$1:$B$110,),FALSE),0)/IF(LEN($B$1)&gt;4,10000,1)</f>
        <v>0</v>
      </c>
      <c r="D88" s="83">
        <f t="shared" si="27"/>
        <v>0</v>
      </c>
      <c r="E88" s="82">
        <f>ROUND(HLOOKUP($E$2,bs!$C$1:$AA$110,MATCH("*"&amp;B88&amp;"*",bs!$B$1:$B$110,),FALSE),0)/IF(LEN($B$1)&gt;4,10000,1)</f>
        <v>0</v>
      </c>
      <c r="F88" s="83">
        <f t="shared" si="28"/>
        <v>0</v>
      </c>
      <c r="G88" s="84">
        <f>ROUND(HLOOKUP($G$2,bs!$C$1:$AA$110,MATCH("*"&amp;B88&amp;"*",bs!$B$1:$B$110,),FALSE),0)/IF(LEN($B$1)&gt;4,10000,1)</f>
        <v>0</v>
      </c>
      <c r="H88" s="83">
        <f t="shared" si="29"/>
        <v>0</v>
      </c>
      <c r="I88" s="93">
        <f>ROUND(HLOOKUP($I$2,bs!$C$1:$AA$110,MATCH("*"&amp;B88&amp;"*",bs!$B$1:$B$110,),FALSE),0)/IF(LEN($B$1)&gt;4,10000,1)</f>
        <v>0</v>
      </c>
      <c r="J88" s="83">
        <f t="shared" si="30"/>
        <v>0</v>
      </c>
      <c r="L88" s="91">
        <f t="shared" si="25"/>
        <v>0</v>
      </c>
      <c r="M88" s="91"/>
      <c r="N88" s="92" t="str">
        <f>B88</f>
        <v>盈余公积</v>
      </c>
    </row>
    <row r="89" spans="2:15">
      <c r="B89" s="81" t="s">
        <v>741</v>
      </c>
      <c r="C89" s="82">
        <f>ROUND(HLOOKUP($C$2,bs!$C$1:$AA$110,MATCH("*"&amp;B89&amp;"*",bs!$B$1:$B$110,),FALSE),0)/IF(LEN($B$1)&gt;4,10000,1)</f>
        <v>243.5762</v>
      </c>
      <c r="D89" s="83">
        <f t="shared" si="27"/>
        <v>2.3778433941849333E-2</v>
      </c>
      <c r="E89" s="82">
        <f>ROUND(HLOOKUP($E$2,bs!$C$1:$AA$110,MATCH("*"&amp;B89&amp;"*",bs!$B$1:$B$110,),FALSE),0)/IF(LEN($B$1)&gt;4,10000,1)</f>
        <v>1879.7139</v>
      </c>
      <c r="F89" s="83">
        <f t="shared" si="28"/>
        <v>0.15822888630339826</v>
      </c>
      <c r="G89" s="84">
        <f>ROUND(HLOOKUP($G$2,bs!$C$1:$AA$110,MATCH("*"&amp;B89&amp;"*",bs!$B$1:$B$110,),FALSE),0)/IF(LEN($B$1)&gt;4,10000,1)</f>
        <v>-147.1497</v>
      </c>
      <c r="H89" s="83">
        <f t="shared" si="29"/>
        <v>-1.4934734165198875E-2</v>
      </c>
      <c r="I89" s="93">
        <f>ROUND(HLOOKUP($I$2,bs!$C$1:$AA$110,MATCH("*"&amp;B89&amp;"*",bs!$B$1:$B$110,),FALSE),0)/IF(LEN($B$1)&gt;4,10000,1)</f>
        <v>-1.4605999999999999</v>
      </c>
      <c r="J89" s="83">
        <f t="shared" si="30"/>
        <v>-1.4608133664002963E-4</v>
      </c>
      <c r="L89" s="91">
        <f t="shared" si="25"/>
        <v>0.16692650474340867</v>
      </c>
      <c r="M89" s="91" t="str">
        <f>B89</f>
        <v>未分配利润</v>
      </c>
    </row>
    <row r="90" spans="2:15" ht="33.75">
      <c r="B90" s="85" t="s">
        <v>397</v>
      </c>
      <c r="C90" s="82">
        <f>ROUND(HLOOKUP($C$2,bs!$C$1:$AA$110,MATCH("*"&amp;B90&amp;"*",bs!$B$1:$B$110,),FALSE),0)/IF(LEN($B$1)&gt;4,10000,1)</f>
        <v>10243.5762</v>
      </c>
      <c r="D90" s="86">
        <f t="shared" si="27"/>
        <v>1</v>
      </c>
      <c r="E90" s="82">
        <f>ROUND(HLOOKUP($E$2,bs!$C$1:$AA$110,MATCH("*"&amp;B90&amp;"*",bs!$B$1:$B$110,),FALSE),0)/IF(LEN($B$1)&gt;4,10000,1)</f>
        <v>11879.713900000001</v>
      </c>
      <c r="F90" s="86">
        <f t="shared" si="28"/>
        <v>1</v>
      </c>
      <c r="G90" s="84">
        <f>ROUND(HLOOKUP($G$2,bs!$C$1:$AA$110,MATCH("*"&amp;B90&amp;"*",bs!$B$1:$B$110,),FALSE),0)/IF(LEN($B$1)&gt;4,10000,1)</f>
        <v>9852.8503000000001</v>
      </c>
      <c r="H90" s="86">
        <f t="shared" si="29"/>
        <v>1</v>
      </c>
      <c r="I90" s="93">
        <f>ROUND(HLOOKUP($I$2,bs!$C$1:$AA$110,MATCH("*"&amp;B90&amp;"*",bs!$B$1:$B$110,),FALSE),0)/IF(LEN($B$1)&gt;4,10000,1)</f>
        <v>9998.5393999999997</v>
      </c>
      <c r="J90" s="86">
        <f t="shared" si="30"/>
        <v>1</v>
      </c>
      <c r="L90" s="91">
        <f t="shared" si="25"/>
        <v>4</v>
      </c>
      <c r="M90" s="91" t="str">
        <f>B90</f>
        <v>归属于母公司所有者权益（或股东权益）合计</v>
      </c>
    </row>
    <row r="91" spans="2:15" hidden="1">
      <c r="B91" s="85" t="s">
        <v>742</v>
      </c>
      <c r="C91" s="82">
        <f>ROUND(HLOOKUP($C$2,bs!$C$1:$AA$110,MATCH("*"&amp;B91&amp;"*",bs!$B$1:$B$110,),FALSE),0)/IF(LEN($B$1)&gt;4,10000,1)</f>
        <v>0</v>
      </c>
      <c r="D91" s="83">
        <f t="shared" si="27"/>
        <v>0</v>
      </c>
      <c r="E91" s="82">
        <f>ROUND(HLOOKUP($E$2,bs!$C$1:$AA$110,MATCH("*"&amp;B91&amp;"*",bs!$B$1:$B$110,),FALSE),0)/IF(LEN($B$1)&gt;4,10000,1)</f>
        <v>0</v>
      </c>
      <c r="F91" s="83">
        <f t="shared" si="28"/>
        <v>0</v>
      </c>
      <c r="G91" s="84">
        <f>ROUND(HLOOKUP($G$2,bs!$C$1:$AA$110,MATCH("*"&amp;B91&amp;"*",bs!$B$1:$B$110,),FALSE),0)/IF(LEN($B$1)&gt;4,10000,1)</f>
        <v>0</v>
      </c>
      <c r="H91" s="83">
        <f t="shared" si="29"/>
        <v>0</v>
      </c>
      <c r="I91" s="93">
        <f>ROUND(HLOOKUP($I$2,bs!$C$1:$AA$110,MATCH("*"&amp;B91&amp;"*",bs!$B$1:$B$110,),FALSE),0)/IF(LEN($B$1)&gt;4,10000,1)</f>
        <v>0</v>
      </c>
      <c r="J91" s="83">
        <f t="shared" si="30"/>
        <v>0</v>
      </c>
      <c r="L91" s="91">
        <f t="shared" si="25"/>
        <v>0</v>
      </c>
      <c r="M91" s="91"/>
      <c r="N91" s="92" t="str">
        <f>B91</f>
        <v>少数股东权益</v>
      </c>
    </row>
    <row r="92" spans="2:15" ht="23.25">
      <c r="B92" s="85" t="s">
        <v>399</v>
      </c>
      <c r="C92" s="82">
        <f>ROUND(HLOOKUP($C$2,bs!$C$1:$AA$110,MATCH("*"&amp;B92&amp;"*",bs!$B$1:$B$110,),FALSE),0)/IF(LEN($B$1)&gt;4,10000,1)</f>
        <v>10243.5762</v>
      </c>
      <c r="D92" s="86">
        <f t="shared" si="27"/>
        <v>1</v>
      </c>
      <c r="E92" s="82">
        <f>ROUND(HLOOKUP($E$2,bs!$C$1:$AA$110,MATCH("*"&amp;B92&amp;"*",bs!$B$1:$B$110,),FALSE),0)/IF(LEN($B$1)&gt;4,10000,1)</f>
        <v>11879.713900000001</v>
      </c>
      <c r="F92" s="86">
        <f t="shared" si="28"/>
        <v>1</v>
      </c>
      <c r="G92" s="84">
        <f>ROUND(HLOOKUP($G$2,bs!$C$1:$AA$110,MATCH("*"&amp;B92&amp;"*",bs!$B$1:$B$110,),FALSE),0)/IF(LEN($B$1)&gt;4,10000,1)</f>
        <v>9852.8503000000001</v>
      </c>
      <c r="H92" s="86">
        <f t="shared" si="29"/>
        <v>1</v>
      </c>
      <c r="I92" s="93">
        <f>ROUND(HLOOKUP($I$2,bs!$C$1:$AA$110,MATCH("*"&amp;B92&amp;"*",bs!$B$1:$B$110,),FALSE),0)/IF(LEN($B$1)&gt;4,10000,1)</f>
        <v>9998.5393999999997</v>
      </c>
      <c r="J92" s="86">
        <f t="shared" si="30"/>
        <v>1</v>
      </c>
      <c r="L92" s="91">
        <f t="shared" si="25"/>
        <v>4</v>
      </c>
      <c r="M92" s="91" t="str">
        <f>B92</f>
        <v xml:space="preserve">  所有者权益（或股东权益）合计 </v>
      </c>
      <c r="O92" t="str">
        <f>CONCATENATE("近三年及一期，拟承租人",B92,"分别为",ROUND(I92,2),"万元、",ROUND(G92,2),"万元、",ROUND(E92,2),"万元及",ROUND(C92,2),"万元。")</f>
        <v>近三年及一期，拟承租人  所有者权益（或股东权益）合计 分别为9998.54万元、9852.85万元、11879.71万元及10243.58万元。</v>
      </c>
    </row>
  </sheetData>
  <autoFilter ref="L3:L92" xr:uid="{00000000-0009-0000-0000-000008000000}">
    <filterColumn colId="0">
      <filters blank="1">
        <filter val="1%"/>
        <filter val="-1%"/>
        <filter val="138%"/>
        <filter val="168%"/>
        <filter val="17%"/>
        <filter val="177%"/>
        <filter val="19%"/>
        <filter val="190%"/>
        <filter val="192%"/>
        <filter val="2%"/>
        <filter val="210%"/>
        <filter val="223%"/>
        <filter val="3%"/>
        <filter val="33%"/>
        <filter val="383%"/>
        <filter val="4%"/>
        <filter val="400%"/>
        <filter val="56%"/>
        <filter val="6%"/>
      </filters>
    </filterColumn>
  </autoFilter>
  <customSheetViews>
    <customSheetView guid="{EFE5EB9F-962C-4232-9E60-22B2AE19D01B}" topLeftCell="B1">
      <selection activeCell="I27" sqref="I27"/>
      <pageMargins left="0.7" right="0.7" top="0.75" bottom="0.75" header="0.3" footer="0.3"/>
      <pageSetup paperSize="9" orientation="portrait"/>
    </customSheetView>
  </customSheetViews>
  <mergeCells count="16">
    <mergeCell ref="B1:J1"/>
    <mergeCell ref="C2:D2"/>
    <mergeCell ref="E2:F2"/>
    <mergeCell ref="G2:H2"/>
    <mergeCell ref="I2:J2"/>
    <mergeCell ref="B2:B3"/>
    <mergeCell ref="I47:J47"/>
    <mergeCell ref="C82:D82"/>
    <mergeCell ref="E82:F82"/>
    <mergeCell ref="G82:H82"/>
    <mergeCell ref="I82:J82"/>
    <mergeCell ref="B47:B48"/>
    <mergeCell ref="B82:B83"/>
    <mergeCell ref="C47:D47"/>
    <mergeCell ref="E47:F47"/>
    <mergeCell ref="G47:H47"/>
  </mergeCells>
  <phoneticPr fontId="47" type="noConversion"/>
  <dataValidations count="1">
    <dataValidation type="list" allowBlank="1" showInputMessage="1" showErrorMessage="1" sqref="B1" xr:uid="{00000000-0002-0000-08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M16"/>
  <sheetViews>
    <sheetView workbookViewId="0">
      <selection activeCell="G1" sqref="G1:K11"/>
    </sheetView>
  </sheetViews>
  <sheetFormatPr defaultColWidth="9" defaultRowHeight="12.75"/>
  <cols>
    <col min="1" max="1" width="36.28515625" customWidth="1"/>
    <col min="2" max="2" width="19.5703125" customWidth="1"/>
    <col min="3" max="3" width="17.28515625" customWidth="1"/>
    <col min="4" max="4" width="17.7109375" customWidth="1"/>
    <col min="5" max="5" width="17.28515625" customWidth="1"/>
    <col min="6" max="6" width="14.28515625" customWidth="1"/>
    <col min="7" max="7" width="26.7109375" customWidth="1"/>
    <col min="8" max="8" width="13.28515625" customWidth="1"/>
    <col min="9" max="9" width="13.5703125" customWidth="1"/>
    <col min="10" max="10" width="14.28515625" customWidth="1"/>
    <col min="11" max="11" width="13.5703125" customWidth="1"/>
  </cols>
  <sheetData>
    <row r="1" spans="1:13" ht="14.25">
      <c r="A1" s="63" t="s">
        <v>679</v>
      </c>
      <c r="B1" s="64">
        <f>'财务分析（2022）版'!B3</f>
        <v>45443</v>
      </c>
      <c r="C1" s="64">
        <f>'财务分析（2022）版'!C3</f>
        <v>45291</v>
      </c>
      <c r="D1" s="64">
        <f>'财务分析（2022）版'!D3</f>
        <v>44926</v>
      </c>
      <c r="E1" s="65">
        <f>'财务分析（2022）版'!E3</f>
        <v>44561</v>
      </c>
      <c r="F1" t="s">
        <v>532</v>
      </c>
      <c r="G1" s="66" t="str">
        <f>A1</f>
        <v>项目</v>
      </c>
      <c r="H1" s="67">
        <f>B1</f>
        <v>45443</v>
      </c>
      <c r="I1" s="67">
        <f>C1</f>
        <v>45291</v>
      </c>
      <c r="J1" s="67">
        <f>D1</f>
        <v>44926</v>
      </c>
      <c r="K1" s="77">
        <f>E1</f>
        <v>44561</v>
      </c>
    </row>
    <row r="2" spans="1:13" ht="15.75">
      <c r="A2" s="63" t="s">
        <v>743</v>
      </c>
      <c r="B2" s="68">
        <f>B3-B4</f>
        <v>-226242.1400000006</v>
      </c>
      <c r="C2" s="68">
        <f>C3-C4</f>
        <v>196674083.92000002</v>
      </c>
      <c r="D2" s="68">
        <f>D3-D4</f>
        <v>-82813088.939999998</v>
      </c>
      <c r="E2" s="68">
        <f>E3-E4</f>
        <v>75087168.789999992</v>
      </c>
      <c r="G2" s="69" t="str">
        <f t="shared" ref="G2:G11" si="0">A2</f>
        <v>经营活动现金流量净额</v>
      </c>
      <c r="H2" s="70">
        <f t="shared" ref="H2:H11" si="1">ROUND(B2,0)/IF(LEN($F$1)&gt;4,10000,1)</f>
        <v>-22.624199999999998</v>
      </c>
      <c r="I2" s="70">
        <f t="shared" ref="I2:I11" si="2">ROUND(C2,0)/IF(LEN($F$1)&gt;4,10000,1)</f>
        <v>19667.4084</v>
      </c>
      <c r="J2" s="70">
        <f>ROUND(D2,0)/IF(LEN($F$1)&gt;4,10000,1)</f>
        <v>-8281.3089</v>
      </c>
      <c r="K2" s="70">
        <f t="shared" ref="K2:K11" si="3">ROUND(E2,0)/IF(LEN($F$1)&gt;4,10000,1)</f>
        <v>7508.7169000000004</v>
      </c>
      <c r="M2" t="str">
        <f t="shared" ref="M2:M11" si="4">CONCATENATE("近三年及一期，拟承租人",G2,"分别为",ROUND(K2/10000,2),"亿元、",ROUND(J2/10000,2),"亿元、",ROUND(I2/10000,2),"亿元和",ROUND(H2/10000,2),"亿元。")</f>
        <v>近三年及一期，拟承租人经营活动现金流量净额分别为0.75亿元、-0.83亿元、1.97亿元和0亿元。</v>
      </c>
    </row>
    <row r="3" spans="1:13" ht="16.5">
      <c r="A3" s="71" t="s">
        <v>744</v>
      </c>
      <c r="B3" s="72">
        <f>HLOOKUP(B1,cf!$C$1:$Z$57,MATCH("*"&amp;A3&amp;"*",cf!$B$1:$B$68,),FALSE)</f>
        <v>8026767.2400000002</v>
      </c>
      <c r="C3" s="72">
        <f>HLOOKUP(C1,cf!$C$1:$Z$57,MATCH("*"&amp;A3&amp;"*",cf!$B$1:$B$68,),FALSE)</f>
        <v>233463079.71000001</v>
      </c>
      <c r="D3" s="72">
        <f>HLOOKUP(D1,cf!$C$1:$Z$57,MATCH("*"&amp;A3&amp;"*",cf!$B$1:$B$68,),FALSE)</f>
        <v>294870163.45999998</v>
      </c>
      <c r="E3" s="72">
        <f>HLOOKUP(E1,cf!$C$1:$Z$57,MATCH("*"&amp;A3&amp;"*",cf!$B$1:$B$68,),FALSE)</f>
        <v>75150567.689999998</v>
      </c>
      <c r="G3" s="73" t="str">
        <f t="shared" si="0"/>
        <v>经营活动现金流入</v>
      </c>
      <c r="H3" s="74">
        <f t="shared" si="1"/>
        <v>802.67669999999998</v>
      </c>
      <c r="I3" s="74">
        <f t="shared" si="2"/>
        <v>23346.308000000001</v>
      </c>
      <c r="J3" s="74">
        <f t="shared" ref="J3:J11" si="5">ROUND(D3,0)/IF(LEN($F$1)&gt;4,10000,1)</f>
        <v>29487.016299999999</v>
      </c>
      <c r="K3" s="74">
        <f t="shared" si="3"/>
        <v>7515.0568000000003</v>
      </c>
      <c r="M3" t="str">
        <f t="shared" si="4"/>
        <v>近三年及一期，拟承租人经营活动现金流入分别为0.75亿元、2.95亿元、2.33亿元和0.08亿元。</v>
      </c>
    </row>
    <row r="4" spans="1:13" ht="15.75">
      <c r="A4" s="75" t="s">
        <v>745</v>
      </c>
      <c r="B4" s="72">
        <f>HLOOKUP(B1,cf!$C$1:$Z$57,MATCH("*"&amp;A4&amp;"*",cf!$B$1:$B$68,),FALSE)</f>
        <v>8253009.3800000008</v>
      </c>
      <c r="C4" s="72">
        <f>HLOOKUP(C1,cf!$C$1:$Z$57,MATCH("*"&amp;A4&amp;"*",cf!$B$1:$B$68,),FALSE)</f>
        <v>36788995.789999999</v>
      </c>
      <c r="D4" s="72">
        <f>HLOOKUP(D1,cf!$C$1:$Z$57,MATCH("*"&amp;A4&amp;"*",cf!$B$1:$B$68,),FALSE)</f>
        <v>377683252.39999998</v>
      </c>
      <c r="E4" s="72">
        <f>HLOOKUP(E1,cf!$C$1:$Z$57,MATCH("*"&amp;A4&amp;"*",cf!$B$1:$B$68,),FALSE)</f>
        <v>63398.9</v>
      </c>
      <c r="G4" s="73" t="str">
        <f t="shared" si="0"/>
        <v>经营活动现金流出</v>
      </c>
      <c r="H4" s="74">
        <f t="shared" si="1"/>
        <v>825.30089999999996</v>
      </c>
      <c r="I4" s="74">
        <f t="shared" si="2"/>
        <v>3678.8996000000002</v>
      </c>
      <c r="J4" s="74">
        <f t="shared" si="5"/>
        <v>37768.325199999999</v>
      </c>
      <c r="K4" s="74">
        <f t="shared" si="3"/>
        <v>6.3399000000000001</v>
      </c>
      <c r="M4" t="str">
        <f t="shared" si="4"/>
        <v>近三年及一期，拟承租人经营活动现金流出分别为0亿元、3.78亿元、0.37亿元和0.08亿元。</v>
      </c>
    </row>
    <row r="5" spans="1:13" ht="15.75">
      <c r="A5" s="63" t="s">
        <v>746</v>
      </c>
      <c r="B5" s="68">
        <f>B6-B7</f>
        <v>-10000</v>
      </c>
      <c r="C5" s="68">
        <f>C6-C7</f>
        <v>-38096594.859999999</v>
      </c>
      <c r="D5" s="68">
        <f>D6-D7</f>
        <v>-289694811.30000001</v>
      </c>
      <c r="E5" s="68">
        <f>E6-E7</f>
        <v>-170473690.58000001</v>
      </c>
      <c r="G5" s="69" t="str">
        <f t="shared" si="0"/>
        <v>投资活动现金流量净额</v>
      </c>
      <c r="H5" s="70">
        <f t="shared" si="1"/>
        <v>-1</v>
      </c>
      <c r="I5" s="70">
        <f t="shared" si="2"/>
        <v>-3809.6595000000002</v>
      </c>
      <c r="J5" s="70">
        <f t="shared" si="5"/>
        <v>-28969.481100000001</v>
      </c>
      <c r="K5" s="70">
        <f t="shared" si="3"/>
        <v>-17047.3691</v>
      </c>
      <c r="M5" t="str">
        <f t="shared" si="4"/>
        <v>近三年及一期，拟承租人投资活动现金流量净额分别为-1.7亿元、-2.9亿元、-0.38亿元和0亿元。</v>
      </c>
    </row>
    <row r="6" spans="1:13" ht="15.75">
      <c r="A6" s="75" t="s">
        <v>747</v>
      </c>
      <c r="B6" s="72">
        <f>HLOOKUP(B1,cf!$C$1:$Z$57,MATCH("*"&amp;A6&amp;"*",cf!$B$1:$B$68,),FALSE)</f>
        <v>0</v>
      </c>
      <c r="C6" s="72">
        <f>HLOOKUP(C1,cf!$C$1:$Z$57,MATCH("*"&amp;A6&amp;"*",cf!$B$1:$B$68,),FALSE)</f>
        <v>0</v>
      </c>
      <c r="D6" s="72">
        <f>HLOOKUP(D1,cf!$C$1:$Z$57,MATCH("*"&amp;A6&amp;"*",cf!$B$1:$B$68,),FALSE)</f>
        <v>0</v>
      </c>
      <c r="E6" s="72">
        <f>HLOOKUP(E1,cf!$C$1:$Z$57,MATCH("*"&amp;A6&amp;"*",cf!$B$1:$B$68,),FALSE)</f>
        <v>0</v>
      </c>
      <c r="G6" s="73" t="str">
        <f t="shared" si="0"/>
        <v>投资活动现金流入</v>
      </c>
      <c r="H6" s="74">
        <f t="shared" si="1"/>
        <v>0</v>
      </c>
      <c r="I6" s="74">
        <f t="shared" si="2"/>
        <v>0</v>
      </c>
      <c r="J6" s="74">
        <f t="shared" si="5"/>
        <v>0</v>
      </c>
      <c r="K6" s="74">
        <f t="shared" si="3"/>
        <v>0</v>
      </c>
      <c r="M6" t="str">
        <f t="shared" si="4"/>
        <v>近三年及一期，拟承租人投资活动现金流入分别为0亿元、0亿元、0亿元和0亿元。</v>
      </c>
    </row>
    <row r="7" spans="1:13" ht="15.75">
      <c r="A7" s="75" t="s">
        <v>748</v>
      </c>
      <c r="B7" s="72">
        <f>HLOOKUP(B1,cf!$C$1:$Z$57,MATCH("*"&amp;A7&amp;"*",cf!$B$1:$B$68,),FALSE)</f>
        <v>10000</v>
      </c>
      <c r="C7" s="72">
        <f>HLOOKUP(C1,cf!$C$1:$Z$57,MATCH("*"&amp;A7&amp;"*",cf!$B$1:$B$68,),FALSE)</f>
        <v>38096594.859999999</v>
      </c>
      <c r="D7" s="72">
        <f>HLOOKUP(D1,cf!$C$1:$Z$57,MATCH("*"&amp;A7&amp;"*",cf!$B$1:$B$68,),FALSE)</f>
        <v>289694811.30000001</v>
      </c>
      <c r="E7" s="72">
        <f>HLOOKUP(E1,cf!$C$1:$Z$57,MATCH("*"&amp;A7&amp;"*",cf!$B$1:$B$68,),FALSE)</f>
        <v>170473690.58000001</v>
      </c>
      <c r="G7" s="73" t="str">
        <f t="shared" si="0"/>
        <v>投资活动现金流出</v>
      </c>
      <c r="H7" s="74">
        <f t="shared" si="1"/>
        <v>1</v>
      </c>
      <c r="I7" s="74">
        <f t="shared" si="2"/>
        <v>3809.6595000000002</v>
      </c>
      <c r="J7" s="74">
        <f t="shared" si="5"/>
        <v>28969.481100000001</v>
      </c>
      <c r="K7" s="74">
        <f t="shared" si="3"/>
        <v>17047.3691</v>
      </c>
      <c r="M7" t="str">
        <f t="shared" si="4"/>
        <v>近三年及一期，拟承租人投资活动现金流出分别为1.7亿元、2.9亿元、0.38亿元和0亿元。</v>
      </c>
    </row>
    <row r="8" spans="1:13" ht="15.75">
      <c r="A8" s="63" t="s">
        <v>749</v>
      </c>
      <c r="B8" s="68">
        <f>B9-B10</f>
        <v>0</v>
      </c>
      <c r="C8" s="68">
        <f>C9-C10</f>
        <v>-152267833.77000001</v>
      </c>
      <c r="D8" s="68">
        <f>D9-D10</f>
        <v>367966227.69999999</v>
      </c>
      <c r="E8" s="68">
        <f>E9-E10</f>
        <v>100000000</v>
      </c>
      <c r="G8" s="69" t="str">
        <f t="shared" si="0"/>
        <v>筹资活动现金流量净额</v>
      </c>
      <c r="H8" s="70">
        <f t="shared" si="1"/>
        <v>0</v>
      </c>
      <c r="I8" s="70">
        <f t="shared" si="2"/>
        <v>-15226.7834</v>
      </c>
      <c r="J8" s="70">
        <f t="shared" si="5"/>
        <v>36796.622799999997</v>
      </c>
      <c r="K8" s="70">
        <f t="shared" si="3"/>
        <v>10000</v>
      </c>
      <c r="M8" t="str">
        <f t="shared" si="4"/>
        <v>近三年及一期，拟承租人筹资活动现金流量净额分别为1亿元、3.68亿元、-1.52亿元和0亿元。</v>
      </c>
    </row>
    <row r="9" spans="1:13" ht="15.75">
      <c r="A9" s="75" t="s">
        <v>750</v>
      </c>
      <c r="B9" s="72">
        <f>HLOOKUP(B1,cf!$C$1:$Z$57,MATCH("*"&amp;A9&amp;"*",cf!$B$1:$B$68,),FALSE)</f>
        <v>0</v>
      </c>
      <c r="C9" s="72">
        <f>HLOOKUP(C1,cf!$C$1:$Z$57,MATCH("*"&amp;A9&amp;"*",cf!$B$1:$B$68,),FALSE)</f>
        <v>15005837.75</v>
      </c>
      <c r="D9" s="72">
        <f>HLOOKUP(D1,cf!$C$1:$Z$57,MATCH("*"&amp;A9&amp;"*",cf!$B$1:$B$68,),FALSE)</f>
        <v>367966227.69999999</v>
      </c>
      <c r="E9" s="72">
        <f>HLOOKUP(E1,cf!$C$1:$Z$57,MATCH("*"&amp;A9&amp;"*",cf!$B$1:$B$68,),FALSE)</f>
        <v>100000000</v>
      </c>
      <c r="G9" s="73" t="str">
        <f t="shared" si="0"/>
        <v>筹资活动现金流入</v>
      </c>
      <c r="H9" s="74">
        <f t="shared" si="1"/>
        <v>0</v>
      </c>
      <c r="I9" s="74">
        <f t="shared" si="2"/>
        <v>1500.5838000000001</v>
      </c>
      <c r="J9" s="74">
        <f t="shared" si="5"/>
        <v>36796.622799999997</v>
      </c>
      <c r="K9" s="74">
        <f t="shared" si="3"/>
        <v>10000</v>
      </c>
      <c r="M9" t="str">
        <f t="shared" si="4"/>
        <v>近三年及一期，拟承租人筹资活动现金流入分别为1亿元、3.68亿元、0.15亿元和0亿元。</v>
      </c>
    </row>
    <row r="10" spans="1:13" ht="15.75">
      <c r="A10" s="75" t="s">
        <v>751</v>
      </c>
      <c r="B10" s="72">
        <f>HLOOKUP(B1,cf!$C$1:$Z$57,MATCH("*"&amp;A10&amp;"*",cf!$B$1:$B$68,),FALSE)</f>
        <v>0</v>
      </c>
      <c r="C10" s="72">
        <f>HLOOKUP(C1,cf!$C$1:$Z$57,MATCH("*"&amp;A10&amp;"*",cf!$B$1:$B$68,),FALSE)</f>
        <v>167273671.52000001</v>
      </c>
      <c r="D10" s="72">
        <f>HLOOKUP(D1,cf!$C$1:$Z$57,MATCH("*"&amp;A10&amp;"*",cf!$B$1:$B$68,),FALSE)</f>
        <v>0</v>
      </c>
      <c r="E10" s="72">
        <f>HLOOKUP(E1,cf!$C$1:$Z$57,MATCH("*"&amp;A10&amp;"*",cf!$B$1:$B$68,),FALSE)</f>
        <v>0</v>
      </c>
      <c r="G10" s="73" t="str">
        <f t="shared" si="0"/>
        <v>筹资活动现金流出</v>
      </c>
      <c r="H10" s="74">
        <f t="shared" si="1"/>
        <v>0</v>
      </c>
      <c r="I10" s="74">
        <f t="shared" si="2"/>
        <v>16727.367200000001</v>
      </c>
      <c r="J10" s="74">
        <f t="shared" si="5"/>
        <v>0</v>
      </c>
      <c r="K10" s="74">
        <f t="shared" si="3"/>
        <v>0</v>
      </c>
      <c r="M10" t="str">
        <f t="shared" si="4"/>
        <v>近三年及一期，拟承租人筹资活动现金流出分别为0亿元、0亿元、1.67亿元和0亿元。</v>
      </c>
    </row>
    <row r="11" spans="1:13" ht="28.5">
      <c r="A11" s="75" t="s">
        <v>518</v>
      </c>
      <c r="B11" s="72">
        <f>HLOOKUP(B1,cf!$C$1:$Z$57,MATCH("*"&amp;A11&amp;"*",cf!$B$1:$B$68,),FALSE)</f>
        <v>0</v>
      </c>
      <c r="C11" s="72">
        <f>HLOOKUP(C1,cf!$C$1:$Z$57,MATCH("*"&amp;A11&amp;"*",cf!$B$1:$B$68,),FALSE)</f>
        <v>18253671.52</v>
      </c>
      <c r="D11" s="72">
        <f>HLOOKUP(D1,cf!$C$1:$Z$57,MATCH("*"&amp;A11&amp;"*",cf!$B$1:$B$68,),FALSE)</f>
        <v>0</v>
      </c>
      <c r="E11" s="72">
        <f>HLOOKUP(E1,cf!$C$1:$Z$57,MATCH("*"&amp;A11&amp;"*",cf!$B$1:$B$68,),FALSE)</f>
        <v>0</v>
      </c>
      <c r="G11" s="76" t="str">
        <f t="shared" si="0"/>
        <v>分配股利、利润或偿付利息支付的现金</v>
      </c>
      <c r="H11" s="74">
        <f t="shared" si="1"/>
        <v>0</v>
      </c>
      <c r="I11" s="74">
        <f t="shared" si="2"/>
        <v>1825.3671999999999</v>
      </c>
      <c r="J11" s="74">
        <f t="shared" si="5"/>
        <v>0</v>
      </c>
      <c r="K11" s="74">
        <f t="shared" si="3"/>
        <v>0</v>
      </c>
      <c r="M11" t="str">
        <f t="shared" si="4"/>
        <v>近三年及一期，拟承租人分配股利、利润或偿付利息支付的现金分别为0亿元、0亿元、0.18亿元和0亿元。</v>
      </c>
    </row>
    <row r="16" spans="1:13">
      <c r="B16">
        <f>MATCH("*"&amp;A3&amp;"*",cf!$B$1:$B$68,)</f>
        <v>16</v>
      </c>
    </row>
  </sheetData>
  <customSheetViews>
    <customSheetView guid="{EFE5EB9F-962C-4232-9E60-22B2AE19D01B}">
      <selection activeCell="H1" sqref="H1"/>
      <pageMargins left="0.7" right="0.7" top="0.75" bottom="0.75" header="0.3" footer="0.3"/>
      <pageSetup paperSize="9" orientation="portrait"/>
    </customSheetView>
  </customSheetViews>
  <phoneticPr fontId="47" type="noConversion"/>
  <dataValidations count="1">
    <dataValidation type="list" allowBlank="1" showInputMessage="1" showErrorMessage="1" sqref="F1" xr:uid="{00000000-0002-0000-0900-000000000000}">
      <formula1>"单位：元,单位：万元"</formula1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:K39"/>
  <sheetViews>
    <sheetView workbookViewId="0">
      <selection activeCell="H30" sqref="H30"/>
    </sheetView>
  </sheetViews>
  <sheetFormatPr defaultColWidth="9" defaultRowHeight="12.75"/>
  <cols>
    <col min="1" max="1" width="28.7109375" customWidth="1"/>
    <col min="2" max="2" width="23.7109375" customWidth="1"/>
    <col min="3" max="3" width="18.28515625" customWidth="1"/>
    <col min="4" max="4" width="17.7109375" customWidth="1"/>
    <col min="5" max="5" width="19.42578125" customWidth="1"/>
    <col min="7" max="7" width="27.5703125" customWidth="1"/>
    <col min="8" max="11" width="17.28515625" customWidth="1"/>
  </cols>
  <sheetData>
    <row r="1" spans="1:11" ht="14.25">
      <c r="A1" s="175" t="s">
        <v>679</v>
      </c>
      <c r="B1" s="40">
        <f>'财务分析（2022）版'!B3</f>
        <v>45443</v>
      </c>
      <c r="C1" s="41">
        <f>'财务分析（2022）版'!C3</f>
        <v>45291</v>
      </c>
      <c r="D1" s="41">
        <f>'财务分析（2022）版'!D3</f>
        <v>44926</v>
      </c>
      <c r="E1" s="41">
        <f>'财务分析（2022）版'!E3</f>
        <v>44561</v>
      </c>
      <c r="F1" s="42"/>
      <c r="G1" s="176" t="s">
        <v>679</v>
      </c>
      <c r="H1" s="43">
        <f>B1</f>
        <v>45443</v>
      </c>
      <c r="I1" s="43">
        <f>C1</f>
        <v>45291</v>
      </c>
      <c r="J1" s="43">
        <f>D1</f>
        <v>44926</v>
      </c>
      <c r="K1" s="43">
        <f>E1</f>
        <v>44561</v>
      </c>
    </row>
    <row r="2" spans="1:11" ht="14.25">
      <c r="A2" s="175"/>
      <c r="B2" s="44" t="s">
        <v>711</v>
      </c>
      <c r="C2" s="44" t="s">
        <v>711</v>
      </c>
      <c r="D2" s="44" t="s">
        <v>711</v>
      </c>
      <c r="E2" s="44" t="s">
        <v>711</v>
      </c>
      <c r="F2" s="42"/>
      <c r="G2" s="176"/>
      <c r="H2" s="45" t="s">
        <v>711</v>
      </c>
      <c r="I2" s="45" t="s">
        <v>711</v>
      </c>
      <c r="J2" s="45" t="s">
        <v>711</v>
      </c>
      <c r="K2" s="45" t="s">
        <v>711</v>
      </c>
    </row>
    <row r="3" spans="1:11" ht="28.5">
      <c r="A3" s="46" t="s">
        <v>471</v>
      </c>
      <c r="B3" s="47">
        <f>HLOOKUP(B1,cf!$C$1:$CI$39,MATCH("*"&amp;A3&amp;"*",cf!$B$1:$B$68,),FALSE)</f>
        <v>2740000</v>
      </c>
      <c r="C3" s="47">
        <f>HLOOKUP(C1,cf!$C$1:$CI$39,MATCH("*"&amp;A3&amp;"*",cf!$B$1:$B$68,),FALSE)</f>
        <v>70000</v>
      </c>
      <c r="D3" s="47">
        <f>HLOOKUP(D1,cf!$C$1:$CI$39,MATCH("*"&amp;A3&amp;"*",cf!$B$1:$B$68,),FALSE)</f>
        <v>0</v>
      </c>
      <c r="E3" s="47">
        <f>HLOOKUP(E1,cf!$C$1:$CI$39,MATCH("*"&amp;A3&amp;"*",cf!$B$1:$B$68,),FALSE)</f>
        <v>0</v>
      </c>
      <c r="F3" s="42"/>
      <c r="G3" s="48" t="str">
        <f>A3</f>
        <v xml:space="preserve">销售商品、提供劳务收到的现金 </v>
      </c>
      <c r="H3" s="49">
        <f>ROUND(B3/10000,0)</f>
        <v>274</v>
      </c>
      <c r="I3" s="49">
        <f>ROUND(C3/10000,0)</f>
        <v>7</v>
      </c>
      <c r="J3" s="49">
        <f>ROUND(D3/10000,0)</f>
        <v>0</v>
      </c>
      <c r="K3" s="49">
        <f>ROUND(E3/10000,0)</f>
        <v>0</v>
      </c>
    </row>
    <row r="4" spans="1:11" ht="16.5">
      <c r="A4" s="50" t="s">
        <v>632</v>
      </c>
      <c r="B4" s="51">
        <f>HLOOKUP(B1,pl!$C$1:$CE$46,MATCH("*"&amp;A4&amp;"*",pl!$B$1:$B$71,),FALSE)</f>
        <v>2707738.89</v>
      </c>
      <c r="C4" s="51">
        <f>HLOOKUP(C1,pl!$C$1:$CE$46,MATCH("*"&amp;A4&amp;"*",pl!$B$1:$B$71,),FALSE)</f>
        <v>9250747.7899999991</v>
      </c>
      <c r="D4" s="47">
        <f>HLOOKUP(D1,pl!$C$1:$CE$46,MATCH("*"&amp;A4&amp;"*",pl!$B$1:$B$71,),FALSE)</f>
        <v>0</v>
      </c>
      <c r="E4" s="51">
        <f>HLOOKUP(E1,pl!$C$1:$CE$46,MATCH("*"&amp;A4&amp;"*",pl!$B$1:$B$71,),FALSE)</f>
        <v>0</v>
      </c>
      <c r="F4" s="42"/>
      <c r="G4" s="48" t="str">
        <f t="shared" ref="G4:G11" si="0">A4</f>
        <v>营业收入</v>
      </c>
      <c r="H4" s="49">
        <f t="shared" ref="H4:K10" si="1">ROUND(B4/10000,0)</f>
        <v>271</v>
      </c>
      <c r="I4" s="49">
        <f t="shared" si="1"/>
        <v>925</v>
      </c>
      <c r="J4" s="49">
        <f t="shared" si="1"/>
        <v>0</v>
      </c>
      <c r="K4" s="49">
        <f t="shared" si="1"/>
        <v>0</v>
      </c>
    </row>
    <row r="5" spans="1:11" ht="31.5" customHeight="1">
      <c r="A5" s="52" t="s">
        <v>752</v>
      </c>
      <c r="B5" s="47">
        <f>HLOOKUP(B1,cf!$C$1:$CI$68,MATCH("*"&amp;A5&amp;"*",cf!$B$1:$B$68,),FALSE)</f>
        <v>5531088.9199999999</v>
      </c>
      <c r="C5" s="47">
        <f>HLOOKUP(C1,cf!$C$1:$CI$68,MATCH("*"&amp;A5&amp;"*",cf!$B$1:$B$68,),FALSE)</f>
        <v>12102185.26</v>
      </c>
      <c r="D5" s="47">
        <f>HLOOKUP(D1,cf!$C$1:$CI$68,MATCH("*"&amp;A5&amp;"*",cf!$B$1:$B$68,),FALSE)</f>
        <v>7000000</v>
      </c>
      <c r="E5" s="47">
        <f>HLOOKUP(E1,cf!$C$1:$CI$68,MATCH("*"&amp;A5&amp;"*",cf!$B$1:$B$68,),FALSE)</f>
        <v>0</v>
      </c>
      <c r="F5" s="42"/>
      <c r="G5" s="48" t="str">
        <f t="shared" si="0"/>
        <v>购买商品、接受劳务支付的现金</v>
      </c>
      <c r="H5" s="49">
        <f t="shared" si="1"/>
        <v>553</v>
      </c>
      <c r="I5" s="49">
        <f t="shared" si="1"/>
        <v>1210</v>
      </c>
      <c r="J5" s="49">
        <f t="shared" si="1"/>
        <v>700</v>
      </c>
      <c r="K5" s="49">
        <f t="shared" si="1"/>
        <v>0</v>
      </c>
    </row>
    <row r="6" spans="1:11" ht="23.25" customHeight="1">
      <c r="A6" s="50" t="s">
        <v>633</v>
      </c>
      <c r="B6" s="47">
        <f>HLOOKUP(B1,pl!$C$1:$CE$46,MATCH("*"&amp;A6&amp;"*",pl!$B$1:$B$71,),FALSE)</f>
        <v>8042192.75</v>
      </c>
      <c r="C6" s="47">
        <f>HLOOKUP(C1,pl!$C$1:$CE$46,MATCH("*"&amp;A6&amp;"*",pl!$B$1:$B$71,),FALSE)</f>
        <v>11945609.43</v>
      </c>
      <c r="D6" s="47">
        <f>HLOOKUP(D1,pl!$C$1:$CE$46,MATCH("*"&amp;A6&amp;"*",pl!$B$1:$B$71,),FALSE)</f>
        <v>0</v>
      </c>
      <c r="E6" s="47">
        <f>HLOOKUP(E1,pl!$C$1:$CE$46,MATCH("*"&amp;A6&amp;"*",pl!$B$1:$B$71,),FALSE)</f>
        <v>0</v>
      </c>
      <c r="F6" s="42"/>
      <c r="G6" s="48" t="str">
        <f t="shared" si="0"/>
        <v>营业成本</v>
      </c>
      <c r="H6" s="49">
        <f t="shared" si="1"/>
        <v>804</v>
      </c>
      <c r="I6" s="49">
        <f t="shared" si="1"/>
        <v>1195</v>
      </c>
      <c r="J6" s="49">
        <f t="shared" si="1"/>
        <v>0</v>
      </c>
      <c r="K6" s="49">
        <f t="shared" si="1"/>
        <v>0</v>
      </c>
    </row>
    <row r="7" spans="1:11" ht="43.5" customHeight="1">
      <c r="A7" s="52" t="s">
        <v>518</v>
      </c>
      <c r="B7" s="47">
        <f>HLOOKUP(B1,cf!$C$1:$CI$68,MATCH("*"&amp;A7&amp;"*",cf!$B$1:$B$68,),FALSE)</f>
        <v>0</v>
      </c>
      <c r="C7" s="47">
        <f>HLOOKUP(C1,cf!$C$1:$CI$68,MATCH("*"&amp;A7&amp;"*",cf!$B$1:$B$68,),FALSE)</f>
        <v>18253671.52</v>
      </c>
      <c r="D7" s="47">
        <f>HLOOKUP(D1,cf!$C$1:$CI$68,MATCH("*"&amp;A7&amp;"*",cf!$B$1:$B$68,),FALSE)</f>
        <v>0</v>
      </c>
      <c r="E7" s="47">
        <f>HLOOKUP(E1,cf!$C$1:$CI$68,MATCH("*"&amp;A7&amp;"*",cf!$B$1:$B$68,),FALSE)</f>
        <v>0</v>
      </c>
      <c r="F7" s="42"/>
      <c r="G7" s="48" t="str">
        <f t="shared" si="0"/>
        <v>分配股利、利润或偿付利息支付的现金</v>
      </c>
      <c r="H7" s="49">
        <f t="shared" si="1"/>
        <v>0</v>
      </c>
      <c r="I7" s="49">
        <f t="shared" si="1"/>
        <v>1825</v>
      </c>
      <c r="J7" s="49">
        <f>ROUND(D7/10000,0)</f>
        <v>0</v>
      </c>
      <c r="K7" s="49">
        <f t="shared" si="1"/>
        <v>0</v>
      </c>
    </row>
    <row r="8" spans="1:11" ht="15">
      <c r="A8" s="52" t="s">
        <v>638</v>
      </c>
      <c r="B8" s="47">
        <f>HLOOKUP($B$1,pl!$C$1:$V$71,MATCH("*"&amp;A8&amp;"*",pl!$B$1:$B$71,),FALSE)</f>
        <v>438</v>
      </c>
      <c r="C8" s="47">
        <f>HLOOKUP(C1,pl!$C$1:$V$71,MATCH("*"&amp;A8&amp;"*",pl!$B$1:$B$71,),FALSE)</f>
        <v>20004.55</v>
      </c>
      <c r="D8" s="47">
        <f>HLOOKUP(D$1,pl!$C$1:$V$71,MATCH("*"&amp;$A8&amp;"*",pl!$B$1:$B$71,),FALSE)</f>
        <v>-14709.73</v>
      </c>
      <c r="E8" s="47">
        <f>HLOOKUP(E$1,pl!$C$1:$V$71,MATCH("*"&amp;$A8&amp;"*",pl!$B$1:$B$71,),FALSE)</f>
        <v>-54787.39</v>
      </c>
      <c r="F8" s="42"/>
      <c r="G8" s="48" t="str">
        <f t="shared" si="0"/>
        <v>财务费用</v>
      </c>
      <c r="H8" s="49">
        <f t="shared" si="1"/>
        <v>0</v>
      </c>
      <c r="I8" s="49">
        <f t="shared" si="1"/>
        <v>2</v>
      </c>
      <c r="J8" s="49">
        <f>ROUND(D8/10000,0)</f>
        <v>-1</v>
      </c>
      <c r="K8" s="49">
        <f t="shared" si="1"/>
        <v>-5</v>
      </c>
    </row>
    <row r="9" spans="1:11" ht="30">
      <c r="A9" s="50" t="s">
        <v>496</v>
      </c>
      <c r="B9" s="47">
        <f>HLOOKUP(B$1,cf!$C$1:$CI$68,MATCH("*"&amp;$A9&amp;"*",cf!$B$1:$B$68,),FALSE)</f>
        <v>-226242.1400000006</v>
      </c>
      <c r="C9" s="47">
        <f>HLOOKUP(C$1,cf!$C$1:$CI$68,MATCH("*"&amp;$A9&amp;"*",cf!$B$1:$B$68,),FALSE)</f>
        <v>196674083.92000002</v>
      </c>
      <c r="D9" s="47">
        <f>HLOOKUP(D$1,cf!$C$1:$CI$68,MATCH("*"&amp;$A9&amp;"*",cf!$B$1:$B$68,),FALSE)</f>
        <v>-82813088.939999998</v>
      </c>
      <c r="E9" s="47">
        <f>HLOOKUP(E$1,cf!$C$1:$CI$68,MATCH("*"&amp;$A9&amp;"*",cf!$B$1:$B$68,),FALSE)</f>
        <v>75087168.789999992</v>
      </c>
      <c r="F9" s="42"/>
      <c r="G9" s="48" t="str">
        <f t="shared" si="0"/>
        <v>经营活动产生的现金流量净额</v>
      </c>
      <c r="H9" s="49">
        <f t="shared" si="1"/>
        <v>-23</v>
      </c>
      <c r="I9" s="49">
        <f t="shared" si="1"/>
        <v>19667</v>
      </c>
      <c r="J9" s="49">
        <f>ROUND(D9/10000,0)</f>
        <v>-8281</v>
      </c>
      <c r="K9" s="49">
        <f t="shared" si="1"/>
        <v>7509</v>
      </c>
    </row>
    <row r="10" spans="1:11" ht="15">
      <c r="A10" s="52" t="s">
        <v>181</v>
      </c>
      <c r="B10" s="47">
        <f>HLOOKUP(B$1,pl!$C$1:$CE$46,MATCH("*"&amp;$A10&amp;"*",pl!$B$1:$B$71,),FALSE)</f>
        <v>-5771266.8499999996</v>
      </c>
      <c r="C10" s="47">
        <f>HLOOKUP(C$1,pl!$C$1:$CE$46,MATCH("*"&amp;$A10&amp;"*",pl!$B$1:$B$71,),FALSE)</f>
        <v>20268635.989999998</v>
      </c>
      <c r="D10" s="47">
        <f>HLOOKUP(D$1,pl!$C$1:$CE$46,MATCH("*"&amp;$A10&amp;"*",pl!$B$1:$B$71,),FALSE)</f>
        <v>-1456890.84</v>
      </c>
      <c r="E10" s="47">
        <f>HLOOKUP(E$1,pl!$C$1:$CE$46,MATCH("*"&amp;$A10&amp;"*",pl!$B$1:$B$71,),FALSE)</f>
        <v>-14605.710000000006</v>
      </c>
      <c r="F10" s="42"/>
      <c r="G10" s="48" t="str">
        <f t="shared" si="0"/>
        <v>净利润</v>
      </c>
      <c r="H10" s="49">
        <f t="shared" si="1"/>
        <v>-577</v>
      </c>
      <c r="I10" s="49">
        <f t="shared" si="1"/>
        <v>2027</v>
      </c>
      <c r="J10" s="49">
        <f t="shared" si="1"/>
        <v>-146</v>
      </c>
      <c r="K10" s="49">
        <f t="shared" si="1"/>
        <v>-1</v>
      </c>
    </row>
    <row r="11" spans="1:11" ht="15">
      <c r="A11" s="52" t="s">
        <v>753</v>
      </c>
      <c r="B11" s="47">
        <f>B9/B10</f>
        <v>3.9201469258001928E-2</v>
      </c>
      <c r="C11" s="47">
        <f>C9/C10</f>
        <v>9.7033704693810545</v>
      </c>
      <c r="D11" s="47">
        <f>D9/D10</f>
        <v>56.842343068064039</v>
      </c>
      <c r="E11" s="47">
        <f>E9/E10</f>
        <v>-5140.9461635209764</v>
      </c>
      <c r="F11" s="42"/>
      <c r="G11" s="48" t="str">
        <f t="shared" si="0"/>
        <v>盈利现金比</v>
      </c>
      <c r="H11" s="49">
        <f>B11</f>
        <v>3.9201469258001928E-2</v>
      </c>
      <c r="I11" s="49">
        <f>C11</f>
        <v>9.7033704693810545</v>
      </c>
      <c r="J11" s="49">
        <f>D11</f>
        <v>56.842343068064039</v>
      </c>
      <c r="K11" s="49">
        <f>E11</f>
        <v>-5140.9461635209764</v>
      </c>
    </row>
    <row r="12" spans="1:11">
      <c r="G12" s="12" t="s">
        <v>686</v>
      </c>
      <c r="H12" t="e">
        <f>bs!#REF!</f>
        <v>#REF!</v>
      </c>
      <c r="I12">
        <f>bs!E54</f>
        <v>0</v>
      </c>
      <c r="J12">
        <f>bs!F54</f>
        <v>0</v>
      </c>
      <c r="K12" t="e">
        <f>bs!#REF!</f>
        <v>#REF!</v>
      </c>
    </row>
    <row r="13" spans="1:11">
      <c r="G13" t="s">
        <v>754</v>
      </c>
      <c r="H13">
        <v>57403</v>
      </c>
      <c r="I13">
        <v>88363</v>
      </c>
      <c r="J13">
        <v>120993</v>
      </c>
      <c r="K13">
        <v>110718</v>
      </c>
    </row>
    <row r="14" spans="1:11">
      <c r="G14" s="12" t="s">
        <v>717</v>
      </c>
    </row>
    <row r="19" spans="7:11">
      <c r="G19" s="9"/>
      <c r="H19" s="53"/>
      <c r="I19" s="53"/>
      <c r="J19" s="53"/>
      <c r="K19" s="61"/>
    </row>
    <row r="20" spans="7:11">
      <c r="G20" s="54" t="s">
        <v>717</v>
      </c>
      <c r="H20" s="55"/>
      <c r="I20" s="55"/>
      <c r="J20" s="55"/>
      <c r="K20" s="55"/>
    </row>
    <row r="21" spans="7:11">
      <c r="G21" s="54" t="s">
        <v>718</v>
      </c>
      <c r="H21" s="55"/>
      <c r="I21" s="55"/>
      <c r="J21" s="55"/>
      <c r="K21" s="55"/>
    </row>
    <row r="22" spans="7:11">
      <c r="G22" s="9"/>
      <c r="H22" s="29"/>
      <c r="I22" s="29"/>
      <c r="J22" s="29"/>
      <c r="K22" s="29"/>
    </row>
    <row r="23" spans="7:11">
      <c r="G23" s="54" t="s">
        <v>644</v>
      </c>
      <c r="H23" s="55"/>
      <c r="I23" s="55"/>
      <c r="J23" s="55"/>
      <c r="K23" s="55"/>
    </row>
    <row r="24" spans="7:11">
      <c r="G24" s="8" t="s">
        <v>755</v>
      </c>
      <c r="H24" s="56">
        <f>H23</f>
        <v>0</v>
      </c>
      <c r="I24" s="56">
        <f>SUM(I23)</f>
        <v>0</v>
      </c>
      <c r="J24" s="56">
        <f>SUM(J21,J23)</f>
        <v>0</v>
      </c>
      <c r="K24" s="56">
        <f>SUM(K21,K20,K23)</f>
        <v>0</v>
      </c>
    </row>
    <row r="25" spans="7:11" ht="37.5">
      <c r="G25" s="8" t="s">
        <v>756</v>
      </c>
      <c r="H25" s="57" t="str">
        <f>I25</f>
        <v>销售商品、提供劳务收到的现金</v>
      </c>
      <c r="I25" s="57" t="str">
        <f>G23</f>
        <v>销售商品、提供劳务收到的现金</v>
      </c>
      <c r="J25" s="62" t="s">
        <v>757</v>
      </c>
      <c r="K25" s="62" t="s">
        <v>758</v>
      </c>
    </row>
    <row r="26" spans="7:11">
      <c r="G26" s="58" t="s">
        <v>632</v>
      </c>
      <c r="H26" s="59">
        <v>913276863.59000003</v>
      </c>
      <c r="I26" s="59">
        <v>1114615416.79</v>
      </c>
      <c r="J26" s="56">
        <v>1011661321.48</v>
      </c>
      <c r="K26" s="56">
        <v>1014548010.3</v>
      </c>
    </row>
    <row r="29" spans="7:11">
      <c r="G29" s="9"/>
      <c r="H29" s="53">
        <v>43465</v>
      </c>
      <c r="I29" s="53">
        <v>43830</v>
      </c>
      <c r="J29" s="53">
        <v>44196</v>
      </c>
      <c r="K29" s="61">
        <v>44530</v>
      </c>
    </row>
    <row r="30" spans="7:11">
      <c r="G30" s="54" t="s">
        <v>759</v>
      </c>
      <c r="H30" s="60"/>
      <c r="I30" s="60"/>
      <c r="J30" s="60"/>
      <c r="K30" s="60"/>
    </row>
    <row r="31" spans="7:11">
      <c r="G31" s="54" t="s">
        <v>651</v>
      </c>
      <c r="H31" s="10"/>
      <c r="I31" s="10"/>
      <c r="J31" s="10"/>
      <c r="K31" s="10"/>
    </row>
    <row r="32" spans="7:11">
      <c r="G32" s="10" t="s">
        <v>686</v>
      </c>
      <c r="H32" s="10"/>
      <c r="I32" s="10"/>
      <c r="J32" s="10"/>
      <c r="K32" s="10"/>
    </row>
    <row r="33" spans="7:11">
      <c r="G33" s="54" t="s">
        <v>717</v>
      </c>
      <c r="H33" s="55"/>
      <c r="I33" s="55"/>
      <c r="J33" s="55"/>
      <c r="K33" s="55"/>
    </row>
    <row r="34" spans="7:11">
      <c r="G34" s="54" t="s">
        <v>718</v>
      </c>
      <c r="H34" s="55"/>
      <c r="I34" s="55"/>
      <c r="J34" s="55"/>
      <c r="K34" s="55"/>
    </row>
    <row r="35" spans="7:11">
      <c r="G35" s="9"/>
      <c r="H35" s="53">
        <v>43465</v>
      </c>
      <c r="I35" s="53">
        <v>43830</v>
      </c>
      <c r="J35" s="53">
        <v>44196</v>
      </c>
      <c r="K35" s="61">
        <v>44530</v>
      </c>
    </row>
    <row r="36" spans="7:11">
      <c r="G36" s="54" t="s">
        <v>760</v>
      </c>
      <c r="H36" s="10"/>
      <c r="I36" s="10"/>
      <c r="J36" s="10"/>
      <c r="K36" s="10"/>
    </row>
    <row r="37" spans="7:11">
      <c r="G37" s="54" t="s">
        <v>518</v>
      </c>
      <c r="H37" s="10"/>
      <c r="I37" s="10"/>
      <c r="J37" s="10"/>
      <c r="K37" s="10"/>
    </row>
    <row r="38" spans="7:11">
      <c r="G38" s="54" t="s">
        <v>761</v>
      </c>
      <c r="H38" s="10"/>
      <c r="I38" s="10"/>
      <c r="J38" s="10"/>
      <c r="K38" s="10"/>
    </row>
    <row r="39" spans="7:11">
      <c r="G39" s="54" t="s">
        <v>650</v>
      </c>
      <c r="H39" s="10"/>
      <c r="I39" s="10"/>
      <c r="J39" s="10"/>
      <c r="K39" s="10"/>
    </row>
  </sheetData>
  <customSheetViews>
    <customSheetView guid="{EFE5EB9F-962C-4232-9E60-22B2AE19D01B}">
      <selection activeCell="E11" sqref="E11"/>
      <pageMargins left="0.7" right="0.7" top="0.75" bottom="0.75" header="0.3" footer="0.3"/>
    </customSheetView>
  </customSheetViews>
  <mergeCells count="2">
    <mergeCell ref="A1:A2"/>
    <mergeCell ref="G1:G2"/>
  </mergeCells>
  <phoneticPr fontId="4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B2:F10"/>
  <sheetViews>
    <sheetView workbookViewId="0">
      <selection activeCell="Q47" sqref="Q47"/>
    </sheetView>
  </sheetViews>
  <sheetFormatPr defaultColWidth="9" defaultRowHeight="12.75"/>
  <cols>
    <col min="2" max="2" width="19.42578125" customWidth="1"/>
    <col min="3" max="3" width="12.28515625" customWidth="1"/>
    <col min="4" max="6" width="13.5703125" customWidth="1"/>
  </cols>
  <sheetData>
    <row r="2" spans="2:6">
      <c r="F2" t="str">
        <f>'财务分析-万位'!G6</f>
        <v>单位：万元</v>
      </c>
    </row>
    <row r="3" spans="2:6" ht="15.75">
      <c r="B3" s="35" t="s">
        <v>714</v>
      </c>
      <c r="C3" s="36">
        <f>'财务分析（2022）版'!B3</f>
        <v>45443</v>
      </c>
      <c r="D3" s="36">
        <f>'财务分析（2022）版'!C3</f>
        <v>45291</v>
      </c>
      <c r="E3" s="36">
        <f>'财务分析（2022）版'!D3</f>
        <v>44926</v>
      </c>
      <c r="F3" s="36">
        <f>'财务分析（2022）版'!E3</f>
        <v>44561</v>
      </c>
    </row>
    <row r="4" spans="2:6" ht="15.75">
      <c r="B4" s="37" t="s">
        <v>685</v>
      </c>
      <c r="C4" s="38">
        <f>'财务分析（2022）版'!B55</f>
        <v>94146.585800000001</v>
      </c>
      <c r="D4" s="38">
        <f>'财务分析（2022）版'!C55</f>
        <v>60852.044900000001</v>
      </c>
      <c r="E4" s="38">
        <f>'财务分析（2022）版'!D55</f>
        <v>46793.211300000003</v>
      </c>
      <c r="F4" s="38">
        <f>'财务分析（2022）版'!E55</f>
        <v>17508.716899999999</v>
      </c>
    </row>
    <row r="5" spans="2:6" ht="15.75">
      <c r="B5" s="37" t="s">
        <v>762</v>
      </c>
      <c r="C5" s="38">
        <f>'财务分析（2022）版'!B108</f>
        <v>10243.5762</v>
      </c>
      <c r="D5" s="38">
        <f>'财务分析（2022）版'!C108</f>
        <v>11879.713900000001</v>
      </c>
      <c r="E5" s="38">
        <f>'财务分析（2022）版'!D108</f>
        <v>9852.8503000000001</v>
      </c>
      <c r="F5" s="38">
        <f>'财务分析（2022）版'!E108</f>
        <v>9998.5393999999997</v>
      </c>
    </row>
    <row r="6" spans="2:6" ht="15.75">
      <c r="B6" s="37" t="s">
        <v>763</v>
      </c>
      <c r="C6" s="39">
        <f>'财务分析（2022）版'!B140</f>
        <v>0.89119545745651463</v>
      </c>
      <c r="D6" s="39">
        <f>'财务分析（2022）版'!C140</f>
        <v>0.80477707989070379</v>
      </c>
      <c r="E6" s="39">
        <f>'财务分析（2022）版'!D140</f>
        <v>0.78943846711371135</v>
      </c>
      <c r="F6" s="39">
        <f>'财务分析（2022）版'!E140</f>
        <v>0.42893934163730751</v>
      </c>
    </row>
    <row r="7" spans="2:6" ht="15.75">
      <c r="B7" s="37" t="s">
        <v>632</v>
      </c>
      <c r="C7" s="38">
        <f>'财务分析（2022）版'!B110</f>
        <v>270.77390000000003</v>
      </c>
      <c r="D7" s="38">
        <f>'财务分析（2022）版'!C110</f>
        <v>925.07479999999998</v>
      </c>
      <c r="E7" s="38">
        <f>'财务分析（2022）版'!D110</f>
        <v>0</v>
      </c>
      <c r="F7" s="38">
        <f>'财务分析（2022）版'!E110</f>
        <v>0</v>
      </c>
    </row>
    <row r="8" spans="2:6" ht="15.75">
      <c r="B8" s="37" t="s">
        <v>176</v>
      </c>
      <c r="C8" s="38">
        <f>'财务分析（2022）版'!B120</f>
        <v>-577.12670000000003</v>
      </c>
      <c r="D8" s="38">
        <f>'财务分析（2022）版'!C120</f>
        <v>2026.8635999999999</v>
      </c>
      <c r="E8" s="38">
        <f>'财务分析（2022）版'!D120</f>
        <v>-145.6891</v>
      </c>
      <c r="F8" s="38">
        <f>'财务分析（2022）版'!E120</f>
        <v>-1.4605999999999999</v>
      </c>
    </row>
    <row r="9" spans="2:6" ht="15.75">
      <c r="B9" s="37" t="s">
        <v>764</v>
      </c>
      <c r="C9" s="38">
        <f>'财务分析（2022）版'!B128</f>
        <v>-22.624199999999998</v>
      </c>
      <c r="D9" s="38">
        <f>'财务分析（2022）版'!C128</f>
        <v>19667.4084</v>
      </c>
      <c r="E9" s="38">
        <f>'财务分析（2022）版'!D128</f>
        <v>-8281.3089</v>
      </c>
      <c r="F9" s="38">
        <f>'财务分析（2022）版'!E128</f>
        <v>7508.7169000000004</v>
      </c>
    </row>
    <row r="10" spans="2:6" ht="15.75">
      <c r="B10" s="37" t="s">
        <v>765</v>
      </c>
      <c r="C10" s="38">
        <f>'财务分析（2022）版'!B134</f>
        <v>0</v>
      </c>
      <c r="D10" s="38">
        <f>'财务分析（2022）版'!C134</f>
        <v>-15226.7834</v>
      </c>
      <c r="E10" s="38">
        <f>'财务分析（2022）版'!D134</f>
        <v>36796.622799999997</v>
      </c>
      <c r="F10" s="38">
        <f>'财务分析（2022）版'!E134</f>
        <v>10000</v>
      </c>
    </row>
  </sheetData>
  <customSheetViews>
    <customSheetView guid="{EFE5EB9F-962C-4232-9E60-22B2AE19D01B}">
      <selection activeCell="E33" sqref="E33"/>
      <pageMargins left="0.7" right="0.7" top="0.75" bottom="0.75" header="0.3" footer="0.3"/>
    </customSheetView>
  </customSheetViews>
  <phoneticPr fontId="4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F25"/>
  <sheetViews>
    <sheetView workbookViewId="0">
      <selection activeCell="G29" sqref="G29"/>
    </sheetView>
  </sheetViews>
  <sheetFormatPr defaultColWidth="9.140625" defaultRowHeight="12.75"/>
  <cols>
    <col min="1" max="2" width="20.7109375" customWidth="1"/>
    <col min="3" max="3" width="24.5703125" customWidth="1"/>
    <col min="4" max="4" width="23" customWidth="1"/>
    <col min="5" max="5" width="25.7109375" customWidth="1"/>
    <col min="6" max="6" width="24" customWidth="1"/>
    <col min="7" max="7" width="20.7109375" customWidth="1"/>
  </cols>
  <sheetData>
    <row r="1" spans="1:6" ht="14.25">
      <c r="A1" s="18"/>
      <c r="B1" s="19"/>
      <c r="C1" s="20">
        <f>'财务分析（2022）版'!B3</f>
        <v>45443</v>
      </c>
      <c r="D1" s="21">
        <f>'财务分析（2022）版'!C3</f>
        <v>45291</v>
      </c>
      <c r="E1" s="21">
        <f>'财务分析（2022）版'!D3</f>
        <v>44926</v>
      </c>
      <c r="F1" s="21">
        <f>'财务分析（2022）版'!E3</f>
        <v>44561</v>
      </c>
    </row>
    <row r="2" spans="1:6" ht="14.25">
      <c r="A2" s="22"/>
      <c r="B2" s="23" t="s">
        <v>766</v>
      </c>
      <c r="C2" s="24">
        <f>C23</f>
        <v>240032602</v>
      </c>
      <c r="D2" s="24">
        <f t="shared" ref="D2:F2" si="0">D23</f>
        <v>234290760</v>
      </c>
      <c r="E2" s="24">
        <f t="shared" si="0"/>
        <v>368352760</v>
      </c>
      <c r="F2" s="24">
        <f t="shared" si="0"/>
        <v>9530</v>
      </c>
    </row>
    <row r="3" spans="1:6" ht="30" customHeight="1">
      <c r="A3" s="178" t="s">
        <v>767</v>
      </c>
      <c r="B3" s="23" t="s">
        <v>768</v>
      </c>
      <c r="C3" s="24">
        <f>C16+C20</f>
        <v>250249367</v>
      </c>
      <c r="D3" s="24">
        <f t="shared" ref="D3:F3" si="1">D16+D20</f>
        <v>233952065</v>
      </c>
      <c r="E3" s="24">
        <f t="shared" si="1"/>
        <v>367966228</v>
      </c>
      <c r="F3" s="24">
        <f t="shared" si="1"/>
        <v>0</v>
      </c>
    </row>
    <row r="4" spans="1:6" ht="14.25">
      <c r="A4" s="178"/>
      <c r="B4" s="23" t="s">
        <v>769</v>
      </c>
      <c r="C4" s="24">
        <f>C22</f>
        <v>0</v>
      </c>
      <c r="D4" s="24">
        <f t="shared" ref="D4:F4" si="2">D22</f>
        <v>0</v>
      </c>
      <c r="E4" s="24">
        <f t="shared" si="2"/>
        <v>0</v>
      </c>
      <c r="F4" s="24">
        <f t="shared" si="2"/>
        <v>0</v>
      </c>
    </row>
    <row r="5" spans="1:6" ht="14.25">
      <c r="A5" s="178"/>
      <c r="B5" s="23" t="s">
        <v>770</v>
      </c>
      <c r="C5" s="24" t="s">
        <v>771</v>
      </c>
      <c r="D5" s="24" t="s">
        <v>771</v>
      </c>
      <c r="E5" s="24" t="s">
        <v>771</v>
      </c>
      <c r="F5" s="25" t="s">
        <v>771</v>
      </c>
    </row>
    <row r="6" spans="1:6" ht="14.25">
      <c r="A6" s="178"/>
      <c r="B6" s="23" t="s">
        <v>772</v>
      </c>
      <c r="C6" s="24" t="s">
        <v>771</v>
      </c>
      <c r="D6" s="24" t="s">
        <v>771</v>
      </c>
      <c r="E6" s="24" t="s">
        <v>771</v>
      </c>
      <c r="F6" s="25" t="s">
        <v>771</v>
      </c>
    </row>
    <row r="7" spans="1:6" ht="14.25">
      <c r="A7" s="178"/>
      <c r="B7" s="23" t="s">
        <v>773</v>
      </c>
      <c r="C7" s="24">
        <f>C21</f>
        <v>0</v>
      </c>
      <c r="D7" s="24">
        <f t="shared" ref="D7:F7" si="3">D21</f>
        <v>0</v>
      </c>
      <c r="E7" s="24">
        <f t="shared" si="3"/>
        <v>0</v>
      </c>
      <c r="F7" s="24">
        <f t="shared" si="3"/>
        <v>0</v>
      </c>
    </row>
    <row r="8" spans="1:6" ht="30" customHeight="1">
      <c r="A8" s="178" t="s">
        <v>774</v>
      </c>
      <c r="B8" s="23" t="s">
        <v>775</v>
      </c>
      <c r="C8" s="24">
        <f>C19</f>
        <v>0</v>
      </c>
      <c r="D8" s="24">
        <f t="shared" ref="D8:F8" si="4">D19</f>
        <v>0</v>
      </c>
      <c r="E8" s="24">
        <f t="shared" si="4"/>
        <v>0</v>
      </c>
      <c r="F8" s="24">
        <f t="shared" si="4"/>
        <v>0</v>
      </c>
    </row>
    <row r="9" spans="1:6" ht="14.25">
      <c r="A9" s="178"/>
      <c r="B9" s="26" t="s">
        <v>776</v>
      </c>
      <c r="C9" s="27">
        <f>C2-C8</f>
        <v>240032602</v>
      </c>
      <c r="D9" s="27">
        <f t="shared" ref="D9:F9" si="5">D2-D8</f>
        <v>234290760</v>
      </c>
      <c r="E9" s="27">
        <f t="shared" si="5"/>
        <v>368352760</v>
      </c>
      <c r="F9" s="27">
        <f t="shared" si="5"/>
        <v>9530</v>
      </c>
    </row>
    <row r="10" spans="1:6" ht="58.5" customHeight="1">
      <c r="A10" s="28" t="s">
        <v>777</v>
      </c>
      <c r="B10" s="177"/>
      <c r="C10" s="177"/>
      <c r="D10" s="177"/>
      <c r="E10" s="177"/>
      <c r="F10" s="177"/>
    </row>
    <row r="11" spans="1:6" ht="76.5">
      <c r="A11" s="12" t="s">
        <v>778</v>
      </c>
      <c r="E11" s="30" t="s">
        <v>779</v>
      </c>
      <c r="F11" t="s">
        <v>780</v>
      </c>
    </row>
    <row r="12" spans="1:6">
      <c r="A12" s="12" t="s">
        <v>781</v>
      </c>
    </row>
    <row r="13" spans="1:6">
      <c r="A13" s="12" t="s">
        <v>782</v>
      </c>
    </row>
    <row r="14" spans="1:6">
      <c r="A14" s="12" t="s">
        <v>783</v>
      </c>
    </row>
    <row r="15" spans="1:6">
      <c r="A15" s="12" t="s">
        <v>784</v>
      </c>
      <c r="C15" s="31">
        <f>C1</f>
        <v>45443</v>
      </c>
      <c r="D15" s="31">
        <f t="shared" ref="D15:F15" si="6">D1</f>
        <v>45291</v>
      </c>
      <c r="E15" s="31">
        <f t="shared" si="6"/>
        <v>44926</v>
      </c>
      <c r="F15" s="31">
        <f t="shared" si="6"/>
        <v>44561</v>
      </c>
    </row>
    <row r="16" spans="1:6">
      <c r="B16" s="12" t="s">
        <v>686</v>
      </c>
      <c r="C16" s="32">
        <f>ROUND(HLOOKUP(C$1,bs!$C$1:$AA$110,MATCH("*"&amp;$B16&amp;"*",bs!$B$1:$B$110,),FALSE),0)/IF(LEN($A$15)&gt;4,10000,1)</f>
        <v>0</v>
      </c>
      <c r="D16" s="32">
        <f>ROUND(HLOOKUP(D$1,bs!$C$1:$AA$110,MATCH("*"&amp;$B16&amp;"*",bs!$B$1:$B$110,),FALSE),0)/IF(LEN($A$15)&gt;4,10000,1)</f>
        <v>0</v>
      </c>
      <c r="E16" s="32">
        <f>ROUND(HLOOKUP(E$1,bs!$C$1:$AA$110,MATCH("*"&amp;$B16&amp;"*",bs!$B$1:$B$110,),FALSE),0)/IF(LEN($A$15)&gt;4,10000,1)</f>
        <v>0</v>
      </c>
      <c r="F16" s="32">
        <f>ROUND(HLOOKUP(F$1,bs!$C$1:$AA$110,MATCH("*"&amp;$B16&amp;"*",bs!$B$1:$B$110,),FALSE),0)/IF(LEN($A$15)&gt;4,10000,1)</f>
        <v>0</v>
      </c>
    </row>
    <row r="17" spans="2:6">
      <c r="B17" s="12" t="s">
        <v>785</v>
      </c>
      <c r="C17" s="32">
        <f>ROUND(HLOOKUP($C1,bs!$C$1:$AA$110,MATCH("*"&amp;$B17&amp;"*",bs!$B$1:$B$110,),FALSE),0)/IF(LEN($A$15)&gt;4,10000,1)</f>
        <v>0</v>
      </c>
      <c r="D17" s="32">
        <f>ROUND(HLOOKUP($C1,bs!$C$1:$AA$110,MATCH("*"&amp;$B17&amp;"*",bs!$B$1:$B$110,),FALSE),0)/IF(LEN($A$15)&gt;4,10000,1)</f>
        <v>0</v>
      </c>
      <c r="E17" s="32">
        <f>ROUND(HLOOKUP($C1,bs!$C$1:$AA$110,MATCH("*"&amp;$B17&amp;"*",bs!$B$1:$B$110,),FALSE),0)/IF(LEN($A$15)&gt;4,10000,1)</f>
        <v>0</v>
      </c>
      <c r="F17" s="32">
        <f>ROUND(HLOOKUP($C1,bs!$C$1:$AA$110,MATCH("*"&amp;$B17&amp;"*",bs!$B$1:$B$110,),FALSE),0)/IF(LEN($A$15)&gt;4,10000,1)</f>
        <v>0</v>
      </c>
    </row>
    <row r="18" spans="2:6">
      <c r="B18" s="12" t="s">
        <v>786</v>
      </c>
      <c r="C18" s="32">
        <f>ROUND(HLOOKUP(C$1,bs!$C$1:$AA$110,MATCH("*"&amp;$B18&amp;"*",bs!$B$1:$B$110,),FALSE),0)/IF(LEN($A$15)&gt;4,10000,1)</f>
        <v>-10216765</v>
      </c>
      <c r="D18" s="32">
        <f>ROUND(HLOOKUP(D$1,bs!$C$1:$AA$110,MATCH("*"&amp;$B18&amp;"*",bs!$B$1:$B$110,),FALSE),0)/IF(LEN($A$15)&gt;4,10000,1)</f>
        <v>338695</v>
      </c>
      <c r="E18" s="32">
        <f>ROUND(HLOOKUP(E$1,bs!$C$1:$AA$110,MATCH("*"&amp;$B18&amp;"*",bs!$B$1:$B$110,),FALSE),0)/IF(LEN($A$15)&gt;4,10000,1)</f>
        <v>386532</v>
      </c>
      <c r="F18" s="32">
        <f>ROUND(HLOOKUP(F$1,bs!$C$1:$AA$110,MATCH("*"&amp;$B18&amp;"*",bs!$B$1:$B$110,),FALSE),0)/IF(LEN($A$15)&gt;4,10000,1)</f>
        <v>9530</v>
      </c>
    </row>
    <row r="19" spans="2:6">
      <c r="B19" s="33" t="s">
        <v>367</v>
      </c>
      <c r="C19" s="32">
        <f>ROUND(HLOOKUP(C$1,bs!$C$1:$AA$110,MATCH("*"&amp;$B19&amp;"*",bs!$B$1:$B$110,),FALSE),0)/IF(LEN($A$15)&gt;4,10000,1)</f>
        <v>0</v>
      </c>
      <c r="D19" s="32">
        <f>ROUND(HLOOKUP(D$1,bs!$C$1:$AA$110,MATCH("*"&amp;$B19&amp;"*",bs!$B$1:$B$110,),FALSE),0)/IF(LEN($A$15)&gt;4,10000,1)</f>
        <v>0</v>
      </c>
      <c r="E19" s="32">
        <f>ROUND(HLOOKUP(E$1,bs!$C$1:$AA$110,MATCH("*"&amp;$B19&amp;"*",bs!$B$1:$B$110,),FALSE),0)/IF(LEN($A$15)&gt;4,10000,1)</f>
        <v>0</v>
      </c>
      <c r="F19" s="32">
        <f>ROUND(HLOOKUP(F$1,bs!$C$1:$AA$110,MATCH("*"&amp;$B19&amp;"*",bs!$B$1:$B$110,),FALSE),0)/IF(LEN($A$15)&gt;4,10000,1)</f>
        <v>0</v>
      </c>
    </row>
    <row r="20" spans="2:6">
      <c r="B20" s="12" t="s">
        <v>689</v>
      </c>
      <c r="C20" s="32">
        <f>ROUND(HLOOKUP(C$1,bs!$C$1:$AA$110,MATCH("*"&amp;$B20&amp;"*",bs!$B$1:$B$110,),FALSE),0)/IF(LEN($A$15)&gt;4,10000,1)</f>
        <v>250249367</v>
      </c>
      <c r="D20" s="32">
        <f>ROUND(HLOOKUP(D$1,bs!$C$1:$AA$110,MATCH("*"&amp;$B20&amp;"*",bs!$B$1:$B$110,),FALSE),0)/IF(LEN($A$15)&gt;4,10000,1)</f>
        <v>233952065</v>
      </c>
      <c r="E20" s="32">
        <f>ROUND(HLOOKUP(E$1,bs!$C$1:$AA$110,MATCH("*"&amp;$B20&amp;"*",bs!$B$1:$B$110,),FALSE),0)/IF(LEN($A$15)&gt;4,10000,1)</f>
        <v>367966228</v>
      </c>
      <c r="F20" s="32">
        <f>ROUND(HLOOKUP(F$1,bs!$C$1:$AA$110,MATCH("*"&amp;$B20&amp;"*",bs!$B$1:$B$110,),FALSE),0)/IF(LEN($A$15)&gt;4,10000,1)</f>
        <v>0</v>
      </c>
    </row>
    <row r="21" spans="2:6">
      <c r="B21" s="12" t="s">
        <v>787</v>
      </c>
      <c r="C21" s="32">
        <f>ROUND(HLOOKUP(C$1,bs!$C$1:$AA$110,MATCH("*"&amp;$B21&amp;"*",bs!$B$1:$B$110,),FALSE),0)/IF(LEN($A$15)&gt;4,10000,1)</f>
        <v>0</v>
      </c>
      <c r="D21" s="32">
        <f>ROUND(HLOOKUP(D$1,bs!$C$1:$AA$110,MATCH("*"&amp;$B21&amp;"*",bs!$B$1:$B$110,),FALSE),0)/IF(LEN($A$15)&gt;4,10000,1)</f>
        <v>0</v>
      </c>
      <c r="E21" s="32">
        <f>ROUND(HLOOKUP(E$1,bs!$C$1:$AA$110,MATCH("*"&amp;$B21&amp;"*",bs!$B$1:$B$110,),FALSE),0)/IF(LEN($A$15)&gt;4,10000,1)</f>
        <v>0</v>
      </c>
      <c r="F21" s="32">
        <f>ROUND(HLOOKUP(F$1,bs!$C$1:$AA$110,MATCH("*"&amp;$B21&amp;"*",bs!$B$1:$B$110,),FALSE),0)/IF(LEN($A$15)&gt;4,10000,1)</f>
        <v>0</v>
      </c>
    </row>
    <row r="22" spans="2:6">
      <c r="B22" s="12" t="s">
        <v>690</v>
      </c>
      <c r="C22" s="32">
        <f>ROUND(HLOOKUP(C$1,bs!$C$1:$AA$110,MATCH("*"&amp;$B22&amp;"*",bs!$B$1:$B$110,),FALSE),0)/IF(LEN($A$15)&gt;4,10000,1)</f>
        <v>0</v>
      </c>
      <c r="D22" s="32">
        <f>ROUND(HLOOKUP(D$1,bs!$C$1:$AA$110,MATCH("*"&amp;$B22&amp;"*",bs!$B$1:$B$110,),FALSE),0)/IF(LEN($A$15)&gt;4,10000,1)</f>
        <v>0</v>
      </c>
      <c r="E22" s="32">
        <f>ROUND(HLOOKUP(E$1,bs!$C$1:$AA$110,MATCH("*"&amp;$B22&amp;"*",bs!$B$1:$B$110,),FALSE),0)/IF(LEN($A$15)&gt;4,10000,1)</f>
        <v>0</v>
      </c>
      <c r="F22" s="32">
        <f>ROUND(HLOOKUP(F$1,bs!$C$1:$AA$110,MATCH("*"&amp;$B22&amp;"*",bs!$B$1:$B$110,),FALSE),0)/IF(LEN($A$15)&gt;4,10000,1)</f>
        <v>0</v>
      </c>
    </row>
    <row r="23" spans="2:6">
      <c r="B23" s="12" t="s">
        <v>788</v>
      </c>
      <c r="C23" s="32">
        <f>SUM(C16:C22)</f>
        <v>240032602</v>
      </c>
      <c r="D23" s="32">
        <f t="shared" ref="D23:F23" si="7">SUM(D16:D22)</f>
        <v>234290760</v>
      </c>
      <c r="E23" s="32">
        <f t="shared" si="7"/>
        <v>368352760</v>
      </c>
      <c r="F23" s="32">
        <f t="shared" si="7"/>
        <v>9530</v>
      </c>
    </row>
    <row r="24" spans="2:6">
      <c r="C24" s="34"/>
      <c r="D24" s="34"/>
      <c r="E24" s="34"/>
      <c r="F24" s="34"/>
    </row>
    <row r="25" spans="2:6">
      <c r="C25" s="34"/>
      <c r="D25" s="34"/>
      <c r="E25" s="34"/>
      <c r="F25" s="34"/>
    </row>
  </sheetData>
  <mergeCells count="3">
    <mergeCell ref="B10:F10"/>
    <mergeCell ref="A3:A7"/>
    <mergeCell ref="A8:A9"/>
  </mergeCells>
  <phoneticPr fontId="47" type="noConversion"/>
  <dataValidations count="1">
    <dataValidation type="list" allowBlank="1" showInputMessage="1" showErrorMessage="1" sqref="A15" xr:uid="{00000000-0002-0000-0C00-000000000000}">
      <formula1>"单位：元,单位：万元"</formula1>
    </dataValidation>
  </dataValidation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A5"/>
  <sheetViews>
    <sheetView workbookViewId="0">
      <selection activeCell="A6" sqref="A6"/>
    </sheetView>
  </sheetViews>
  <sheetFormatPr defaultColWidth="9" defaultRowHeight="12.75"/>
  <sheetData>
    <row r="1" spans="1:1">
      <c r="A1" s="12" t="s">
        <v>789</v>
      </c>
    </row>
    <row r="2" spans="1:1">
      <c r="A2" t="s">
        <v>790</v>
      </c>
    </row>
    <row r="3" spans="1:1">
      <c r="A3" t="s">
        <v>791</v>
      </c>
    </row>
    <row r="4" spans="1:1">
      <c r="A4" t="s">
        <v>792</v>
      </c>
    </row>
    <row r="5" spans="1:1">
      <c r="A5" t="s">
        <v>793</v>
      </c>
    </row>
  </sheetData>
  <customSheetViews>
    <customSheetView guid="{EFE5EB9F-962C-4232-9E60-22B2AE19D01B}">
      <selection activeCell="A2" sqref="A2"/>
      <pageMargins left="0.7" right="0.7" top="0.75" bottom="0.75" header="0.3" footer="0.3"/>
    </customSheetView>
  </customSheetViews>
  <phoneticPr fontId="47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">
    <tabColor indexed="13"/>
  </sheetPr>
  <dimension ref="A1:I8"/>
  <sheetViews>
    <sheetView workbookViewId="0"/>
  </sheetViews>
  <sheetFormatPr defaultColWidth="9" defaultRowHeight="12.75"/>
  <cols>
    <col min="1" max="1" width="18" customWidth="1"/>
    <col min="4" max="4" width="15.140625" customWidth="1"/>
    <col min="5" max="5" width="9.7109375" customWidth="1"/>
    <col min="8" max="8" width="10.28515625" customWidth="1"/>
  </cols>
  <sheetData>
    <row r="1" spans="1:9" ht="16.5">
      <c r="A1" s="13" t="s">
        <v>794</v>
      </c>
      <c r="B1" s="13" t="s">
        <v>795</v>
      </c>
      <c r="C1" s="13" t="s">
        <v>796</v>
      </c>
      <c r="D1" s="13" t="s">
        <v>797</v>
      </c>
    </row>
    <row r="2" spans="1:9" ht="16.5">
      <c r="A2" s="14" t="s">
        <v>798</v>
      </c>
      <c r="B2" s="15" t="str">
        <f>LEFT(A2,4)</f>
        <v>2023</v>
      </c>
      <c r="C2" s="15" t="str">
        <f>RIGHT(A2,2)</f>
        <v>.6</v>
      </c>
      <c r="D2" s="16" t="str">
        <f>TEXT(DATE(B2,C2+1,0),"e/m/d")</f>
        <v>2022/12/31</v>
      </c>
      <c r="E2" s="17" t="str">
        <f>B2&amp;B1&amp;C2&amp;C1</f>
        <v>2023年.6月</v>
      </c>
      <c r="F2">
        <f>$B$2-I2</f>
        <v>2022</v>
      </c>
      <c r="G2" t="s">
        <v>799</v>
      </c>
      <c r="H2" t="str">
        <f>F2&amp;$G$2</f>
        <v>2022/12/31</v>
      </c>
      <c r="I2">
        <v>1</v>
      </c>
    </row>
    <row r="3" spans="1:9">
      <c r="F3">
        <f t="shared" ref="F3:F8" si="0">$B$2-I3</f>
        <v>2021</v>
      </c>
      <c r="H3" t="str">
        <f t="shared" ref="H3:H8" si="1">F3&amp;$G$2</f>
        <v>2021/12/31</v>
      </c>
      <c r="I3">
        <v>2</v>
      </c>
    </row>
    <row r="4" spans="1:9">
      <c r="A4" s="17"/>
      <c r="F4">
        <f t="shared" si="0"/>
        <v>2020</v>
      </c>
      <c r="H4" t="str">
        <f t="shared" si="1"/>
        <v>2020/12/31</v>
      </c>
      <c r="I4">
        <v>3</v>
      </c>
    </row>
    <row r="5" spans="1:9">
      <c r="F5">
        <f t="shared" si="0"/>
        <v>2019</v>
      </c>
      <c r="H5" t="str">
        <f t="shared" si="1"/>
        <v>2019/12/31</v>
      </c>
      <c r="I5">
        <v>4</v>
      </c>
    </row>
    <row r="6" spans="1:9">
      <c r="F6">
        <f t="shared" si="0"/>
        <v>2018</v>
      </c>
      <c r="H6" t="str">
        <f t="shared" si="1"/>
        <v>2018/12/31</v>
      </c>
      <c r="I6">
        <v>5</v>
      </c>
    </row>
    <row r="7" spans="1:9">
      <c r="F7">
        <f t="shared" si="0"/>
        <v>2017</v>
      </c>
      <c r="H7" t="str">
        <f t="shared" si="1"/>
        <v>2017/12/31</v>
      </c>
      <c r="I7">
        <v>6</v>
      </c>
    </row>
    <row r="8" spans="1:9">
      <c r="F8">
        <f t="shared" si="0"/>
        <v>2016</v>
      </c>
      <c r="H8" t="str">
        <f t="shared" si="1"/>
        <v>2016/12/31</v>
      </c>
      <c r="I8">
        <v>7</v>
      </c>
    </row>
  </sheetData>
  <customSheetViews>
    <customSheetView guid="{EFE5EB9F-962C-4232-9E60-22B2AE19D01B}">
      <selection activeCell="H12" sqref="H12"/>
      <pageMargins left="0.7" right="0.7" top="0.75" bottom="0.75" header="0.3" footer="0.3"/>
    </customSheetView>
  </customSheetViews>
  <phoneticPr fontId="47" type="noConversion"/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F7"/>
  <sheetViews>
    <sheetView workbookViewId="0">
      <selection activeCell="A8" sqref="A8"/>
    </sheetView>
  </sheetViews>
  <sheetFormatPr defaultColWidth="9.140625" defaultRowHeight="12.75"/>
  <cols>
    <col min="1" max="1" width="5.28515625" customWidth="1"/>
    <col min="2" max="2" width="12.7109375" customWidth="1"/>
    <col min="3" max="3" width="19.140625" customWidth="1"/>
    <col min="4" max="4" width="14.7109375" customWidth="1"/>
    <col min="5" max="5" width="24.42578125" customWidth="1"/>
    <col min="6" max="6" width="4.7109375" customWidth="1"/>
  </cols>
  <sheetData>
    <row r="1" spans="1:6" ht="15.75">
      <c r="A1" s="1"/>
      <c r="B1" s="1"/>
      <c r="C1" s="2"/>
      <c r="D1" s="2"/>
      <c r="E1" s="2"/>
      <c r="F1" s="2"/>
    </row>
    <row r="2" spans="1:6" ht="17.25">
      <c r="A2" s="3"/>
      <c r="B2" s="4"/>
      <c r="C2" s="5"/>
      <c r="D2" s="6"/>
      <c r="E2" s="3"/>
      <c r="F2" s="3"/>
    </row>
    <row r="3" spans="1:6" ht="17.25">
      <c r="A3" s="3"/>
      <c r="B3" s="4"/>
      <c r="C3" s="7"/>
      <c r="D3" s="6"/>
      <c r="E3" s="3"/>
      <c r="F3" s="3"/>
    </row>
    <row r="4" spans="1:6" ht="17.25">
      <c r="A4" s="3"/>
      <c r="B4" s="4"/>
      <c r="C4" s="7"/>
      <c r="D4" s="6"/>
      <c r="E4" s="3"/>
      <c r="F4" s="3"/>
    </row>
    <row r="5" spans="1:6">
      <c r="A5" s="8"/>
      <c r="B5" s="9"/>
      <c r="C5" s="9"/>
      <c r="D5" s="10"/>
      <c r="E5" s="9"/>
      <c r="F5" s="9"/>
    </row>
    <row r="6" spans="1:6">
      <c r="B6" s="11" t="s">
        <v>800</v>
      </c>
    </row>
    <row r="7" spans="1:6">
      <c r="B7" s="12" t="s">
        <v>801</v>
      </c>
    </row>
  </sheetData>
  <phoneticPr fontId="47" type="noConversion"/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012283707.IB-资产负债表</vt:lpstr>
      <vt:lpstr>012283707.IB-利润表</vt:lpstr>
      <vt:lpstr>012283707.IB-现金流量表</vt:lpstr>
      <vt:lpstr>bs</vt:lpstr>
      <vt:lpstr>pl</vt:lpstr>
      <vt:lpstr>cf</vt:lpstr>
      <vt:lpstr>财务分析（2022）版</vt:lpstr>
      <vt:lpstr>财务分析-万位</vt:lpstr>
      <vt:lpstr>资产负债权益结构分析</vt:lpstr>
      <vt:lpstr>现金流分析表</vt:lpstr>
      <vt:lpstr>财务对比分析表</vt:lpstr>
      <vt:lpstr>财务变化表</vt:lpstr>
      <vt:lpstr>刚性负债情况</vt:lpstr>
      <vt:lpstr>版本更新说明</vt:lpstr>
      <vt:lpstr>初始设置</vt:lpstr>
      <vt:lpstr>Sheet1</vt:lpstr>
      <vt:lpstr>'财务分析（2022）版'!Print_Area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报表模板</dc:title>
  <dc:creator>徐晓冬</dc:creator>
  <cp:keywords>报表模板</cp:keywords>
  <dc:description>2023年新版</dc:description>
  <cp:lastModifiedBy>徐 晓冬</cp:lastModifiedBy>
  <dcterms:created xsi:type="dcterms:W3CDTF">2012-10-09T05:54:00Z</dcterms:created>
  <dcterms:modified xsi:type="dcterms:W3CDTF">2025-05-26T10:53:58Z</dcterms:modified>
  <cp:category>报表模板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2052-11.8.2.12086</vt:lpwstr>
  </property>
  <property fmtid="{D5CDD505-2E9C-101B-9397-08002B2CF9AE}" pid="3" name="ICV">
    <vt:lpwstr>DD45C9D7017B4E9E8FF0D659D4B359C2</vt:lpwstr>
  </property>
  <property fmtid="{D5CDD505-2E9C-101B-9397-08002B2CF9AE}" pid="4" name="部门">
    <vt:lpwstr>业务四部</vt:lpwstr>
  </property>
</Properties>
</file>